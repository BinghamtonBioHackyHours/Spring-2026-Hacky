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ophiazaslow/Desktop/R/Thesis/Sal2025/data/"/>
    </mc:Choice>
  </mc:AlternateContent>
  <xr:revisionPtr revIDLastSave="0" documentId="13_ncr:1_{ED624D6B-74B1-B14F-B361-FA01BD3459AB}" xr6:coauthVersionLast="47" xr6:coauthVersionMax="47" xr10:uidLastSave="{00000000-0000-0000-0000-000000000000}"/>
  <bookViews>
    <workbookView xWindow="0" yWindow="660" windowWidth="29400" windowHeight="17240" firstSheet="1" activeTab="6" xr2:uid="{00000000-000D-0000-FFFF-FFFF00000000}"/>
  </bookViews>
  <sheets>
    <sheet name="TOC" sheetId="6" r:id="rId1"/>
    <sheet name="Metadata" sheetId="7" r:id="rId2"/>
    <sheet name="Salamander Data Sample 1+3" sheetId="1" r:id="rId3"/>
    <sheet name="Environmental Data Sample 1+3" sheetId="2" r:id="rId4"/>
    <sheet name="Salamander Data Sample 2" sheetId="3" r:id="rId5"/>
    <sheet name="Environmental Data Sample 2" sheetId="4" r:id="rId6"/>
    <sheet name="SalColor" sheetId="13" r:id="rId7"/>
    <sheet name="Back_SalPattern" sheetId="16" r:id="rId8"/>
    <sheet name="Diet" sheetId="8" r:id="rId9"/>
    <sheet name="Color_Diet" sheetId="15" r:id="rId10"/>
  </sheets>
  <definedNames>
    <definedName name="_xlnm._FilterDatabase" localSheetId="3" hidden="1">'Environmental Data Sample 1+3'!$A$1:$AA$1</definedName>
    <definedName name="_xlnm._FilterDatabase" localSheetId="2" hidden="1">'Salamander Data Sample 1+3'!$A$1:$O$227</definedName>
    <definedName name="_xlnm._FilterDatabase" localSheetId="4" hidden="1">'Salamander Data Sample 2'!$A$1:$N$207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5" i="15" l="1"/>
  <c r="M207" i="3"/>
  <c r="M107" i="8"/>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P593" i="2"/>
  <c r="O593" i="2"/>
  <c r="N593" i="2"/>
  <c r="P592" i="2"/>
  <c r="O592" i="2"/>
  <c r="N592" i="2"/>
  <c r="P591" i="2"/>
  <c r="O591" i="2"/>
  <c r="N591" i="2"/>
  <c r="P590" i="2"/>
  <c r="O590" i="2"/>
  <c r="N590" i="2"/>
  <c r="Q590" i="2" s="1"/>
  <c r="P589" i="2"/>
  <c r="O589" i="2"/>
  <c r="N589" i="2"/>
  <c r="P588" i="2"/>
  <c r="O588" i="2"/>
  <c r="N588" i="2"/>
  <c r="P587" i="2"/>
  <c r="O587" i="2"/>
  <c r="N587" i="2"/>
  <c r="Q587" i="2" s="1"/>
  <c r="P586" i="2"/>
  <c r="O586" i="2"/>
  <c r="N586" i="2"/>
  <c r="P585" i="2"/>
  <c r="O585" i="2"/>
  <c r="N585" i="2"/>
  <c r="P584" i="2"/>
  <c r="O584" i="2"/>
  <c r="N584" i="2"/>
  <c r="P583" i="2"/>
  <c r="O583" i="2"/>
  <c r="N583" i="2"/>
  <c r="P582" i="2"/>
  <c r="O582" i="2"/>
  <c r="N582" i="2"/>
  <c r="P581" i="2"/>
  <c r="O581" i="2"/>
  <c r="N581" i="2"/>
  <c r="P580" i="2"/>
  <c r="O580" i="2"/>
  <c r="N580" i="2"/>
  <c r="P579" i="2"/>
  <c r="O579" i="2"/>
  <c r="N579" i="2"/>
  <c r="P578" i="2"/>
  <c r="O578" i="2"/>
  <c r="N578" i="2"/>
  <c r="P577" i="2"/>
  <c r="O577" i="2"/>
  <c r="N577" i="2"/>
  <c r="P576" i="2"/>
  <c r="O576" i="2"/>
  <c r="N576" i="2"/>
  <c r="P575" i="2"/>
  <c r="O575" i="2"/>
  <c r="N575" i="2"/>
  <c r="P574" i="2"/>
  <c r="O574" i="2"/>
  <c r="N574" i="2"/>
  <c r="P573" i="2"/>
  <c r="O573" i="2"/>
  <c r="N573" i="2"/>
  <c r="P572" i="2"/>
  <c r="O572" i="2"/>
  <c r="N572" i="2"/>
  <c r="P571" i="2"/>
  <c r="O571" i="2"/>
  <c r="N571" i="2"/>
  <c r="Q571" i="2" s="1"/>
  <c r="P570" i="2"/>
  <c r="O570" i="2"/>
  <c r="N570" i="2"/>
  <c r="P569" i="2"/>
  <c r="O569" i="2"/>
  <c r="N569" i="2"/>
  <c r="P568" i="2"/>
  <c r="O568" i="2"/>
  <c r="N568" i="2"/>
  <c r="P567" i="2"/>
  <c r="O567" i="2"/>
  <c r="N567" i="2"/>
  <c r="P566" i="2"/>
  <c r="O566" i="2"/>
  <c r="N566" i="2"/>
  <c r="P565" i="2"/>
  <c r="O565" i="2"/>
  <c r="N565" i="2"/>
  <c r="P564" i="2"/>
  <c r="O564" i="2"/>
  <c r="N564" i="2"/>
  <c r="P563" i="2"/>
  <c r="O563" i="2"/>
  <c r="N563" i="2"/>
  <c r="Q563" i="2" s="1"/>
  <c r="P562" i="2"/>
  <c r="O562" i="2"/>
  <c r="N562" i="2"/>
  <c r="P561" i="2"/>
  <c r="O561" i="2"/>
  <c r="N561" i="2"/>
  <c r="P560" i="2"/>
  <c r="O560" i="2"/>
  <c r="N560" i="2"/>
  <c r="P559" i="2"/>
  <c r="O559" i="2"/>
  <c r="N559" i="2"/>
  <c r="P558" i="2"/>
  <c r="O558" i="2"/>
  <c r="N558" i="2"/>
  <c r="P557" i="2"/>
  <c r="O557" i="2"/>
  <c r="N557" i="2"/>
  <c r="P556" i="2"/>
  <c r="O556" i="2"/>
  <c r="N556" i="2"/>
  <c r="P555" i="2"/>
  <c r="O555" i="2"/>
  <c r="N555" i="2"/>
  <c r="Q555" i="2" s="1"/>
  <c r="P554" i="2"/>
  <c r="O554" i="2"/>
  <c r="N554" i="2"/>
  <c r="P553" i="2"/>
  <c r="O553" i="2"/>
  <c r="N553" i="2"/>
  <c r="P552" i="2"/>
  <c r="O552" i="2"/>
  <c r="N552" i="2"/>
  <c r="P551" i="2"/>
  <c r="O551" i="2"/>
  <c r="N551" i="2"/>
  <c r="P550" i="2"/>
  <c r="O550" i="2"/>
  <c r="N550" i="2"/>
  <c r="P549" i="2"/>
  <c r="O549" i="2"/>
  <c r="N549" i="2"/>
  <c r="P548" i="2"/>
  <c r="O548" i="2"/>
  <c r="N548" i="2"/>
  <c r="P547" i="2"/>
  <c r="O547" i="2"/>
  <c r="N547" i="2"/>
  <c r="P546" i="2"/>
  <c r="O546" i="2"/>
  <c r="N546" i="2"/>
  <c r="P545" i="2"/>
  <c r="O545" i="2"/>
  <c r="N545" i="2"/>
  <c r="P544" i="2"/>
  <c r="O544" i="2"/>
  <c r="N544" i="2"/>
  <c r="P543" i="2"/>
  <c r="O543" i="2"/>
  <c r="N543" i="2"/>
  <c r="P542" i="2"/>
  <c r="O542" i="2"/>
  <c r="N542" i="2"/>
  <c r="P541" i="2"/>
  <c r="O541" i="2"/>
  <c r="N541" i="2"/>
  <c r="P540" i="2"/>
  <c r="O540" i="2"/>
  <c r="N540" i="2"/>
  <c r="P539" i="2"/>
  <c r="O539" i="2"/>
  <c r="N539" i="2"/>
  <c r="P538" i="2"/>
  <c r="O538" i="2"/>
  <c r="N538" i="2"/>
  <c r="P537" i="2"/>
  <c r="O537" i="2"/>
  <c r="N537" i="2"/>
  <c r="P536" i="2"/>
  <c r="O536" i="2"/>
  <c r="N536" i="2"/>
  <c r="P535" i="2"/>
  <c r="O535" i="2"/>
  <c r="N535" i="2"/>
  <c r="P534" i="2"/>
  <c r="O534" i="2"/>
  <c r="N534" i="2"/>
  <c r="P533" i="2"/>
  <c r="O533" i="2"/>
  <c r="N533" i="2"/>
  <c r="P532" i="2"/>
  <c r="O532" i="2"/>
  <c r="N532" i="2"/>
  <c r="P531" i="2"/>
  <c r="O531" i="2"/>
  <c r="N531" i="2"/>
  <c r="P530" i="2"/>
  <c r="O530" i="2"/>
  <c r="N530" i="2"/>
  <c r="P529" i="2"/>
  <c r="O529" i="2"/>
  <c r="N529" i="2"/>
  <c r="P528" i="2"/>
  <c r="O528" i="2"/>
  <c r="N528" i="2"/>
  <c r="P527" i="2"/>
  <c r="O527" i="2"/>
  <c r="N527" i="2"/>
  <c r="P526" i="2"/>
  <c r="O526" i="2"/>
  <c r="N526" i="2"/>
  <c r="P525" i="2"/>
  <c r="O525" i="2"/>
  <c r="N525" i="2"/>
  <c r="P524" i="2"/>
  <c r="O524" i="2"/>
  <c r="N524" i="2"/>
  <c r="P523" i="2"/>
  <c r="O523" i="2"/>
  <c r="N523" i="2"/>
  <c r="P522" i="2"/>
  <c r="O522" i="2"/>
  <c r="N522" i="2"/>
  <c r="P521" i="2"/>
  <c r="O521" i="2"/>
  <c r="N521" i="2"/>
  <c r="P520" i="2"/>
  <c r="O520" i="2"/>
  <c r="N520" i="2"/>
  <c r="P519" i="2"/>
  <c r="O519" i="2"/>
  <c r="N519" i="2"/>
  <c r="P518" i="2"/>
  <c r="O518" i="2"/>
  <c r="N518" i="2"/>
  <c r="P517" i="2"/>
  <c r="O517" i="2"/>
  <c r="N517" i="2"/>
  <c r="P516" i="2"/>
  <c r="O516" i="2"/>
  <c r="N516" i="2"/>
  <c r="P515" i="2"/>
  <c r="O515" i="2"/>
  <c r="N515" i="2"/>
  <c r="Q515" i="2" s="1"/>
  <c r="P514" i="2"/>
  <c r="O514" i="2"/>
  <c r="N514" i="2"/>
  <c r="P513" i="2"/>
  <c r="O513" i="2"/>
  <c r="N513" i="2"/>
  <c r="Q513" i="2" s="1"/>
  <c r="P512" i="2"/>
  <c r="O512" i="2"/>
  <c r="N512" i="2"/>
  <c r="P511" i="2"/>
  <c r="O511" i="2"/>
  <c r="N511" i="2"/>
  <c r="P510" i="2"/>
  <c r="O510" i="2"/>
  <c r="N510" i="2"/>
  <c r="P509" i="2"/>
  <c r="O509" i="2"/>
  <c r="N509" i="2"/>
  <c r="P508" i="2"/>
  <c r="O508" i="2"/>
  <c r="N508" i="2"/>
  <c r="P507" i="2"/>
  <c r="O507" i="2"/>
  <c r="N507" i="2"/>
  <c r="Q507" i="2" s="1"/>
  <c r="P506" i="2"/>
  <c r="O506" i="2"/>
  <c r="N506" i="2"/>
  <c r="P505" i="2"/>
  <c r="O505" i="2"/>
  <c r="N505" i="2"/>
  <c r="Q505" i="2" s="1"/>
  <c r="P504" i="2"/>
  <c r="O504" i="2"/>
  <c r="N504" i="2"/>
  <c r="P503" i="2"/>
  <c r="O503" i="2"/>
  <c r="N503" i="2"/>
  <c r="P502" i="2"/>
  <c r="O502" i="2"/>
  <c r="N502" i="2"/>
  <c r="P501" i="2"/>
  <c r="O501" i="2"/>
  <c r="N501" i="2"/>
  <c r="P500" i="2"/>
  <c r="O500" i="2"/>
  <c r="N500" i="2"/>
  <c r="P499" i="2"/>
  <c r="O499" i="2"/>
  <c r="N499" i="2"/>
  <c r="P498" i="2"/>
  <c r="O498" i="2"/>
  <c r="N498" i="2"/>
  <c r="P497" i="2"/>
  <c r="O497" i="2"/>
  <c r="N497" i="2"/>
  <c r="P496" i="2"/>
  <c r="O496" i="2"/>
  <c r="N496" i="2"/>
  <c r="P495" i="2"/>
  <c r="O495" i="2"/>
  <c r="N495" i="2"/>
  <c r="P494" i="2"/>
  <c r="O494" i="2"/>
  <c r="N494" i="2"/>
  <c r="P493" i="2"/>
  <c r="O493" i="2"/>
  <c r="N493" i="2"/>
  <c r="P492" i="2"/>
  <c r="O492" i="2"/>
  <c r="N492" i="2"/>
  <c r="P491" i="2"/>
  <c r="O491" i="2"/>
  <c r="N491" i="2"/>
  <c r="Q491" i="2" s="1"/>
  <c r="P490" i="2"/>
  <c r="O490" i="2"/>
  <c r="N490" i="2"/>
  <c r="P489" i="2"/>
  <c r="O489" i="2"/>
  <c r="N489" i="2"/>
  <c r="Q489" i="2" s="1"/>
  <c r="P488" i="2"/>
  <c r="O488" i="2"/>
  <c r="N488" i="2"/>
  <c r="P487" i="2"/>
  <c r="Q487" i="2" s="1"/>
  <c r="O487" i="2"/>
  <c r="N487" i="2"/>
  <c r="P486" i="2"/>
  <c r="O486" i="2"/>
  <c r="N486" i="2"/>
  <c r="P485" i="2"/>
  <c r="O485" i="2"/>
  <c r="N485" i="2"/>
  <c r="P484" i="2"/>
  <c r="O484" i="2"/>
  <c r="N484" i="2"/>
  <c r="P483" i="2"/>
  <c r="O483" i="2"/>
  <c r="N483" i="2"/>
  <c r="Q483" i="2" s="1"/>
  <c r="P482" i="2"/>
  <c r="O482" i="2"/>
  <c r="N482" i="2"/>
  <c r="P481" i="2"/>
  <c r="O481" i="2"/>
  <c r="N481" i="2"/>
  <c r="P480" i="2"/>
  <c r="O480" i="2"/>
  <c r="N480" i="2"/>
  <c r="P479" i="2"/>
  <c r="O479" i="2"/>
  <c r="N479" i="2"/>
  <c r="P478" i="2"/>
  <c r="O478" i="2"/>
  <c r="N478" i="2"/>
  <c r="P477" i="2"/>
  <c r="O477" i="2"/>
  <c r="N477" i="2"/>
  <c r="P476" i="2"/>
  <c r="O476" i="2"/>
  <c r="N476" i="2"/>
  <c r="P475" i="2"/>
  <c r="O475" i="2"/>
  <c r="N475" i="2"/>
  <c r="Q475" i="2" s="1"/>
  <c r="P474" i="2"/>
  <c r="O474" i="2"/>
  <c r="N474" i="2"/>
  <c r="P473" i="2"/>
  <c r="O473" i="2"/>
  <c r="N473" i="2"/>
  <c r="Q473" i="2" s="1"/>
  <c r="P472" i="2"/>
  <c r="O472" i="2"/>
  <c r="N472" i="2"/>
  <c r="P471" i="2"/>
  <c r="O471" i="2"/>
  <c r="N471" i="2"/>
  <c r="P470" i="2"/>
  <c r="O470" i="2"/>
  <c r="N470" i="2"/>
  <c r="P469" i="2"/>
  <c r="O469" i="2"/>
  <c r="N469" i="2"/>
  <c r="P468" i="2"/>
  <c r="O468" i="2"/>
  <c r="N468" i="2"/>
  <c r="P467" i="2"/>
  <c r="O467" i="2"/>
  <c r="N467" i="2"/>
  <c r="P466" i="2"/>
  <c r="O466" i="2"/>
  <c r="N466" i="2"/>
  <c r="P465" i="2"/>
  <c r="O465" i="2"/>
  <c r="N465" i="2"/>
  <c r="P464" i="2"/>
  <c r="O464" i="2"/>
  <c r="N464" i="2"/>
  <c r="P463" i="2"/>
  <c r="O463" i="2"/>
  <c r="N463" i="2"/>
  <c r="P462" i="2"/>
  <c r="O462" i="2"/>
  <c r="N462" i="2"/>
  <c r="P461" i="2"/>
  <c r="O461" i="2"/>
  <c r="N461" i="2"/>
  <c r="P460" i="2"/>
  <c r="O460" i="2"/>
  <c r="N460" i="2"/>
  <c r="P459" i="2"/>
  <c r="O459" i="2"/>
  <c r="N459" i="2"/>
  <c r="P458" i="2"/>
  <c r="O458" i="2"/>
  <c r="N458" i="2"/>
  <c r="P457" i="2"/>
  <c r="O457" i="2"/>
  <c r="N457" i="2"/>
  <c r="Q457" i="2" s="1"/>
  <c r="P456" i="2"/>
  <c r="O456" i="2"/>
  <c r="N456" i="2"/>
  <c r="P455" i="2"/>
  <c r="O455" i="2"/>
  <c r="N455" i="2"/>
  <c r="P454" i="2"/>
  <c r="O454" i="2"/>
  <c r="N454" i="2"/>
  <c r="P453" i="2"/>
  <c r="O453" i="2"/>
  <c r="N453" i="2"/>
  <c r="P452" i="2"/>
  <c r="O452" i="2"/>
  <c r="N452" i="2"/>
  <c r="P451" i="2"/>
  <c r="O451" i="2"/>
  <c r="N451" i="2"/>
  <c r="Q451" i="2" s="1"/>
  <c r="P450" i="2"/>
  <c r="O450" i="2"/>
  <c r="N450" i="2"/>
  <c r="P449" i="2"/>
  <c r="O449" i="2"/>
  <c r="N449" i="2"/>
  <c r="P448" i="2"/>
  <c r="O448" i="2"/>
  <c r="N448" i="2"/>
  <c r="P447" i="2"/>
  <c r="O447" i="2"/>
  <c r="N447" i="2"/>
  <c r="P446" i="2"/>
  <c r="O446" i="2"/>
  <c r="N446" i="2"/>
  <c r="P445" i="2"/>
  <c r="O445" i="2"/>
  <c r="N445" i="2"/>
  <c r="P444" i="2"/>
  <c r="O444" i="2"/>
  <c r="N444" i="2"/>
  <c r="P443" i="2"/>
  <c r="O443" i="2"/>
  <c r="N443" i="2"/>
  <c r="Q443" i="2" s="1"/>
  <c r="P442" i="2"/>
  <c r="O442" i="2"/>
  <c r="N442" i="2"/>
  <c r="P441" i="2"/>
  <c r="O441" i="2"/>
  <c r="N441" i="2"/>
  <c r="P440" i="2"/>
  <c r="O440" i="2"/>
  <c r="N440" i="2"/>
  <c r="P439" i="2"/>
  <c r="O439" i="2"/>
  <c r="N439" i="2"/>
  <c r="P438" i="2"/>
  <c r="O438" i="2"/>
  <c r="N438" i="2"/>
  <c r="P437" i="2"/>
  <c r="O437" i="2"/>
  <c r="N437" i="2"/>
  <c r="P436" i="2"/>
  <c r="O436" i="2"/>
  <c r="N436" i="2"/>
  <c r="P435" i="2"/>
  <c r="O435" i="2"/>
  <c r="N435" i="2"/>
  <c r="P434" i="2"/>
  <c r="O434" i="2"/>
  <c r="N434" i="2"/>
  <c r="P433" i="2"/>
  <c r="O433" i="2"/>
  <c r="N433" i="2"/>
  <c r="P432" i="2"/>
  <c r="O432" i="2"/>
  <c r="N432" i="2"/>
  <c r="P431" i="2"/>
  <c r="O431" i="2"/>
  <c r="N431" i="2"/>
  <c r="P430" i="2"/>
  <c r="O430" i="2"/>
  <c r="N430" i="2"/>
  <c r="P429" i="2"/>
  <c r="O429" i="2"/>
  <c r="N429" i="2"/>
  <c r="P428" i="2"/>
  <c r="O428" i="2"/>
  <c r="N428" i="2"/>
  <c r="P427" i="2"/>
  <c r="O427" i="2"/>
  <c r="N427" i="2"/>
  <c r="P426" i="2"/>
  <c r="O426" i="2"/>
  <c r="N426" i="2"/>
  <c r="P425" i="2"/>
  <c r="O425" i="2"/>
  <c r="N425" i="2"/>
  <c r="Q425" i="2" s="1"/>
  <c r="P424" i="2"/>
  <c r="O424" i="2"/>
  <c r="N424" i="2"/>
  <c r="P423" i="2"/>
  <c r="O423" i="2"/>
  <c r="N423" i="2"/>
  <c r="P422" i="2"/>
  <c r="O422" i="2"/>
  <c r="N422" i="2"/>
  <c r="P421" i="2"/>
  <c r="O421" i="2"/>
  <c r="N421" i="2"/>
  <c r="P420" i="2"/>
  <c r="O420" i="2"/>
  <c r="N420" i="2"/>
  <c r="P419" i="2"/>
  <c r="O419" i="2"/>
  <c r="N419" i="2"/>
  <c r="Q419" i="2" s="1"/>
  <c r="P418" i="2"/>
  <c r="O418" i="2"/>
  <c r="N418" i="2"/>
  <c r="P417" i="2"/>
  <c r="O417" i="2"/>
  <c r="N417" i="2"/>
  <c r="P416" i="2"/>
  <c r="O416" i="2"/>
  <c r="N416" i="2"/>
  <c r="P415" i="2"/>
  <c r="O415" i="2"/>
  <c r="N415" i="2"/>
  <c r="P414" i="2"/>
  <c r="O414" i="2"/>
  <c r="N414" i="2"/>
  <c r="P413" i="2"/>
  <c r="O413" i="2"/>
  <c r="N413" i="2"/>
  <c r="P412" i="2"/>
  <c r="O412" i="2"/>
  <c r="N412" i="2"/>
  <c r="P411" i="2"/>
  <c r="O411" i="2"/>
  <c r="N411" i="2"/>
  <c r="Q411" i="2" s="1"/>
  <c r="P410" i="2"/>
  <c r="O410" i="2"/>
  <c r="N410" i="2"/>
  <c r="P409" i="2"/>
  <c r="O409" i="2"/>
  <c r="N409" i="2"/>
  <c r="Q409" i="2" s="1"/>
  <c r="P408" i="2"/>
  <c r="O408" i="2"/>
  <c r="N408" i="2"/>
  <c r="P407" i="2"/>
  <c r="O407" i="2"/>
  <c r="N407" i="2"/>
  <c r="P406" i="2"/>
  <c r="O406" i="2"/>
  <c r="N406" i="2"/>
  <c r="P405" i="2"/>
  <c r="Q405" i="2" s="1"/>
  <c r="O405" i="2"/>
  <c r="N405" i="2"/>
  <c r="P404" i="2"/>
  <c r="O404" i="2"/>
  <c r="N404" i="2"/>
  <c r="P403" i="2"/>
  <c r="O403" i="2"/>
  <c r="N403" i="2"/>
  <c r="P402" i="2"/>
  <c r="O402" i="2"/>
  <c r="N402" i="2"/>
  <c r="P401" i="2"/>
  <c r="O401" i="2"/>
  <c r="N401" i="2"/>
  <c r="P400" i="2"/>
  <c r="O400" i="2"/>
  <c r="N400" i="2"/>
  <c r="P399" i="2"/>
  <c r="O399" i="2"/>
  <c r="N399" i="2"/>
  <c r="P398" i="2"/>
  <c r="O398" i="2"/>
  <c r="N398" i="2"/>
  <c r="P397" i="2"/>
  <c r="O397" i="2"/>
  <c r="N397" i="2"/>
  <c r="P396" i="2"/>
  <c r="O396" i="2"/>
  <c r="N396" i="2"/>
  <c r="P395" i="2"/>
  <c r="O395" i="2"/>
  <c r="N395" i="2"/>
  <c r="P394" i="2"/>
  <c r="O394" i="2"/>
  <c r="N394" i="2"/>
  <c r="P393" i="2"/>
  <c r="O393" i="2"/>
  <c r="N393" i="2"/>
  <c r="Q393" i="2" s="1"/>
  <c r="P392" i="2"/>
  <c r="O392" i="2"/>
  <c r="N392" i="2"/>
  <c r="P391" i="2"/>
  <c r="O391" i="2"/>
  <c r="N391" i="2"/>
  <c r="P390" i="2"/>
  <c r="O390" i="2"/>
  <c r="N390" i="2"/>
  <c r="P389" i="2"/>
  <c r="O389" i="2"/>
  <c r="N389" i="2"/>
  <c r="P388" i="2"/>
  <c r="O388" i="2"/>
  <c r="N388" i="2"/>
  <c r="P387" i="2"/>
  <c r="O387" i="2"/>
  <c r="N387" i="2"/>
  <c r="Q387" i="2" s="1"/>
  <c r="P386" i="2"/>
  <c r="O386" i="2"/>
  <c r="N386" i="2"/>
  <c r="P385" i="2"/>
  <c r="O385" i="2"/>
  <c r="N385" i="2"/>
  <c r="P384" i="2"/>
  <c r="O384" i="2"/>
  <c r="N384" i="2"/>
  <c r="P383" i="2"/>
  <c r="O383" i="2"/>
  <c r="N383" i="2"/>
  <c r="P382" i="2"/>
  <c r="O382" i="2"/>
  <c r="N382" i="2"/>
  <c r="P381" i="2"/>
  <c r="O381" i="2"/>
  <c r="N381" i="2"/>
  <c r="P380" i="2"/>
  <c r="O380" i="2"/>
  <c r="N380" i="2"/>
  <c r="P379" i="2"/>
  <c r="O379" i="2"/>
  <c r="N379" i="2"/>
  <c r="Q379" i="2" s="1"/>
  <c r="P378" i="2"/>
  <c r="O378" i="2"/>
  <c r="N378" i="2"/>
  <c r="P377" i="2"/>
  <c r="O377" i="2"/>
  <c r="N377" i="2"/>
  <c r="P376" i="2"/>
  <c r="O376" i="2"/>
  <c r="N376" i="2"/>
  <c r="P375" i="2"/>
  <c r="O375" i="2"/>
  <c r="N375" i="2"/>
  <c r="P374" i="2"/>
  <c r="O374" i="2"/>
  <c r="N374" i="2"/>
  <c r="P373" i="2"/>
  <c r="O373" i="2"/>
  <c r="N373" i="2"/>
  <c r="P372" i="2"/>
  <c r="O372" i="2"/>
  <c r="N372" i="2"/>
  <c r="P371" i="2"/>
  <c r="O371" i="2"/>
  <c r="N371" i="2"/>
  <c r="P370" i="2"/>
  <c r="O370" i="2"/>
  <c r="N370" i="2"/>
  <c r="P369" i="2"/>
  <c r="O369" i="2"/>
  <c r="N369" i="2"/>
  <c r="P368" i="2"/>
  <c r="O368" i="2"/>
  <c r="N368" i="2"/>
  <c r="P367" i="2"/>
  <c r="O367" i="2"/>
  <c r="N367" i="2"/>
  <c r="P366" i="2"/>
  <c r="O366" i="2"/>
  <c r="N366" i="2"/>
  <c r="P365" i="2"/>
  <c r="O365" i="2"/>
  <c r="N365" i="2"/>
  <c r="P364" i="2"/>
  <c r="O364" i="2"/>
  <c r="N364" i="2"/>
  <c r="P363" i="2"/>
  <c r="O363" i="2"/>
  <c r="N363" i="2"/>
  <c r="P362" i="2"/>
  <c r="O362" i="2"/>
  <c r="N362" i="2"/>
  <c r="P361" i="2"/>
  <c r="O361" i="2"/>
  <c r="N361" i="2"/>
  <c r="Q361" i="2" s="1"/>
  <c r="P360" i="2"/>
  <c r="O360" i="2"/>
  <c r="N360" i="2"/>
  <c r="P359" i="2"/>
  <c r="O359" i="2"/>
  <c r="N359" i="2"/>
  <c r="P358" i="2"/>
  <c r="O358" i="2"/>
  <c r="N358" i="2"/>
  <c r="P357" i="2"/>
  <c r="O357" i="2"/>
  <c r="N357" i="2"/>
  <c r="P356" i="2"/>
  <c r="O356" i="2"/>
  <c r="N356" i="2"/>
  <c r="P355" i="2"/>
  <c r="O355" i="2"/>
  <c r="N355" i="2"/>
  <c r="Q355" i="2" s="1"/>
  <c r="P354" i="2"/>
  <c r="O354" i="2"/>
  <c r="N354" i="2"/>
  <c r="P353" i="2"/>
  <c r="O353" i="2"/>
  <c r="N353" i="2"/>
  <c r="P352" i="2"/>
  <c r="O352" i="2"/>
  <c r="N352" i="2"/>
  <c r="P351" i="2"/>
  <c r="O351" i="2"/>
  <c r="N351" i="2"/>
  <c r="P350" i="2"/>
  <c r="O350" i="2"/>
  <c r="N350" i="2"/>
  <c r="P349" i="2"/>
  <c r="O349" i="2"/>
  <c r="N349" i="2"/>
  <c r="P348" i="2"/>
  <c r="O348" i="2"/>
  <c r="N348" i="2"/>
  <c r="P347" i="2"/>
  <c r="O347" i="2"/>
  <c r="N347" i="2"/>
  <c r="Q347" i="2" s="1"/>
  <c r="P346" i="2"/>
  <c r="O346" i="2"/>
  <c r="N346" i="2"/>
  <c r="P345" i="2"/>
  <c r="O345" i="2"/>
  <c r="N345" i="2"/>
  <c r="Q345" i="2" s="1"/>
  <c r="P344" i="2"/>
  <c r="O344" i="2"/>
  <c r="N344" i="2"/>
  <c r="P343" i="2"/>
  <c r="O343" i="2"/>
  <c r="N343" i="2"/>
  <c r="P342" i="2"/>
  <c r="O342" i="2"/>
  <c r="N342" i="2"/>
  <c r="Q341" i="2"/>
  <c r="P341" i="2"/>
  <c r="O341" i="2"/>
  <c r="N341" i="2"/>
  <c r="P340" i="2"/>
  <c r="O340" i="2"/>
  <c r="N340" i="2"/>
  <c r="P339" i="2"/>
  <c r="O339" i="2"/>
  <c r="N339" i="2"/>
  <c r="P338" i="2"/>
  <c r="O338" i="2"/>
  <c r="N338" i="2"/>
  <c r="P337" i="2"/>
  <c r="O337" i="2"/>
  <c r="N337" i="2"/>
  <c r="P336" i="2"/>
  <c r="Q336" i="2" s="1"/>
  <c r="O336" i="2"/>
  <c r="N336" i="2"/>
  <c r="P335" i="2"/>
  <c r="O335" i="2"/>
  <c r="N335" i="2"/>
  <c r="Q335" i="2" s="1"/>
  <c r="P334" i="2"/>
  <c r="O334" i="2"/>
  <c r="N334" i="2"/>
  <c r="P333" i="2"/>
  <c r="O333" i="2"/>
  <c r="N333" i="2"/>
  <c r="P332" i="2"/>
  <c r="O332" i="2"/>
  <c r="N332" i="2"/>
  <c r="P331" i="2"/>
  <c r="O331" i="2"/>
  <c r="N331" i="2"/>
  <c r="P330" i="2"/>
  <c r="O330" i="2"/>
  <c r="N330" i="2"/>
  <c r="P329" i="2"/>
  <c r="O329" i="2"/>
  <c r="N329" i="2"/>
  <c r="P328" i="2"/>
  <c r="O328" i="2"/>
  <c r="N328" i="2"/>
  <c r="P327" i="2"/>
  <c r="O327" i="2"/>
  <c r="N327" i="2"/>
  <c r="P326" i="2"/>
  <c r="O326" i="2"/>
  <c r="N326" i="2"/>
  <c r="P325" i="2"/>
  <c r="O325" i="2"/>
  <c r="N325" i="2"/>
  <c r="P324" i="2"/>
  <c r="O324" i="2"/>
  <c r="N324" i="2"/>
  <c r="P323" i="2"/>
  <c r="O323" i="2"/>
  <c r="N323" i="2"/>
  <c r="P322" i="2"/>
  <c r="O322" i="2"/>
  <c r="N322" i="2"/>
  <c r="P321" i="2"/>
  <c r="O321" i="2"/>
  <c r="N321" i="2"/>
  <c r="P320" i="2"/>
  <c r="O320" i="2"/>
  <c r="N320" i="2"/>
  <c r="P319" i="2"/>
  <c r="O319" i="2"/>
  <c r="N319" i="2"/>
  <c r="Q319" i="2" s="1"/>
  <c r="P318" i="2"/>
  <c r="O318" i="2"/>
  <c r="N318" i="2"/>
  <c r="P317" i="2"/>
  <c r="O317" i="2"/>
  <c r="N317" i="2"/>
  <c r="P316" i="2"/>
  <c r="O316" i="2"/>
  <c r="N316" i="2"/>
  <c r="P315" i="2"/>
  <c r="O315" i="2"/>
  <c r="N315" i="2"/>
  <c r="P314" i="2"/>
  <c r="O314" i="2"/>
  <c r="N314" i="2"/>
  <c r="P313" i="2"/>
  <c r="O313" i="2"/>
  <c r="N313" i="2"/>
  <c r="P312" i="2"/>
  <c r="O312" i="2"/>
  <c r="N312" i="2"/>
  <c r="P311" i="2"/>
  <c r="O311" i="2"/>
  <c r="N311" i="2"/>
  <c r="P310" i="2"/>
  <c r="O310" i="2"/>
  <c r="N310" i="2"/>
  <c r="P309" i="2"/>
  <c r="O309" i="2"/>
  <c r="N309" i="2"/>
  <c r="P308" i="2"/>
  <c r="O308" i="2"/>
  <c r="N308" i="2"/>
  <c r="P307" i="2"/>
  <c r="O307" i="2"/>
  <c r="N307" i="2"/>
  <c r="P306" i="2"/>
  <c r="O306" i="2"/>
  <c r="N306" i="2"/>
  <c r="P305" i="2"/>
  <c r="O305" i="2"/>
  <c r="N305" i="2"/>
  <c r="P304" i="2"/>
  <c r="O304" i="2"/>
  <c r="N304" i="2"/>
  <c r="P303" i="2"/>
  <c r="O303" i="2"/>
  <c r="N303" i="2"/>
  <c r="P302" i="2"/>
  <c r="O302" i="2"/>
  <c r="N302" i="2"/>
  <c r="P301" i="2"/>
  <c r="O301" i="2"/>
  <c r="N301" i="2"/>
  <c r="P300" i="2"/>
  <c r="O300" i="2"/>
  <c r="N300" i="2"/>
  <c r="P299" i="2"/>
  <c r="O299" i="2"/>
  <c r="N299" i="2"/>
  <c r="P298" i="2"/>
  <c r="O298" i="2"/>
  <c r="N298" i="2"/>
  <c r="P297" i="2"/>
  <c r="O297" i="2"/>
  <c r="N297" i="2"/>
  <c r="P296" i="2"/>
  <c r="O296" i="2"/>
  <c r="N296" i="2"/>
  <c r="P295" i="2"/>
  <c r="O295" i="2"/>
  <c r="N295" i="2"/>
  <c r="Q295" i="2" s="1"/>
  <c r="P294" i="2"/>
  <c r="O294" i="2"/>
  <c r="N294" i="2"/>
  <c r="P293" i="2"/>
  <c r="O293" i="2"/>
  <c r="N293" i="2"/>
  <c r="P292" i="2"/>
  <c r="O292" i="2"/>
  <c r="N292" i="2"/>
  <c r="P291" i="2"/>
  <c r="O291" i="2"/>
  <c r="Q291" i="2" s="1"/>
  <c r="N291" i="2"/>
  <c r="P290" i="2"/>
  <c r="O290" i="2"/>
  <c r="N290" i="2"/>
  <c r="P289" i="2"/>
  <c r="O289" i="2"/>
  <c r="N289" i="2"/>
  <c r="P288" i="2"/>
  <c r="O288" i="2"/>
  <c r="N288" i="2"/>
  <c r="P287" i="2"/>
  <c r="O287" i="2"/>
  <c r="N287" i="2"/>
  <c r="Q287" i="2" s="1"/>
  <c r="P286" i="2"/>
  <c r="O286" i="2"/>
  <c r="N286" i="2"/>
  <c r="P285" i="2"/>
  <c r="O285" i="2"/>
  <c r="N285" i="2"/>
  <c r="P284" i="2"/>
  <c r="O284" i="2"/>
  <c r="N284" i="2"/>
  <c r="P283" i="2"/>
  <c r="O283" i="2"/>
  <c r="N283" i="2"/>
  <c r="P282" i="2"/>
  <c r="O282" i="2"/>
  <c r="N282" i="2"/>
  <c r="P281" i="2"/>
  <c r="O281" i="2"/>
  <c r="N281" i="2"/>
  <c r="P280" i="2"/>
  <c r="O280" i="2"/>
  <c r="N280" i="2"/>
  <c r="P279" i="2"/>
  <c r="O279" i="2"/>
  <c r="N279" i="2"/>
  <c r="P278" i="2"/>
  <c r="O278" i="2"/>
  <c r="N278" i="2"/>
  <c r="P277" i="2"/>
  <c r="O277" i="2"/>
  <c r="N277" i="2"/>
  <c r="P276" i="2"/>
  <c r="O276" i="2"/>
  <c r="N276" i="2"/>
  <c r="P275" i="2"/>
  <c r="O275" i="2"/>
  <c r="N275" i="2"/>
  <c r="P274" i="2"/>
  <c r="O274" i="2"/>
  <c r="N274" i="2"/>
  <c r="P273" i="2"/>
  <c r="O273" i="2"/>
  <c r="N273" i="2"/>
  <c r="P272" i="2"/>
  <c r="O272" i="2"/>
  <c r="N272" i="2"/>
  <c r="P271" i="2"/>
  <c r="O271" i="2"/>
  <c r="N271" i="2"/>
  <c r="P270" i="2"/>
  <c r="O270" i="2"/>
  <c r="N270" i="2"/>
  <c r="P269" i="2"/>
  <c r="O269" i="2"/>
  <c r="N269" i="2"/>
  <c r="Q269" i="2" s="1"/>
  <c r="P268" i="2"/>
  <c r="O268" i="2"/>
  <c r="N268" i="2"/>
  <c r="P267" i="2"/>
  <c r="O267" i="2"/>
  <c r="N267" i="2"/>
  <c r="P266" i="2"/>
  <c r="O266" i="2"/>
  <c r="N266" i="2"/>
  <c r="P265" i="2"/>
  <c r="O265" i="2"/>
  <c r="Q265" i="2" s="1"/>
  <c r="N265" i="2"/>
  <c r="P264" i="2"/>
  <c r="O264" i="2"/>
  <c r="N264" i="2"/>
  <c r="P263" i="2"/>
  <c r="O263" i="2"/>
  <c r="N263" i="2"/>
  <c r="P262" i="2"/>
  <c r="O262" i="2"/>
  <c r="N262" i="2"/>
  <c r="P261" i="2"/>
  <c r="O261" i="2"/>
  <c r="N261" i="2"/>
  <c r="Q261" i="2" s="1"/>
  <c r="P260" i="2"/>
  <c r="O260" i="2"/>
  <c r="N260" i="2"/>
  <c r="P259" i="2"/>
  <c r="O259" i="2"/>
  <c r="N259" i="2"/>
  <c r="P258" i="2"/>
  <c r="O258" i="2"/>
  <c r="N258" i="2"/>
  <c r="P257" i="2"/>
  <c r="O257" i="2"/>
  <c r="N257" i="2"/>
  <c r="P256" i="2"/>
  <c r="O256" i="2"/>
  <c r="N256" i="2"/>
  <c r="P255" i="2"/>
  <c r="O255" i="2"/>
  <c r="N255" i="2"/>
  <c r="P254" i="2"/>
  <c r="O254" i="2"/>
  <c r="N254" i="2"/>
  <c r="P253" i="2"/>
  <c r="O253" i="2"/>
  <c r="N253" i="2"/>
  <c r="Q253" i="2" s="1"/>
  <c r="P252" i="2"/>
  <c r="O252" i="2"/>
  <c r="N252" i="2"/>
  <c r="P251" i="2"/>
  <c r="O251" i="2"/>
  <c r="N251" i="2"/>
  <c r="P250" i="2"/>
  <c r="O250" i="2"/>
  <c r="N250" i="2"/>
  <c r="P249" i="2"/>
  <c r="O249" i="2"/>
  <c r="N249" i="2"/>
  <c r="P248" i="2"/>
  <c r="O248" i="2"/>
  <c r="N248" i="2"/>
  <c r="P247" i="2"/>
  <c r="O247" i="2"/>
  <c r="N247" i="2"/>
  <c r="P246" i="2"/>
  <c r="O246" i="2"/>
  <c r="N246" i="2"/>
  <c r="P245" i="2"/>
  <c r="O245" i="2"/>
  <c r="N245" i="2"/>
  <c r="P244" i="2"/>
  <c r="O244" i="2"/>
  <c r="N244" i="2"/>
  <c r="P243" i="2"/>
  <c r="O243" i="2"/>
  <c r="N243" i="2"/>
  <c r="P242" i="2"/>
  <c r="O242" i="2"/>
  <c r="N242" i="2"/>
  <c r="P241" i="2"/>
  <c r="O241" i="2"/>
  <c r="N241" i="2"/>
  <c r="P240" i="2"/>
  <c r="O240" i="2"/>
  <c r="N240" i="2"/>
  <c r="P239" i="2"/>
  <c r="O239" i="2"/>
  <c r="N239" i="2"/>
  <c r="P238" i="2"/>
  <c r="O238" i="2"/>
  <c r="N238" i="2"/>
  <c r="P237" i="2"/>
  <c r="O237" i="2"/>
  <c r="N237" i="2"/>
  <c r="P236" i="2"/>
  <c r="O236" i="2"/>
  <c r="N236" i="2"/>
  <c r="P235" i="2"/>
  <c r="O235" i="2"/>
  <c r="N235" i="2"/>
  <c r="P234" i="2"/>
  <c r="O234" i="2"/>
  <c r="N234" i="2"/>
  <c r="P233" i="2"/>
  <c r="O233" i="2"/>
  <c r="N233" i="2"/>
  <c r="P232" i="2"/>
  <c r="O232" i="2"/>
  <c r="N232" i="2"/>
  <c r="P231" i="2"/>
  <c r="O231" i="2"/>
  <c r="N231" i="2"/>
  <c r="P230" i="2"/>
  <c r="O230" i="2"/>
  <c r="N230" i="2"/>
  <c r="P229" i="2"/>
  <c r="O229" i="2"/>
  <c r="N229" i="2"/>
  <c r="P228" i="2"/>
  <c r="O228" i="2"/>
  <c r="N228" i="2"/>
  <c r="P227" i="2"/>
  <c r="O227" i="2"/>
  <c r="N227" i="2"/>
  <c r="Q227" i="2" s="1"/>
  <c r="P226" i="2"/>
  <c r="O226" i="2"/>
  <c r="N226" i="2"/>
  <c r="P225" i="2"/>
  <c r="O225" i="2"/>
  <c r="N225" i="2"/>
  <c r="P224" i="2"/>
  <c r="O224" i="2"/>
  <c r="N224" i="2"/>
  <c r="P223" i="2"/>
  <c r="O223" i="2"/>
  <c r="N223" i="2"/>
  <c r="P222" i="2"/>
  <c r="O222" i="2"/>
  <c r="N222" i="2"/>
  <c r="P221" i="2"/>
  <c r="O221" i="2"/>
  <c r="N221" i="2"/>
  <c r="P220" i="2"/>
  <c r="O220" i="2"/>
  <c r="N220" i="2"/>
  <c r="P219" i="2"/>
  <c r="O219" i="2"/>
  <c r="N219" i="2"/>
  <c r="P218" i="2"/>
  <c r="O218" i="2"/>
  <c r="N218" i="2"/>
  <c r="P217" i="2"/>
  <c r="O217" i="2"/>
  <c r="N217" i="2"/>
  <c r="P216" i="2"/>
  <c r="O216" i="2"/>
  <c r="N216" i="2"/>
  <c r="P215" i="2"/>
  <c r="O215" i="2"/>
  <c r="N215" i="2"/>
  <c r="P214" i="2"/>
  <c r="O214" i="2"/>
  <c r="N214" i="2"/>
  <c r="P213" i="2"/>
  <c r="O213" i="2"/>
  <c r="N213" i="2"/>
  <c r="P212" i="2"/>
  <c r="O212" i="2"/>
  <c r="N212" i="2"/>
  <c r="P211" i="2"/>
  <c r="O211" i="2"/>
  <c r="N211" i="2"/>
  <c r="Q211" i="2" s="1"/>
  <c r="P210" i="2"/>
  <c r="O210" i="2"/>
  <c r="N210" i="2"/>
  <c r="P209" i="2"/>
  <c r="O209" i="2"/>
  <c r="N209" i="2"/>
  <c r="P208" i="2"/>
  <c r="O208" i="2"/>
  <c r="N208" i="2"/>
  <c r="P207" i="2"/>
  <c r="O207" i="2"/>
  <c r="N207" i="2"/>
  <c r="P206" i="2"/>
  <c r="O206" i="2"/>
  <c r="N206" i="2"/>
  <c r="P205" i="2"/>
  <c r="O205" i="2"/>
  <c r="N205" i="2"/>
  <c r="P204" i="2"/>
  <c r="O204" i="2"/>
  <c r="N204" i="2"/>
  <c r="P203" i="2"/>
  <c r="O203" i="2"/>
  <c r="N203" i="2"/>
  <c r="P202" i="2"/>
  <c r="O202" i="2"/>
  <c r="N202" i="2"/>
  <c r="P201" i="2"/>
  <c r="O201" i="2"/>
  <c r="N201" i="2"/>
  <c r="Q201" i="2" s="1"/>
  <c r="P200" i="2"/>
  <c r="O200" i="2"/>
  <c r="N200" i="2"/>
  <c r="P199" i="2"/>
  <c r="O199" i="2"/>
  <c r="N199" i="2"/>
  <c r="P198" i="2"/>
  <c r="O198" i="2"/>
  <c r="N198" i="2"/>
  <c r="P197" i="2"/>
  <c r="O197" i="2"/>
  <c r="N197" i="2"/>
  <c r="P196" i="2"/>
  <c r="O196" i="2"/>
  <c r="N196" i="2"/>
  <c r="P195" i="2"/>
  <c r="O195" i="2"/>
  <c r="N195" i="2"/>
  <c r="P194" i="2"/>
  <c r="O194" i="2"/>
  <c r="N194" i="2"/>
  <c r="P193" i="2"/>
  <c r="O193" i="2"/>
  <c r="N193" i="2"/>
  <c r="P192" i="2"/>
  <c r="O192" i="2"/>
  <c r="N192" i="2"/>
  <c r="P191" i="2"/>
  <c r="O191" i="2"/>
  <c r="N191" i="2"/>
  <c r="P190" i="2"/>
  <c r="O190" i="2"/>
  <c r="N190" i="2"/>
  <c r="P189" i="2"/>
  <c r="O189" i="2"/>
  <c r="N189" i="2"/>
  <c r="P188" i="2"/>
  <c r="O188" i="2"/>
  <c r="N188" i="2"/>
  <c r="P187" i="2"/>
  <c r="O187" i="2"/>
  <c r="N187" i="2"/>
  <c r="P186" i="2"/>
  <c r="O186" i="2"/>
  <c r="N186" i="2"/>
  <c r="P185" i="2"/>
  <c r="O185" i="2"/>
  <c r="N185" i="2"/>
  <c r="Q185" i="2" s="1"/>
  <c r="P184" i="2"/>
  <c r="O184" i="2"/>
  <c r="N184" i="2"/>
  <c r="P183" i="2"/>
  <c r="O183" i="2"/>
  <c r="N183" i="2"/>
  <c r="P182" i="2"/>
  <c r="O182" i="2"/>
  <c r="N182" i="2"/>
  <c r="P181" i="2"/>
  <c r="O181" i="2"/>
  <c r="N181" i="2"/>
  <c r="P180" i="2"/>
  <c r="O180" i="2"/>
  <c r="N180" i="2"/>
  <c r="P179" i="2"/>
  <c r="O179" i="2"/>
  <c r="N179" i="2"/>
  <c r="P178" i="2"/>
  <c r="O178" i="2"/>
  <c r="N178" i="2"/>
  <c r="P177" i="2"/>
  <c r="O177" i="2"/>
  <c r="N177" i="2"/>
  <c r="P176" i="2"/>
  <c r="O176" i="2"/>
  <c r="N176" i="2"/>
  <c r="P175" i="2"/>
  <c r="O175" i="2"/>
  <c r="N175" i="2"/>
  <c r="P174" i="2"/>
  <c r="O174" i="2"/>
  <c r="N174" i="2"/>
  <c r="P173" i="2"/>
  <c r="O173" i="2"/>
  <c r="N173" i="2"/>
  <c r="P172" i="2"/>
  <c r="O172" i="2"/>
  <c r="N172" i="2"/>
  <c r="P171" i="2"/>
  <c r="O171" i="2"/>
  <c r="N171" i="2"/>
  <c r="P170" i="2"/>
  <c r="O170" i="2"/>
  <c r="N170" i="2"/>
  <c r="P169" i="2"/>
  <c r="O169" i="2"/>
  <c r="N169" i="2"/>
  <c r="Q169" i="2" s="1"/>
  <c r="P168" i="2"/>
  <c r="O168" i="2"/>
  <c r="N168" i="2"/>
  <c r="P167" i="2"/>
  <c r="O167" i="2"/>
  <c r="N167" i="2"/>
  <c r="P166" i="2"/>
  <c r="O166" i="2"/>
  <c r="N166" i="2"/>
  <c r="P165" i="2"/>
  <c r="O165" i="2"/>
  <c r="N165" i="2"/>
  <c r="P164" i="2"/>
  <c r="O164" i="2"/>
  <c r="N164" i="2"/>
  <c r="P163" i="2"/>
  <c r="O163" i="2"/>
  <c r="N163" i="2"/>
  <c r="P162" i="2"/>
  <c r="O162" i="2"/>
  <c r="N162" i="2"/>
  <c r="P161" i="2"/>
  <c r="O161" i="2"/>
  <c r="N161" i="2"/>
  <c r="P160" i="2"/>
  <c r="O160" i="2"/>
  <c r="N160" i="2"/>
  <c r="P159" i="2"/>
  <c r="O159" i="2"/>
  <c r="N159" i="2"/>
  <c r="P158" i="2"/>
  <c r="O158" i="2"/>
  <c r="N158" i="2"/>
  <c r="P157" i="2"/>
  <c r="O157" i="2"/>
  <c r="N157" i="2"/>
  <c r="P156" i="2"/>
  <c r="O156" i="2"/>
  <c r="N156" i="2"/>
  <c r="P155" i="2"/>
  <c r="O155" i="2"/>
  <c r="N155" i="2"/>
  <c r="P154" i="2"/>
  <c r="O154" i="2"/>
  <c r="N154" i="2"/>
  <c r="P153" i="2"/>
  <c r="O153" i="2"/>
  <c r="N153" i="2"/>
  <c r="Q153" i="2" s="1"/>
  <c r="P152" i="2"/>
  <c r="O152" i="2"/>
  <c r="N152" i="2"/>
  <c r="P151" i="2"/>
  <c r="O151" i="2"/>
  <c r="N151" i="2"/>
  <c r="P150" i="2"/>
  <c r="O150" i="2"/>
  <c r="N150" i="2"/>
  <c r="P149" i="2"/>
  <c r="O149" i="2"/>
  <c r="N149" i="2"/>
  <c r="P148" i="2"/>
  <c r="O148" i="2"/>
  <c r="N148" i="2"/>
  <c r="P147" i="2"/>
  <c r="O147" i="2"/>
  <c r="N147" i="2"/>
  <c r="P146" i="2"/>
  <c r="O146" i="2"/>
  <c r="N146" i="2"/>
  <c r="P145" i="2"/>
  <c r="O145" i="2"/>
  <c r="N145" i="2"/>
  <c r="Q145" i="2" s="1"/>
  <c r="P144" i="2"/>
  <c r="O144" i="2"/>
  <c r="N144" i="2"/>
  <c r="P143" i="2"/>
  <c r="O143" i="2"/>
  <c r="N143" i="2"/>
  <c r="P142" i="2"/>
  <c r="O142" i="2"/>
  <c r="N142" i="2"/>
  <c r="P141" i="2"/>
  <c r="O141" i="2"/>
  <c r="N141" i="2"/>
  <c r="P140" i="2"/>
  <c r="O140" i="2"/>
  <c r="N140" i="2"/>
  <c r="P139" i="2"/>
  <c r="O139" i="2"/>
  <c r="N139" i="2"/>
  <c r="P138" i="2"/>
  <c r="O138" i="2"/>
  <c r="N138" i="2"/>
  <c r="P137" i="2"/>
  <c r="O137" i="2"/>
  <c r="N137" i="2"/>
  <c r="Q137" i="2" s="1"/>
  <c r="P136" i="2"/>
  <c r="O136" i="2"/>
  <c r="N136" i="2"/>
  <c r="P135" i="2"/>
  <c r="O135" i="2"/>
  <c r="N135" i="2"/>
  <c r="Q135" i="2" s="1"/>
  <c r="P134" i="2"/>
  <c r="O134" i="2"/>
  <c r="N134" i="2"/>
  <c r="P133" i="2"/>
  <c r="O133" i="2"/>
  <c r="N133" i="2"/>
  <c r="P132" i="2"/>
  <c r="O132" i="2"/>
  <c r="N132" i="2"/>
  <c r="P131" i="2"/>
  <c r="O131" i="2"/>
  <c r="N131" i="2"/>
  <c r="P130" i="2"/>
  <c r="O130" i="2"/>
  <c r="N130" i="2"/>
  <c r="P129" i="2"/>
  <c r="O129" i="2"/>
  <c r="N129" i="2"/>
  <c r="Q129" i="2" s="1"/>
  <c r="P128" i="2"/>
  <c r="O128" i="2"/>
  <c r="N128" i="2"/>
  <c r="P127" i="2"/>
  <c r="O127" i="2"/>
  <c r="N127" i="2"/>
  <c r="P126" i="2"/>
  <c r="O126" i="2"/>
  <c r="N126" i="2"/>
  <c r="P125" i="2"/>
  <c r="O125" i="2"/>
  <c r="N125" i="2"/>
  <c r="P124" i="2"/>
  <c r="O124" i="2"/>
  <c r="N124" i="2"/>
  <c r="P123" i="2"/>
  <c r="O123" i="2"/>
  <c r="N123" i="2"/>
  <c r="P122" i="2"/>
  <c r="O122" i="2"/>
  <c r="N122" i="2"/>
  <c r="P121" i="2"/>
  <c r="O121" i="2"/>
  <c r="N121" i="2"/>
  <c r="Q121" i="2" s="1"/>
  <c r="P120" i="2"/>
  <c r="O120" i="2"/>
  <c r="N120" i="2"/>
  <c r="P119" i="2"/>
  <c r="O119" i="2"/>
  <c r="N119" i="2"/>
  <c r="P118" i="2"/>
  <c r="O118" i="2"/>
  <c r="N118" i="2"/>
  <c r="P117" i="2"/>
  <c r="O117" i="2"/>
  <c r="N117" i="2"/>
  <c r="P116" i="2"/>
  <c r="O116" i="2"/>
  <c r="N116" i="2"/>
  <c r="P115" i="2"/>
  <c r="O115" i="2"/>
  <c r="N115" i="2"/>
  <c r="P114" i="2"/>
  <c r="O114" i="2"/>
  <c r="N114" i="2"/>
  <c r="P113" i="2"/>
  <c r="O113" i="2"/>
  <c r="N113" i="2"/>
  <c r="P112" i="2"/>
  <c r="O112" i="2"/>
  <c r="N112" i="2"/>
  <c r="P111" i="2"/>
  <c r="O111" i="2"/>
  <c r="N111" i="2"/>
  <c r="P110" i="2"/>
  <c r="O110" i="2"/>
  <c r="N110" i="2"/>
  <c r="P109" i="2"/>
  <c r="O109" i="2"/>
  <c r="N109" i="2"/>
  <c r="P108" i="2"/>
  <c r="O108" i="2"/>
  <c r="N108" i="2"/>
  <c r="P107" i="2"/>
  <c r="O107" i="2"/>
  <c r="N107" i="2"/>
  <c r="P106" i="2"/>
  <c r="O106" i="2"/>
  <c r="N106" i="2"/>
  <c r="P105" i="2"/>
  <c r="O105" i="2"/>
  <c r="N105" i="2"/>
  <c r="Q105" i="2" s="1"/>
  <c r="P104" i="2"/>
  <c r="O104" i="2"/>
  <c r="N104" i="2"/>
  <c r="P103" i="2"/>
  <c r="O103" i="2"/>
  <c r="N103" i="2"/>
  <c r="P102" i="2"/>
  <c r="O102" i="2"/>
  <c r="N102" i="2"/>
  <c r="P101" i="2"/>
  <c r="O101" i="2"/>
  <c r="N101" i="2"/>
  <c r="P100" i="2"/>
  <c r="O100" i="2"/>
  <c r="N100" i="2"/>
  <c r="P99" i="2"/>
  <c r="O99" i="2"/>
  <c r="N99" i="2"/>
  <c r="P98" i="2"/>
  <c r="O98" i="2"/>
  <c r="N98" i="2"/>
  <c r="P97" i="2"/>
  <c r="O97" i="2"/>
  <c r="N97" i="2"/>
  <c r="P96" i="2"/>
  <c r="O96" i="2"/>
  <c r="N96" i="2"/>
  <c r="P95" i="2"/>
  <c r="O95" i="2"/>
  <c r="N95" i="2"/>
  <c r="P94" i="2"/>
  <c r="O94" i="2"/>
  <c r="N94" i="2"/>
  <c r="P93" i="2"/>
  <c r="O93" i="2"/>
  <c r="N93" i="2"/>
  <c r="P92" i="2"/>
  <c r="O92" i="2"/>
  <c r="N92" i="2"/>
  <c r="P91" i="2"/>
  <c r="O91" i="2"/>
  <c r="N91" i="2"/>
  <c r="P90" i="2"/>
  <c r="O90" i="2"/>
  <c r="N90" i="2"/>
  <c r="P89" i="2"/>
  <c r="O89" i="2"/>
  <c r="N89" i="2"/>
  <c r="Q89" i="2" s="1"/>
  <c r="P88" i="2"/>
  <c r="O88" i="2"/>
  <c r="N88" i="2"/>
  <c r="P87" i="2"/>
  <c r="O87" i="2"/>
  <c r="N87" i="2"/>
  <c r="P86" i="2"/>
  <c r="O86" i="2"/>
  <c r="N86" i="2"/>
  <c r="P85" i="2"/>
  <c r="O85" i="2"/>
  <c r="N85" i="2"/>
  <c r="P84" i="2"/>
  <c r="O84" i="2"/>
  <c r="N84" i="2"/>
  <c r="P83" i="2"/>
  <c r="O83" i="2"/>
  <c r="N83" i="2"/>
  <c r="P82" i="2"/>
  <c r="O82" i="2"/>
  <c r="N82" i="2"/>
  <c r="P81" i="2"/>
  <c r="O81" i="2"/>
  <c r="N81" i="2"/>
  <c r="Q81" i="2" s="1"/>
  <c r="P80" i="2"/>
  <c r="O80" i="2"/>
  <c r="N80" i="2"/>
  <c r="P79" i="2"/>
  <c r="O79" i="2"/>
  <c r="N79" i="2"/>
  <c r="P78" i="2"/>
  <c r="O78" i="2"/>
  <c r="N78" i="2"/>
  <c r="P77" i="2"/>
  <c r="O77" i="2"/>
  <c r="N77" i="2"/>
  <c r="P76" i="2"/>
  <c r="O76" i="2"/>
  <c r="N76" i="2"/>
  <c r="P75" i="2"/>
  <c r="O75" i="2"/>
  <c r="N75" i="2"/>
  <c r="P74" i="2"/>
  <c r="O74" i="2"/>
  <c r="N74" i="2"/>
  <c r="P73" i="2"/>
  <c r="O73" i="2"/>
  <c r="N73" i="2"/>
  <c r="Q73" i="2" s="1"/>
  <c r="P72" i="2"/>
  <c r="O72" i="2"/>
  <c r="N72" i="2"/>
  <c r="P71" i="2"/>
  <c r="O71" i="2"/>
  <c r="N71" i="2"/>
  <c r="P70" i="2"/>
  <c r="O70" i="2"/>
  <c r="N70" i="2"/>
  <c r="P69" i="2"/>
  <c r="Q69" i="2" s="1"/>
  <c r="O69" i="2"/>
  <c r="N69" i="2"/>
  <c r="P68" i="2"/>
  <c r="O68" i="2"/>
  <c r="N68" i="2"/>
  <c r="P67" i="2"/>
  <c r="O67" i="2"/>
  <c r="N67" i="2"/>
  <c r="P66" i="2"/>
  <c r="O66" i="2"/>
  <c r="N66" i="2"/>
  <c r="P65" i="2"/>
  <c r="O65" i="2"/>
  <c r="N65" i="2"/>
  <c r="Q65" i="2" s="1"/>
  <c r="P64" i="2"/>
  <c r="O64" i="2"/>
  <c r="N64" i="2"/>
  <c r="P63" i="2"/>
  <c r="O63" i="2"/>
  <c r="N63" i="2"/>
  <c r="P62" i="2"/>
  <c r="O62" i="2"/>
  <c r="N62" i="2"/>
  <c r="P61" i="2"/>
  <c r="O61" i="2"/>
  <c r="N61" i="2"/>
  <c r="P60" i="2"/>
  <c r="O60" i="2"/>
  <c r="N60" i="2"/>
  <c r="P59" i="2"/>
  <c r="O59" i="2"/>
  <c r="N59" i="2"/>
  <c r="P58" i="2"/>
  <c r="O58" i="2"/>
  <c r="N58" i="2"/>
  <c r="P57" i="2"/>
  <c r="O57" i="2"/>
  <c r="N57" i="2"/>
  <c r="Q57" i="2" s="1"/>
  <c r="P56" i="2"/>
  <c r="O56" i="2"/>
  <c r="N56" i="2"/>
  <c r="P55" i="2"/>
  <c r="O55" i="2"/>
  <c r="N55" i="2"/>
  <c r="P54" i="2"/>
  <c r="O54" i="2"/>
  <c r="N54" i="2"/>
  <c r="P53" i="2"/>
  <c r="O53" i="2"/>
  <c r="N53" i="2"/>
  <c r="P52" i="2"/>
  <c r="O52" i="2"/>
  <c r="N52" i="2"/>
  <c r="P51" i="2"/>
  <c r="O51" i="2"/>
  <c r="N51" i="2"/>
  <c r="P50" i="2"/>
  <c r="O50" i="2"/>
  <c r="N50" i="2"/>
  <c r="P49" i="2"/>
  <c r="O49" i="2"/>
  <c r="N49" i="2"/>
  <c r="P48" i="2"/>
  <c r="O48" i="2"/>
  <c r="N48" i="2"/>
  <c r="P47" i="2"/>
  <c r="O47" i="2"/>
  <c r="N47" i="2"/>
  <c r="P46" i="2"/>
  <c r="O46" i="2"/>
  <c r="N46" i="2"/>
  <c r="P45" i="2"/>
  <c r="O45" i="2"/>
  <c r="N45" i="2"/>
  <c r="P44" i="2"/>
  <c r="O44" i="2"/>
  <c r="N44" i="2"/>
  <c r="P43" i="2"/>
  <c r="O43" i="2"/>
  <c r="N43" i="2"/>
  <c r="P42" i="2"/>
  <c r="O42" i="2"/>
  <c r="N42" i="2"/>
  <c r="P41" i="2"/>
  <c r="O41" i="2"/>
  <c r="N41" i="2"/>
  <c r="P40" i="2"/>
  <c r="O40" i="2"/>
  <c r="N40" i="2"/>
  <c r="P39" i="2"/>
  <c r="O39" i="2"/>
  <c r="N39" i="2"/>
  <c r="P38" i="2"/>
  <c r="O38" i="2"/>
  <c r="N38" i="2"/>
  <c r="P37" i="2"/>
  <c r="O37" i="2"/>
  <c r="N37" i="2"/>
  <c r="P36" i="2"/>
  <c r="O36" i="2"/>
  <c r="N36" i="2"/>
  <c r="P35" i="2"/>
  <c r="O35" i="2"/>
  <c r="N35" i="2"/>
  <c r="P34" i="2"/>
  <c r="O34" i="2"/>
  <c r="N34" i="2"/>
  <c r="Q34" i="2" s="1"/>
  <c r="P33" i="2"/>
  <c r="O33" i="2"/>
  <c r="N33" i="2"/>
  <c r="P32" i="2"/>
  <c r="O32" i="2"/>
  <c r="N32" i="2"/>
  <c r="P31" i="2"/>
  <c r="O31" i="2"/>
  <c r="N31" i="2"/>
  <c r="P30" i="2"/>
  <c r="O30" i="2"/>
  <c r="N30" i="2"/>
  <c r="P29" i="2"/>
  <c r="O29" i="2"/>
  <c r="N29" i="2"/>
  <c r="P28" i="2"/>
  <c r="O28" i="2"/>
  <c r="N28" i="2"/>
  <c r="P27" i="2"/>
  <c r="O27" i="2"/>
  <c r="N27" i="2"/>
  <c r="P26" i="2"/>
  <c r="O26" i="2"/>
  <c r="N26" i="2"/>
  <c r="P25" i="2"/>
  <c r="O25" i="2"/>
  <c r="N25" i="2"/>
  <c r="P24" i="2"/>
  <c r="O24" i="2"/>
  <c r="N24" i="2"/>
  <c r="P23" i="2"/>
  <c r="O23" i="2"/>
  <c r="N23" i="2"/>
  <c r="P22" i="2"/>
  <c r="O22" i="2"/>
  <c r="N22" i="2"/>
  <c r="P21" i="2"/>
  <c r="O21" i="2"/>
  <c r="N21" i="2"/>
  <c r="P20" i="2"/>
  <c r="O20" i="2"/>
  <c r="N20" i="2"/>
  <c r="Q20" i="2" s="1"/>
  <c r="P19" i="2"/>
  <c r="O19" i="2"/>
  <c r="N19" i="2"/>
  <c r="P18" i="2"/>
  <c r="O18" i="2"/>
  <c r="N18" i="2"/>
  <c r="P17" i="2"/>
  <c r="O17" i="2"/>
  <c r="N17" i="2"/>
  <c r="P16" i="2"/>
  <c r="O16" i="2"/>
  <c r="N16" i="2"/>
  <c r="P15" i="2"/>
  <c r="O15" i="2"/>
  <c r="N15" i="2"/>
  <c r="P14" i="2"/>
  <c r="O14" i="2"/>
  <c r="Q14" i="2" s="1"/>
  <c r="N14" i="2"/>
  <c r="P13" i="2"/>
  <c r="O13" i="2"/>
  <c r="N13" i="2"/>
  <c r="P12" i="2"/>
  <c r="O12" i="2"/>
  <c r="N12" i="2"/>
  <c r="P11" i="2"/>
  <c r="O11" i="2"/>
  <c r="N11" i="2"/>
  <c r="P10" i="2"/>
  <c r="O10" i="2"/>
  <c r="N10" i="2"/>
  <c r="P9" i="2"/>
  <c r="O9" i="2"/>
  <c r="N9" i="2"/>
  <c r="P8" i="2"/>
  <c r="O8" i="2"/>
  <c r="N8" i="2"/>
  <c r="P7" i="2"/>
  <c r="O7" i="2"/>
  <c r="N7" i="2"/>
  <c r="P6" i="2"/>
  <c r="O6" i="2"/>
  <c r="N6" i="2"/>
  <c r="P5" i="2"/>
  <c r="O5" i="2"/>
  <c r="N5" i="2"/>
  <c r="P4" i="2"/>
  <c r="O4" i="2"/>
  <c r="N4" i="2"/>
  <c r="P3" i="2"/>
  <c r="O3" i="2"/>
  <c r="N3" i="2"/>
  <c r="P2" i="2"/>
  <c r="O2" i="2"/>
  <c r="N2" i="2"/>
  <c r="Q217" i="2" l="1"/>
  <c r="Q231" i="2"/>
  <c r="Q263" i="2"/>
  <c r="Q157" i="2"/>
  <c r="Q165" i="2"/>
  <c r="Q173" i="2"/>
  <c r="Q351" i="2"/>
  <c r="Q383" i="2"/>
  <c r="Q399" i="2"/>
  <c r="Q83" i="2"/>
  <c r="Q205" i="2"/>
  <c r="Q221" i="2"/>
  <c r="Q285" i="2"/>
  <c r="Q229" i="2"/>
  <c r="Q48" i="2"/>
  <c r="Q147" i="2"/>
  <c r="Q195" i="2"/>
  <c r="Q501" i="2"/>
  <c r="Q517" i="2"/>
  <c r="Q525" i="2"/>
  <c r="Q533" i="2"/>
  <c r="Q549" i="2"/>
  <c r="Q565" i="2"/>
  <c r="Q259" i="2"/>
  <c r="Q296" i="2"/>
  <c r="Q421" i="2"/>
  <c r="Q469" i="2"/>
  <c r="Q63" i="2"/>
  <c r="Q71" i="2"/>
  <c r="Q103" i="2"/>
  <c r="Q127" i="2"/>
  <c r="Q297" i="2"/>
  <c r="Q305" i="2"/>
  <c r="Q313" i="2"/>
  <c r="Q545" i="2"/>
  <c r="Q149" i="2"/>
  <c r="Q572" i="2"/>
  <c r="Q583" i="2"/>
  <c r="Q46" i="2"/>
  <c r="Q210" i="2"/>
  <c r="Q337" i="2"/>
  <c r="Q464" i="2"/>
  <c r="Q10" i="2"/>
  <c r="Q18" i="2"/>
  <c r="Q245" i="2"/>
  <c r="Q465" i="2"/>
  <c r="Q544" i="2"/>
  <c r="Q62" i="2"/>
  <c r="Q162" i="2"/>
  <c r="Q485" i="2"/>
  <c r="Q126" i="2"/>
  <c r="Q8" i="2"/>
  <c r="Q95" i="2"/>
  <c r="Q232" i="2"/>
  <c r="Q293" i="2"/>
  <c r="Q309" i="2"/>
  <c r="Q317" i="2"/>
  <c r="Q322" i="2"/>
  <c r="Q325" i="2"/>
  <c r="Q415" i="2"/>
  <c r="Q447" i="2"/>
  <c r="Q463" i="2"/>
  <c r="Q521" i="2"/>
  <c r="Q531" i="2"/>
  <c r="Q9" i="2"/>
  <c r="Q30" i="2"/>
  <c r="Q197" i="2"/>
  <c r="Q24" i="2"/>
  <c r="Q40" i="2"/>
  <c r="Q307" i="2"/>
  <c r="Q359" i="2"/>
  <c r="Q367" i="2"/>
  <c r="Q373" i="2"/>
  <c r="Q381" i="2"/>
  <c r="Q389" i="2"/>
  <c r="Q479" i="2"/>
  <c r="Q553" i="2"/>
  <c r="Q561" i="2"/>
  <c r="Q569" i="2"/>
  <c r="Q35" i="2"/>
  <c r="Q133" i="2"/>
  <c r="Q199" i="2"/>
  <c r="Q400" i="2"/>
  <c r="Q258" i="2"/>
  <c r="Q401" i="2"/>
  <c r="Q85" i="2"/>
  <c r="Q93" i="2"/>
  <c r="Q98" i="2"/>
  <c r="Q101" i="2"/>
  <c r="Q109" i="2"/>
  <c r="Q159" i="2"/>
  <c r="Q167" i="2"/>
  <c r="Q191" i="2"/>
  <c r="Q233" i="2"/>
  <c r="Q241" i="2"/>
  <c r="Q249" i="2"/>
  <c r="Q267" i="2"/>
  <c r="Q270" i="2"/>
  <c r="Q273" i="2"/>
  <c r="Q281" i="2"/>
  <c r="Q323" i="2"/>
  <c r="Q357" i="2"/>
  <c r="Q423" i="2"/>
  <c r="Q431" i="2"/>
  <c r="Q437" i="2"/>
  <c r="Q445" i="2"/>
  <c r="Q453" i="2"/>
  <c r="Q508" i="2"/>
  <c r="Q527" i="2"/>
  <c r="Q2" i="2"/>
  <c r="Q12" i="2"/>
  <c r="Q25" i="2"/>
  <c r="Q36" i="2"/>
  <c r="Q49" i="2"/>
  <c r="Q74" i="2"/>
  <c r="Q77" i="2"/>
  <c r="Q82" i="2"/>
  <c r="Q87" i="2"/>
  <c r="Q107" i="2"/>
  <c r="Q110" i="2"/>
  <c r="Q113" i="2"/>
  <c r="Q138" i="2"/>
  <c r="Q141" i="2"/>
  <c r="Q146" i="2"/>
  <c r="Q151" i="2"/>
  <c r="Q171" i="2"/>
  <c r="Q174" i="2"/>
  <c r="Q177" i="2"/>
  <c r="Q223" i="2"/>
  <c r="Q243" i="2"/>
  <c r="Q283" i="2"/>
  <c r="Q301" i="2"/>
  <c r="Q306" i="2"/>
  <c r="Q311" i="2"/>
  <c r="Q339" i="2"/>
  <c r="Q352" i="2"/>
  <c r="Q362" i="2"/>
  <c r="Q380" i="2"/>
  <c r="Q403" i="2"/>
  <c r="Q416" i="2"/>
  <c r="Q426" i="2"/>
  <c r="Q444" i="2"/>
  <c r="Q467" i="2"/>
  <c r="Q480" i="2"/>
  <c r="Q490" i="2"/>
  <c r="Q503" i="2"/>
  <c r="Q509" i="2"/>
  <c r="Q529" i="2"/>
  <c r="Q537" i="2"/>
  <c r="Q547" i="2"/>
  <c r="Q560" i="2"/>
  <c r="Q573" i="2"/>
  <c r="Q187" i="2"/>
  <c r="Q375" i="2"/>
  <c r="Q131" i="2"/>
  <c r="Q329" i="2"/>
  <c r="Q238" i="2"/>
  <c r="Q342" i="2"/>
  <c r="Q353" i="2"/>
  <c r="Q488" i="2"/>
  <c r="Q524" i="2"/>
  <c r="Q42" i="2"/>
  <c r="Q251" i="2"/>
  <c r="Q274" i="2"/>
  <c r="Q279" i="2"/>
  <c r="Q327" i="2"/>
  <c r="Q368" i="2"/>
  <c r="Q391" i="2"/>
  <c r="Q432" i="2"/>
  <c r="Q455" i="2"/>
  <c r="Q499" i="2"/>
  <c r="Q512" i="2"/>
  <c r="Q519" i="2"/>
  <c r="Q540" i="2"/>
  <c r="Q568" i="2"/>
  <c r="Q576" i="2"/>
  <c r="Q215" i="2"/>
  <c r="Q213" i="2"/>
  <c r="Q235" i="2"/>
  <c r="Q470" i="2"/>
  <c r="Q5" i="2"/>
  <c r="Q21" i="2"/>
  <c r="Q55" i="2"/>
  <c r="Q75" i="2"/>
  <c r="Q78" i="2"/>
  <c r="Q106" i="2"/>
  <c r="Q114" i="2"/>
  <c r="Q119" i="2"/>
  <c r="Q139" i="2"/>
  <c r="Q142" i="2"/>
  <c r="Q170" i="2"/>
  <c r="Q178" i="2"/>
  <c r="Q183" i="2"/>
  <c r="Q264" i="2"/>
  <c r="Q277" i="2"/>
  <c r="Q290" i="2"/>
  <c r="Q299" i="2"/>
  <c r="Q302" i="2"/>
  <c r="Q330" i="2"/>
  <c r="Q348" i="2"/>
  <c r="Q371" i="2"/>
  <c r="Q384" i="2"/>
  <c r="Q394" i="2"/>
  <c r="Q412" i="2"/>
  <c r="Q435" i="2"/>
  <c r="Q448" i="2"/>
  <c r="Q458" i="2"/>
  <c r="Q476" i="2"/>
  <c r="Q497" i="2"/>
  <c r="Q535" i="2"/>
  <c r="Q556" i="2"/>
  <c r="Q579" i="2"/>
  <c r="Q41" i="2"/>
  <c r="Q67" i="2"/>
  <c r="Q44" i="2"/>
  <c r="Q200" i="2"/>
  <c r="Q226" i="2"/>
  <c r="Q332" i="2"/>
  <c r="Q360" i="2"/>
  <c r="Q396" i="2"/>
  <c r="Q417" i="2"/>
  <c r="Q424" i="2"/>
  <c r="Q3" i="2"/>
  <c r="Q22" i="2"/>
  <c r="Q53" i="2"/>
  <c r="Q61" i="2"/>
  <c r="Q66" i="2"/>
  <c r="Q91" i="2"/>
  <c r="Q94" i="2"/>
  <c r="Q97" i="2"/>
  <c r="Q99" i="2"/>
  <c r="Q117" i="2"/>
  <c r="Q125" i="2"/>
  <c r="Q130" i="2"/>
  <c r="Q155" i="2"/>
  <c r="Q158" i="2"/>
  <c r="Q161" i="2"/>
  <c r="Q163" i="2"/>
  <c r="Q181" i="2"/>
  <c r="Q189" i="2"/>
  <c r="Q194" i="2"/>
  <c r="Q203" i="2"/>
  <c r="Q206" i="2"/>
  <c r="Q209" i="2"/>
  <c r="Q255" i="2"/>
  <c r="Q275" i="2"/>
  <c r="Q315" i="2"/>
  <c r="Q343" i="2"/>
  <c r="Q349" i="2"/>
  <c r="Q369" i="2"/>
  <c r="Q377" i="2"/>
  <c r="Q407" i="2"/>
  <c r="Q413" i="2"/>
  <c r="Q433" i="2"/>
  <c r="Q441" i="2"/>
  <c r="Q471" i="2"/>
  <c r="Q477" i="2"/>
  <c r="Q495" i="2"/>
  <c r="Q523" i="2"/>
  <c r="Q538" i="2"/>
  <c r="Q551" i="2"/>
  <c r="Q557" i="2"/>
  <c r="Q577" i="2"/>
  <c r="Q580" i="2"/>
  <c r="Q585" i="2"/>
  <c r="Q28" i="2"/>
  <c r="Q59" i="2"/>
  <c r="Q123" i="2"/>
  <c r="Q439" i="2"/>
  <c r="Q26" i="2"/>
  <c r="Q406" i="2"/>
  <c r="Q460" i="2"/>
  <c r="Q481" i="2"/>
  <c r="Q496" i="2"/>
  <c r="Q581" i="2"/>
  <c r="Q16" i="2"/>
  <c r="Q37" i="2"/>
  <c r="Q50" i="2"/>
  <c r="Q4" i="2"/>
  <c r="Q32" i="2"/>
  <c r="Q51" i="2"/>
  <c r="Q115" i="2"/>
  <c r="Q179" i="2"/>
  <c r="Q219" i="2"/>
  <c r="Q237" i="2"/>
  <c r="Q242" i="2"/>
  <c r="Q247" i="2"/>
  <c r="Q328" i="2"/>
  <c r="Q364" i="2"/>
  <c r="Q374" i="2"/>
  <c r="Q385" i="2"/>
  <c r="Q392" i="2"/>
  <c r="Q428" i="2"/>
  <c r="Q438" i="2"/>
  <c r="Q449" i="2"/>
  <c r="Q456" i="2"/>
  <c r="Q492" i="2"/>
  <c r="Q520" i="2"/>
  <c r="Q528" i="2"/>
  <c r="Q539" i="2"/>
  <c r="Q567" i="2"/>
  <c r="Q575" i="2"/>
  <c r="Q104" i="2"/>
  <c r="Q188" i="2"/>
  <c r="Q252" i="2"/>
  <c r="Q358" i="2"/>
  <c r="Q15" i="2"/>
  <c r="Q47" i="2"/>
  <c r="Q511" i="2"/>
  <c r="Q541" i="2"/>
  <c r="Q190" i="2"/>
  <c r="Q193" i="2"/>
  <c r="Q202" i="2"/>
  <c r="Q222" i="2"/>
  <c r="Q225" i="2"/>
  <c r="Q234" i="2"/>
  <c r="Q254" i="2"/>
  <c r="Q257" i="2"/>
  <c r="Q266" i="2"/>
  <c r="Q286" i="2"/>
  <c r="Q289" i="2"/>
  <c r="Q298" i="2"/>
  <c r="Q318" i="2"/>
  <c r="Q321" i="2"/>
  <c r="Q331" i="2"/>
  <c r="Q363" i="2"/>
  <c r="Q395" i="2"/>
  <c r="Q427" i="2"/>
  <c r="Q459" i="2"/>
  <c r="Q559" i="2"/>
  <c r="Q591" i="2"/>
  <c r="Q72" i="2"/>
  <c r="Q168" i="2"/>
  <c r="Q220" i="2"/>
  <c r="Q284" i="2"/>
  <c r="Q586" i="2"/>
  <c r="Q124" i="2"/>
  <c r="Q19" i="2"/>
  <c r="Q33" i="2"/>
  <c r="Q60" i="2"/>
  <c r="Q31" i="2"/>
  <c r="Q378" i="2"/>
  <c r="Q410" i="2"/>
  <c r="Q442" i="2"/>
  <c r="Q474" i="2"/>
  <c r="Q554" i="2"/>
  <c r="Q58" i="2"/>
  <c r="Q90" i="2"/>
  <c r="Q122" i="2"/>
  <c r="Q154" i="2"/>
  <c r="Q186" i="2"/>
  <c r="Q218" i="2"/>
  <c r="Q250" i="2"/>
  <c r="Q282" i="2"/>
  <c r="Q314" i="2"/>
  <c r="Q504" i="2"/>
  <c r="Q136" i="2"/>
  <c r="Q346" i="2"/>
  <c r="Q390" i="2"/>
  <c r="Q422" i="2"/>
  <c r="Q454" i="2"/>
  <c r="Q56" i="2"/>
  <c r="Q88" i="2"/>
  <c r="Q120" i="2"/>
  <c r="Q152" i="2"/>
  <c r="Q184" i="2"/>
  <c r="Q216" i="2"/>
  <c r="Q248" i="2"/>
  <c r="Q280" i="2"/>
  <c r="Q312" i="2"/>
  <c r="Q344" i="2"/>
  <c r="Q376" i="2"/>
  <c r="Q408" i="2"/>
  <c r="Q440" i="2"/>
  <c r="Q472" i="2"/>
  <c r="Q522" i="2"/>
  <c r="Q543" i="2"/>
  <c r="Q552" i="2"/>
  <c r="Q92" i="2"/>
  <c r="Q156" i="2"/>
  <c r="Q316" i="2"/>
  <c r="Q506" i="2"/>
  <c r="Q536" i="2"/>
  <c r="Q486" i="2"/>
  <c r="Q17" i="2"/>
  <c r="Q6" i="2"/>
  <c r="Q38" i="2"/>
  <c r="Q76" i="2"/>
  <c r="Q79" i="2"/>
  <c r="Q108" i="2"/>
  <c r="Q111" i="2"/>
  <c r="Q140" i="2"/>
  <c r="Q143" i="2"/>
  <c r="Q172" i="2"/>
  <c r="Q175" i="2"/>
  <c r="Q204" i="2"/>
  <c r="Q207" i="2"/>
  <c r="Q236" i="2"/>
  <c r="Q239" i="2"/>
  <c r="Q268" i="2"/>
  <c r="Q271" i="2"/>
  <c r="Q300" i="2"/>
  <c r="Q303" i="2"/>
  <c r="Q333" i="2"/>
  <c r="Q365" i="2"/>
  <c r="Q397" i="2"/>
  <c r="Q429" i="2"/>
  <c r="Q461" i="2"/>
  <c r="Q493" i="2"/>
  <c r="Q570" i="2"/>
  <c r="Q566" i="2"/>
  <c r="Q13" i="2"/>
  <c r="Q45" i="2"/>
  <c r="Q54" i="2"/>
  <c r="Q70" i="2"/>
  <c r="Q86" i="2"/>
  <c r="Q102" i="2"/>
  <c r="Q118" i="2"/>
  <c r="Q134" i="2"/>
  <c r="Q150" i="2"/>
  <c r="Q166" i="2"/>
  <c r="Q182" i="2"/>
  <c r="Q198" i="2"/>
  <c r="Q214" i="2"/>
  <c r="Q230" i="2"/>
  <c r="Q246" i="2"/>
  <c r="Q262" i="2"/>
  <c r="Q278" i="2"/>
  <c r="Q294" i="2"/>
  <c r="Q310" i="2"/>
  <c r="Q340" i="2"/>
  <c r="Q356" i="2"/>
  <c r="Q372" i="2"/>
  <c r="Q388" i="2"/>
  <c r="Q404" i="2"/>
  <c r="Q420" i="2"/>
  <c r="Q436" i="2"/>
  <c r="Q452" i="2"/>
  <c r="Q468" i="2"/>
  <c r="Q484" i="2"/>
  <c r="Q500" i="2"/>
  <c r="Q516" i="2"/>
  <c r="Q532" i="2"/>
  <c r="Q548" i="2"/>
  <c r="Q564" i="2"/>
  <c r="Q582" i="2"/>
  <c r="Q592" i="2"/>
  <c r="Q502" i="2"/>
  <c r="Q518" i="2"/>
  <c r="Q534" i="2"/>
  <c r="Q550" i="2"/>
  <c r="Q584" i="2"/>
  <c r="Q29" i="2"/>
  <c r="Q11" i="2"/>
  <c r="Q27" i="2"/>
  <c r="Q43" i="2"/>
  <c r="Q52" i="2"/>
  <c r="Q68" i="2"/>
  <c r="Q84" i="2"/>
  <c r="Q100" i="2"/>
  <c r="Q116" i="2"/>
  <c r="Q132" i="2"/>
  <c r="Q148" i="2"/>
  <c r="Q164" i="2"/>
  <c r="Q180" i="2"/>
  <c r="Q196" i="2"/>
  <c r="Q212" i="2"/>
  <c r="Q228" i="2"/>
  <c r="Q244" i="2"/>
  <c r="Q260" i="2"/>
  <c r="Q276" i="2"/>
  <c r="Q292" i="2"/>
  <c r="Q308" i="2"/>
  <c r="Q324" i="2"/>
  <c r="Q326" i="2"/>
  <c r="Q338" i="2"/>
  <c r="Q354" i="2"/>
  <c r="Q370" i="2"/>
  <c r="Q386" i="2"/>
  <c r="Q402" i="2"/>
  <c r="Q418" i="2"/>
  <c r="Q434" i="2"/>
  <c r="Q450" i="2"/>
  <c r="Q466" i="2"/>
  <c r="Q482" i="2"/>
  <c r="Q498" i="2"/>
  <c r="Q514" i="2"/>
  <c r="Q530" i="2"/>
  <c r="Q546" i="2"/>
  <c r="Q562" i="2"/>
  <c r="Q578" i="2"/>
  <c r="Q7" i="2"/>
  <c r="Q23" i="2"/>
  <c r="Q39" i="2"/>
  <c r="Q64" i="2"/>
  <c r="Q80" i="2"/>
  <c r="Q96" i="2"/>
  <c r="Q112" i="2"/>
  <c r="Q128" i="2"/>
  <c r="Q144" i="2"/>
  <c r="Q160" i="2"/>
  <c r="Q176" i="2"/>
  <c r="Q192" i="2"/>
  <c r="Q208" i="2"/>
  <c r="Q224" i="2"/>
  <c r="Q240" i="2"/>
  <c r="Q256" i="2"/>
  <c r="Q272" i="2"/>
  <c r="Q288" i="2"/>
  <c r="Q304" i="2"/>
  <c r="Q320" i="2"/>
  <c r="Q334" i="2"/>
  <c r="Q350" i="2"/>
  <c r="Q366" i="2"/>
  <c r="Q382" i="2"/>
  <c r="Q398" i="2"/>
  <c r="Q414" i="2"/>
  <c r="Q430" i="2"/>
  <c r="Q446" i="2"/>
  <c r="Q462" i="2"/>
  <c r="Q478" i="2"/>
  <c r="Q494" i="2"/>
  <c r="Q510" i="2"/>
  <c r="Q526" i="2"/>
  <c r="Q542" i="2"/>
  <c r="Q558" i="2"/>
  <c r="Q574" i="2"/>
  <c r="Q588" i="2"/>
  <c r="Q593" i="2"/>
  <c r="Q589" i="2"/>
</calcChain>
</file>

<file path=xl/sharedStrings.xml><?xml version="1.0" encoding="utf-8"?>
<sst xmlns="http://schemas.openxmlformats.org/spreadsheetml/2006/main" count="16918" uniqueCount="1483">
  <si>
    <t>Notes</t>
  </si>
  <si>
    <t>BU Nature Preserve</t>
  </si>
  <si>
    <t>red</t>
  </si>
  <si>
    <t>F</t>
  </si>
  <si>
    <t>Y</t>
  </si>
  <si>
    <t>M</t>
  </si>
  <si>
    <t>U</t>
  </si>
  <si>
    <t>missing right front foot</t>
  </si>
  <si>
    <t>NA</t>
  </si>
  <si>
    <t>N</t>
  </si>
  <si>
    <t>stressed/partially threw up worm</t>
  </si>
  <si>
    <t>no-tail loser</t>
  </si>
  <si>
    <t>lead</t>
  </si>
  <si>
    <t>SGL 219</t>
  </si>
  <si>
    <t>end</t>
  </si>
  <si>
    <t>stream</t>
  </si>
  <si>
    <t>middle</t>
  </si>
  <si>
    <t>second salamander under same log</t>
  </si>
  <si>
    <t>see eggs</t>
  </si>
  <si>
    <t>partial tail</t>
  </si>
  <si>
    <t>Lackawanna SP</t>
  </si>
  <si>
    <t>regenerating tail</t>
  </si>
  <si>
    <t>too tiny for morph photos</t>
  </si>
  <si>
    <t>SGL 36</t>
  </si>
  <si>
    <t>SGL 159</t>
  </si>
  <si>
    <t>too small</t>
  </si>
  <si>
    <t>same cover object as #4</t>
  </si>
  <si>
    <t>Robert Treman</t>
  </si>
  <si>
    <t>fell into LL and could not find</t>
  </si>
  <si>
    <t>tail kind of squished looking</t>
  </si>
  <si>
    <t>8 + 9 under same CO</t>
  </si>
  <si>
    <t>forgot to sex</t>
  </si>
  <si>
    <t>Ludlow SF</t>
  </si>
  <si>
    <t xml:space="preserve">too small - couldnt see cloaca </t>
  </si>
  <si>
    <t xml:space="preserve">recently dropped tail </t>
  </si>
  <si>
    <t>Mallet Pond SF</t>
  </si>
  <si>
    <t>guarding eggs</t>
  </si>
  <si>
    <t>Bear Swamp SF</t>
  </si>
  <si>
    <t>Labrador Hollow</t>
  </si>
  <si>
    <t>close to undetermined size</t>
  </si>
  <si>
    <t>Hickory Run SP</t>
  </si>
  <si>
    <t xml:space="preserve">pulled tape before distance measurment </t>
  </si>
  <si>
    <t>Promised Lands SP</t>
  </si>
  <si>
    <t>salamanders 36 and 37 under same cover</t>
  </si>
  <si>
    <t>spit up meal, did not do head length measurements to reduce stress</t>
  </si>
  <si>
    <t>highly kinked tail, can't take SVL due to kink</t>
  </si>
  <si>
    <t>Arctic China SF</t>
  </si>
  <si>
    <t>sal 10 and 11 same cover</t>
  </si>
  <si>
    <t>**note 08/07- accidentally deleted color photo for this individual</t>
  </si>
  <si>
    <t>Ellis Hollow NP</t>
  </si>
  <si>
    <t>sal 45 and 46 same cover</t>
  </si>
  <si>
    <t>sal 52 and 53 same cover</t>
  </si>
  <si>
    <t>Ludlow Creek SF</t>
  </si>
  <si>
    <t>Charles E Baker SF</t>
  </si>
  <si>
    <t>N 42 04.7980', W 075 58.3476</t>
  </si>
  <si>
    <t>branch</t>
  </si>
  <si>
    <t>rock</t>
  </si>
  <si>
    <t>too many rocks, cant get phs%</t>
  </si>
  <si>
    <t>too many rocks</t>
  </si>
  <si>
    <t>Far</t>
  </si>
  <si>
    <t xml:space="preserve">middle </t>
  </si>
  <si>
    <t>N 41 59.5970' W 76 11.6444"</t>
  </si>
  <si>
    <t>log</t>
  </si>
  <si>
    <t>stream, sampling started at 10:00, holding due to rain</t>
  </si>
  <si>
    <t>bark</t>
  </si>
  <si>
    <t xml:space="preserve">middle, leaf litter underneath </t>
  </si>
  <si>
    <t>end, leaf litter underneath</t>
  </si>
  <si>
    <t>C</t>
  </si>
  <si>
    <t>stream, worm castings</t>
  </si>
  <si>
    <t>decomp log</t>
  </si>
  <si>
    <t>Mid, desmog</t>
  </si>
  <si>
    <t xml:space="preserve">log </t>
  </si>
  <si>
    <t>Mid</t>
  </si>
  <si>
    <t>End</t>
  </si>
  <si>
    <t>Stream</t>
  </si>
  <si>
    <t>Mid, leaf litter underneath</t>
  </si>
  <si>
    <t>Mid, Desmog</t>
  </si>
  <si>
    <t>N 41 02.0867' W 75 43.7726'</t>
  </si>
  <si>
    <t>cloudy</t>
  </si>
  <si>
    <t>salamander appeared as measurements stopped</t>
  </si>
  <si>
    <t>sun shining when temp taken</t>
  </si>
  <si>
    <t>too many rocks to insert probe - sandy soil- looks low moisture</t>
  </si>
  <si>
    <t>lots of leaf litter under branch</t>
  </si>
  <si>
    <t>rocks preventing moisture pH</t>
  </si>
  <si>
    <t>leaf litter under</t>
  </si>
  <si>
    <t>moisture off - probe comes out wet</t>
  </si>
  <si>
    <t xml:space="preserve">no liftable third co available </t>
  </si>
  <si>
    <t>lots of leaf litter under-water pooling under tip of meter-moisture off</t>
  </si>
  <si>
    <t>N 41 19.4041' W 75 12.1270'</t>
  </si>
  <si>
    <t>leaf litter under bark</t>
  </si>
  <si>
    <t xml:space="preserve">branch </t>
  </si>
  <si>
    <t>citronella ants in log</t>
  </si>
  <si>
    <t>too many rocks - decently moist</t>
  </si>
  <si>
    <t>ring neck snake underneath</t>
  </si>
  <si>
    <t>mostly dry leaf litter underneath</t>
  </si>
  <si>
    <t>sal #8 and 9 under this</t>
  </si>
  <si>
    <t>sunny</t>
  </si>
  <si>
    <t>lots of leaf litter</t>
  </si>
  <si>
    <t>probe wet when removed</t>
  </si>
  <si>
    <t>too many rocks, lots leaf litter</t>
  </si>
  <si>
    <t xml:space="preserve">too many rocks, w/citronella ant colony </t>
  </si>
  <si>
    <t xml:space="preserve">N 41 34.6834' W 075 42.4636' </t>
  </si>
  <si>
    <t>cloudy - off and on rain</t>
  </si>
  <si>
    <t>too many rocks to probe</t>
  </si>
  <si>
    <t>lots of leaf litter under</t>
  </si>
  <si>
    <t>mid</t>
  </si>
  <si>
    <t>too many rocks, sandy</t>
  </si>
  <si>
    <t>N 41 38.9762' W 76 34.0115'</t>
  </si>
  <si>
    <t>W</t>
  </si>
  <si>
    <t>too many rocks-small eworm</t>
  </si>
  <si>
    <t>lots of LL under</t>
  </si>
  <si>
    <t>salamander in branch</t>
  </si>
  <si>
    <t>a few small worms</t>
  </si>
  <si>
    <t>single small worm</t>
  </si>
  <si>
    <t>lots of LL</t>
  </si>
  <si>
    <t>no more cover objects</t>
  </si>
  <si>
    <t>lots of LL, 2 worms</t>
  </si>
  <si>
    <t>small slimy -think juvenile slimy (see photos)</t>
  </si>
  <si>
    <t>22m</t>
  </si>
  <si>
    <t>N 41  47.5565' W 75 16.3891</t>
  </si>
  <si>
    <t>mostly sunny</t>
  </si>
  <si>
    <t>too many rocks - decent moisture under branch</t>
  </si>
  <si>
    <t>desmog presence</t>
  </si>
  <si>
    <t>TMR</t>
  </si>
  <si>
    <t>damp, kind of sandy - TMR</t>
  </si>
  <si>
    <t>desmog present</t>
  </si>
  <si>
    <t>lots of rocks - idk how accurate reading is</t>
  </si>
  <si>
    <t>no more suitable cover objects</t>
  </si>
  <si>
    <t>very decayed</t>
  </si>
  <si>
    <t>TMR - decently moist, dark soil (sal #4 is under here)</t>
  </si>
  <si>
    <t>N 42 23.8742' W 078 35.4037</t>
  </si>
  <si>
    <t>close</t>
  </si>
  <si>
    <t>castings</t>
  </si>
  <si>
    <t>far</t>
  </si>
  <si>
    <t>LL = pine straw</t>
  </si>
  <si>
    <t>worm castings</t>
  </si>
  <si>
    <t>N 42 26.6207' W 76 24.5450</t>
  </si>
  <si>
    <t>partly sunny</t>
  </si>
  <si>
    <t>sal # 4 + 5</t>
  </si>
  <si>
    <t>saw salamander did not catch</t>
  </si>
  <si>
    <t xml:space="preserve">N 42 26.8050' W 75 42.2273' </t>
  </si>
  <si>
    <t>lots LL under</t>
  </si>
  <si>
    <t xml:space="preserve">scattered LL - not consistent </t>
  </si>
  <si>
    <t>probe not reading moisture correctly - above 100</t>
  </si>
  <si>
    <t>TMR - very wet</t>
  </si>
  <si>
    <t>N 42 35.3185' W 074 31.2636'</t>
  </si>
  <si>
    <t>sunny, partly sunny 14:31</t>
  </si>
  <si>
    <t>spotted sal + ants - looks dry, app wouldnt load for end temps</t>
  </si>
  <si>
    <t>TMR - looks dry</t>
  </si>
  <si>
    <t>desmog</t>
  </si>
  <si>
    <t>TMR - very dry</t>
  </si>
  <si>
    <t>N 42 46.4530' W 076 18.5567'</t>
  </si>
  <si>
    <t>branch/log</t>
  </si>
  <si>
    <t>leaf litter underneath</t>
  </si>
  <si>
    <t>hunk of wood</t>
  </si>
  <si>
    <t>salamanders #1 + 2 here</t>
  </si>
  <si>
    <t>sal #3</t>
  </si>
  <si>
    <t>N 42 46.7830' W 076 02.2186'</t>
  </si>
  <si>
    <t>partly sunny 12:44, cloudy just finished raining</t>
  </si>
  <si>
    <t>cloudy just finished raining</t>
  </si>
  <si>
    <t>bunch of small worms</t>
  </si>
  <si>
    <t>lots of LL - ant nest</t>
  </si>
  <si>
    <t>2 small worms</t>
  </si>
  <si>
    <t>N 42 04.8244' W 075 57.6881'</t>
  </si>
  <si>
    <t>mostly cloudy</t>
  </si>
  <si>
    <t>TMR, soil looks damp</t>
  </si>
  <si>
    <t>W/C</t>
  </si>
  <si>
    <t>WC</t>
  </si>
  <si>
    <t>put transect tape btw 2 + 3 rather than through 3 - salamander found btw transects, reducing T3</t>
  </si>
  <si>
    <t>Desmog</t>
  </si>
  <si>
    <t xml:space="preserve">N 41 59.2366' W 076 10.8623' </t>
  </si>
  <si>
    <t>transects in middle of woods *</t>
  </si>
  <si>
    <t>Rock</t>
  </si>
  <si>
    <t>object cant be moved enough for soil probe</t>
  </si>
  <si>
    <t>desmog, TMR</t>
  </si>
  <si>
    <t>N 41 02.1168' W 075 43.7858'</t>
  </si>
  <si>
    <t>TMR, ant colony, 2 salamanders under same cover</t>
  </si>
  <si>
    <t xml:space="preserve">pulled transect tape prior to measurements </t>
  </si>
  <si>
    <t>decayed log</t>
  </si>
  <si>
    <t>decayed wood</t>
  </si>
  <si>
    <t>N 41 19.4299' W 075 12.0775'</t>
  </si>
  <si>
    <t>too many roots, not enough contact with ground</t>
  </si>
  <si>
    <t>both sal 36 and 37 under same branch, readings off due to air pockets next to sensor</t>
  </si>
  <si>
    <t>TMR, reached 15 salamanders no more enviro</t>
  </si>
  <si>
    <t>N 41 33.6389' W 075 42.1755'</t>
  </si>
  <si>
    <t>partly cloudy</t>
  </si>
  <si>
    <t>TMR, non-jumping</t>
  </si>
  <si>
    <t>wood</t>
  </si>
  <si>
    <t>TMR, non jumping</t>
  </si>
  <si>
    <t>N 41 47.0002' W 075 15.5171'</t>
  </si>
  <si>
    <t>stream sampling*</t>
  </si>
  <si>
    <t>42 09.3743' W 075 22.7470'</t>
  </si>
  <si>
    <t>TMR, lots of LL underneath cover</t>
  </si>
  <si>
    <t>big branch</t>
  </si>
  <si>
    <t>TMR, 2 salamanders under same cover</t>
  </si>
  <si>
    <t>JWC</t>
  </si>
  <si>
    <t>JW</t>
  </si>
  <si>
    <t>TMR, 2 salamanders under same over</t>
  </si>
  <si>
    <t>TMR, slimy salamander under cover</t>
  </si>
  <si>
    <t>CW</t>
  </si>
  <si>
    <t>cinder block</t>
  </si>
  <si>
    <t>N 42 26.7647' W 075 42.1910'</t>
  </si>
  <si>
    <t xml:space="preserve">sunny </t>
  </si>
  <si>
    <t>woody branch</t>
  </si>
  <si>
    <t>woody debris</t>
  </si>
  <si>
    <t>lots of LL underneath</t>
  </si>
  <si>
    <t>TMR, 2 under same cover</t>
  </si>
  <si>
    <t>woody</t>
  </si>
  <si>
    <t>wood chunk</t>
  </si>
  <si>
    <t>N 42 45.4015' W 075 21.9466'</t>
  </si>
  <si>
    <t>lots of LL underneath cover, not possible to take accurate soil moisture and ph because cover next to lots of LL</t>
  </si>
  <si>
    <t>2 salamanders under same cover</t>
  </si>
  <si>
    <t>SGL 219 Site #1</t>
  </si>
  <si>
    <t>site #1</t>
  </si>
  <si>
    <t>SGL 219 Site #2</t>
  </si>
  <si>
    <t>site #2</t>
  </si>
  <si>
    <t xml:space="preserve">bright orange color juvenile </t>
  </si>
  <si>
    <t>hard to sex based on face shape</t>
  </si>
  <si>
    <t>bright orange color</t>
  </si>
  <si>
    <t>back skin gray/irredescent patch</t>
  </si>
  <si>
    <t>baby salamander</t>
  </si>
  <si>
    <t>died from lavage, too small</t>
  </si>
  <si>
    <t>trauma to right side of face, blood pooling under skin, no lavage</t>
  </si>
  <si>
    <t>spit up diet (grub), weight does not include diet items</t>
  </si>
  <si>
    <t>#21 + 22 under same CO</t>
  </si>
  <si>
    <t xml:space="preserve">#15 was fine during lavage, heart beating when returned to container. Opened container to check and found slightly hunched and stiff - not moving could not detect heartbeat, applied orajel to be safe then placed in ethanol jar </t>
  </si>
  <si>
    <t>died post lavage</t>
  </si>
  <si>
    <t>SGL 35</t>
  </si>
  <si>
    <t>SGL 35 Site #2</t>
  </si>
  <si>
    <t>meets SVL requirements, but very thin</t>
  </si>
  <si>
    <t>missing color photo on camera</t>
  </si>
  <si>
    <t>stubby tailed</t>
  </si>
  <si>
    <t>big male</t>
  </si>
  <si>
    <t>striped</t>
  </si>
  <si>
    <t>creme-green striped</t>
  </si>
  <si>
    <t>very small - likely newly hatched - fell out of hand before measuring and couldn't find</t>
  </si>
  <si>
    <t>big lead morph</t>
  </si>
  <si>
    <t>very thin, only 2 pumps (lavage)</t>
  </si>
  <si>
    <t>touched buttom of color card</t>
  </si>
  <si>
    <t xml:space="preserve">multiple kinks along back and tail </t>
  </si>
  <si>
    <t>Charles F Baker SF</t>
  </si>
  <si>
    <t>site # 1</t>
  </si>
  <si>
    <t>Bear Swamp SP</t>
  </si>
  <si>
    <t>body became very rigid after 1st lavage, heart beat sped up, only 1 pump, minimize stress</t>
  </si>
  <si>
    <t>ignore 1st set of color photos</t>
  </si>
  <si>
    <t>1 whole worm broke while removing (mealworm)</t>
  </si>
  <si>
    <t>N 42 04.8137' W 075 58.2844'</t>
  </si>
  <si>
    <t>N 41 59.3366' W 076 11.8135'</t>
  </si>
  <si>
    <t>N 41 59.0459' W 076 11.7841'</t>
  </si>
  <si>
    <t xml:space="preserve">*took extra step since paired point CO had sal - this will be methodology for a positive CO when looking for control </t>
  </si>
  <si>
    <t>N 41 01.8789' W 075 44.0703'</t>
  </si>
  <si>
    <t>moss</t>
  </si>
  <si>
    <t>N 41 18.4121' W 075 13.4177'</t>
  </si>
  <si>
    <t>mostly cloudy, windy</t>
  </si>
  <si>
    <t>Lackawana SP</t>
  </si>
  <si>
    <t>N 41 34.7206' W 075 41.7808'</t>
  </si>
  <si>
    <t>slimy salamander, not jumping worms</t>
  </si>
  <si>
    <t>a long tail</t>
  </si>
  <si>
    <t>N 41 39.0559' W 076 34.0223'</t>
  </si>
  <si>
    <t>N 41 38.1936' W 076 36.4606'</t>
  </si>
  <si>
    <t>N 41 45.8840' W 075 17.0047'</t>
  </si>
  <si>
    <t>TMR, not jumping</t>
  </si>
  <si>
    <t>rotting branch</t>
  </si>
  <si>
    <t>TMR - not jumping</t>
  </si>
  <si>
    <t>TMR - ant colony</t>
  </si>
  <si>
    <t>SGL 35 Site #1</t>
  </si>
  <si>
    <t>N 41 57.4987' W 075 39.6727'</t>
  </si>
  <si>
    <t>no enviro data</t>
  </si>
  <si>
    <t>N 41 56.4652' W 075 42.5553'</t>
  </si>
  <si>
    <t>Danby SF</t>
  </si>
  <si>
    <t>N 42 17.9011' W 076 29.2439'</t>
  </si>
  <si>
    <t>N 42 10.3240' W 075 24.2476'</t>
  </si>
  <si>
    <t>N 42 26.5697' W 076 24.4114'</t>
  </si>
  <si>
    <t>N 42 26.9599' W 075 41.4378'</t>
  </si>
  <si>
    <t>N 42 35.5041' W 074 31.4764'</t>
  </si>
  <si>
    <t xml:space="preserve">partly sunny </t>
  </si>
  <si>
    <t>layers of damp bark, no soil underneath</t>
  </si>
  <si>
    <t>against rock - reading for pH + moisture likely not accurate</t>
  </si>
  <si>
    <t>N 42 46.1311' W 075 25.2617'</t>
  </si>
  <si>
    <t>drizzling, cloudy</t>
  </si>
  <si>
    <t>no environmetal data, site #1</t>
  </si>
  <si>
    <t>N 42 45.3910' W 075 22.0631'</t>
  </si>
  <si>
    <t>no environmental data, site # 2</t>
  </si>
  <si>
    <t>N 42 44.9911' W 076 19.2280'</t>
  </si>
  <si>
    <t>stump</t>
  </si>
  <si>
    <t>Bear SWamp SP</t>
  </si>
  <si>
    <t>N 42 46.8536' W 076 02.1405'</t>
  </si>
  <si>
    <t>no environmental data</t>
  </si>
  <si>
    <t>Salamander Data Sample 1+3</t>
  </si>
  <si>
    <t>Environmental Data Sample 1+3</t>
  </si>
  <si>
    <t>Salamander Data Sample 2</t>
  </si>
  <si>
    <t>Environmental Data Sample 2</t>
  </si>
  <si>
    <t>Tab Titles</t>
  </si>
  <si>
    <t>Content</t>
  </si>
  <si>
    <t>All data collected from sampling periods 1 and 3 for environmental measures (worm presence, soil conditions, temperature) as both of these time points collected data in a similar manor (transects)</t>
  </si>
  <si>
    <t>All data collected from sampling period 2 for any environmental measures. This data was not collected consistently across the collection period and was performed as paired points, with one point relating to salamander presence and then pairing a control point within a certain distance and direction of the positive location.</t>
  </si>
  <si>
    <t>All data collected on salamanders from sampling periods 1 and 3 since these data were collected in a similar manor. Both time points used transects for sampling</t>
  </si>
  <si>
    <t>All data collected on salamanders from sampling period 2, which was gastric lavage. The collection of salamanders was more haphazard and was not constrainted to transects, but the general area around the lightbox set up.</t>
  </si>
  <si>
    <t>date</t>
  </si>
  <si>
    <t>location</t>
  </si>
  <si>
    <t>sal_id</t>
  </si>
  <si>
    <t>morph</t>
  </si>
  <si>
    <t>transect_num</t>
  </si>
  <si>
    <t>transect_location</t>
  </si>
  <si>
    <t>sex</t>
  </si>
  <si>
    <t>weight</t>
  </si>
  <si>
    <t>svl</t>
  </si>
  <si>
    <t>head_length</t>
  </si>
  <si>
    <t>head_width</t>
  </si>
  <si>
    <t>morph_photo</t>
  </si>
  <si>
    <t>color_photo</t>
  </si>
  <si>
    <t>site_coordinates</t>
  </si>
  <si>
    <t>weather</t>
  </si>
  <si>
    <t>start_temp</t>
  </si>
  <si>
    <t>start_rh</t>
  </si>
  <si>
    <t>end_temp</t>
  </si>
  <si>
    <t>end_rh</t>
  </si>
  <si>
    <t>start_time</t>
  </si>
  <si>
    <t>end_time</t>
  </si>
  <si>
    <t>dens_t1</t>
  </si>
  <si>
    <t>dens_t2</t>
  </si>
  <si>
    <t>dens_t3</t>
  </si>
  <si>
    <t>avg_canopy_cover</t>
  </si>
  <si>
    <t>salamander_presence</t>
  </si>
  <si>
    <t>co_type</t>
  </si>
  <si>
    <t>temp</t>
  </si>
  <si>
    <t>ph</t>
  </si>
  <si>
    <t>moisture</t>
  </si>
  <si>
    <t>lldepth</t>
  </si>
  <si>
    <t>worm_presence</t>
  </si>
  <si>
    <t>lavage</t>
  </si>
  <si>
    <t>site_coords</t>
  </si>
  <si>
    <t>canopycover</t>
  </si>
  <si>
    <t>lat_degree</t>
  </si>
  <si>
    <t>long_degree</t>
  </si>
  <si>
    <t xml:space="preserve">cloudy </t>
  </si>
  <si>
    <t>rainy</t>
  </si>
  <si>
    <t>Woodland sampling</t>
  </si>
  <si>
    <t>TMR, Stream sampling</t>
  </si>
  <si>
    <t>stream sampling</t>
  </si>
  <si>
    <t>TMR, woodland sampling</t>
  </si>
  <si>
    <t>julian_date</t>
  </si>
  <si>
    <t>sloughing/shedding skin around neck</t>
  </si>
  <si>
    <t>fresh tail drop, no lavage due to stress</t>
  </si>
  <si>
    <t>Test</t>
  </si>
  <si>
    <t>Red</t>
  </si>
  <si>
    <t>Missing legs, cannot decipher between pseudoscorpiones or acarina</t>
  </si>
  <si>
    <t># 3 + 4 under same CO - too small ***note 7/24 highlighted red bc weight is entered correctly per what is written on the datasheet, but there is no way to have measured a 0.05g salamander. Likely miswritten might want to remove from analysis</t>
  </si>
  <si>
    <t>had weird grey skin on tail - didnt want to contaminate equipment if contagious- see phone photos</t>
  </si>
  <si>
    <t>super small too fragile to morph</t>
  </si>
  <si>
    <t>Looks like there are a number of small legs that were present inside of a casing, but no distinct body</t>
  </si>
  <si>
    <t>Salamander Datasheets</t>
  </si>
  <si>
    <t>Highlight color meanings</t>
  </si>
  <si>
    <t>Cannot use tail due to glare preventing a continuous ROI</t>
  </si>
  <si>
    <t>Cannot use for color due to glare along back preventing continuous ROI</t>
  </si>
  <si>
    <t>**9/10 tail is autotomized almost fully, but there is a grey patch of skin (not glare) at base</t>
  </si>
  <si>
    <t>**9/10: tail is pretty much nonexistent</t>
  </si>
  <si>
    <t>Most of tail is gone</t>
  </si>
  <si>
    <t>**9/10 Light box was not turned on for photos</t>
  </si>
  <si>
    <t>Label</t>
  </si>
  <si>
    <t>lumMean</t>
  </si>
  <si>
    <t>lumSD</t>
  </si>
  <si>
    <t>area</t>
  </si>
  <si>
    <t>maxPower</t>
  </si>
  <si>
    <t>maxFreq</t>
  </si>
  <si>
    <t>propPower</t>
  </si>
  <si>
    <t>sumPower</t>
  </si>
  <si>
    <t>meanPower</t>
  </si>
  <si>
    <t>powerSD</t>
  </si>
  <si>
    <t>lwMean</t>
  </si>
  <si>
    <t>lwSD</t>
  </si>
  <si>
    <t>mwMean</t>
  </si>
  <si>
    <t>mwSD</t>
  </si>
  <si>
    <t>swMean</t>
  </si>
  <si>
    <t>swSD</t>
  </si>
  <si>
    <t>dblMean</t>
  </si>
  <si>
    <t>dblSD</t>
  </si>
  <si>
    <t>pattern_size</t>
  </si>
  <si>
    <t>pattern_energy</t>
  </si>
  <si>
    <t>Saturation_mean</t>
  </si>
  <si>
    <t>bunp18_b1</t>
  </si>
  <si>
    <t>hickrun23_b1</t>
  </si>
  <si>
    <t>prom19_b1</t>
  </si>
  <si>
    <t>prom21_b1</t>
  </si>
  <si>
    <t>bunp17_b1</t>
  </si>
  <si>
    <t>219_5_b1</t>
  </si>
  <si>
    <t>219_10 _b1</t>
  </si>
  <si>
    <t>hickrun16_b1</t>
  </si>
  <si>
    <t>hickrun20_b1</t>
  </si>
  <si>
    <t>lack9_b1</t>
  </si>
  <si>
    <t>159_18_b1</t>
  </si>
  <si>
    <t>159_22_b1</t>
  </si>
  <si>
    <t>danby19_b1</t>
  </si>
  <si>
    <t>danby22_b1</t>
  </si>
  <si>
    <t>arctic1_b1</t>
  </si>
  <si>
    <t>ellis22_b1</t>
  </si>
  <si>
    <t>ellis23_b1</t>
  </si>
  <si>
    <t>ellis27_b1</t>
  </si>
  <si>
    <t>ludlow11_b1</t>
  </si>
  <si>
    <t>ludlow14_b1</t>
  </si>
  <si>
    <t>ludlow20_b1</t>
  </si>
  <si>
    <t>mallet9_b1</t>
  </si>
  <si>
    <t>mallet17_b1</t>
  </si>
  <si>
    <t>charles3_b1</t>
  </si>
  <si>
    <t>charles9_b1</t>
  </si>
  <si>
    <t>bear7_b1</t>
  </si>
  <si>
    <t>bear8_b1</t>
  </si>
  <si>
    <t>bear10_b1</t>
  </si>
  <si>
    <t>lab10_b1</t>
  </si>
  <si>
    <t>CAA:Sc</t>
  </si>
  <si>
    <t>CAA:Jc</t>
  </si>
  <si>
    <t>CAA:St</t>
  </si>
  <si>
    <t>CAA:Jt</t>
  </si>
  <si>
    <t>CAA:Hc</t>
  </si>
  <si>
    <t>CAA:Qc</t>
  </si>
  <si>
    <t>CAA:Ht</t>
  </si>
  <si>
    <t>CAA:Qt</t>
  </si>
  <si>
    <t>CAA:Scpl</t>
  </si>
  <si>
    <t>CAA:Qcpl</t>
  </si>
  <si>
    <t>CAA:PT</t>
  </si>
  <si>
    <t>CAA:PT Hrz</t>
  </si>
  <si>
    <t>CAA:PT Vrt</t>
  </si>
  <si>
    <t>CAA:Asp</t>
  </si>
  <si>
    <t>VCA:ML</t>
  </si>
  <si>
    <t>VCA:sL</t>
  </si>
  <si>
    <t>VCA:CVL</t>
  </si>
  <si>
    <t>VCA:MDmax</t>
  </si>
  <si>
    <t>VCA:sDmax</t>
  </si>
  <si>
    <t>VCA:CVDmax</t>
  </si>
  <si>
    <t>VCA:MSsat</t>
  </si>
  <si>
    <t>VCA:sSsat</t>
  </si>
  <si>
    <t>VCA:CVSsat</t>
  </si>
  <si>
    <t>VCA:MSL</t>
  </si>
  <si>
    <t>VCA:sSL</t>
  </si>
  <si>
    <t>VCA:CVSL</t>
  </si>
  <si>
    <t>VCA:MS</t>
  </si>
  <si>
    <t>VCA:sS</t>
  </si>
  <si>
    <t>VCA:CVS</t>
  </si>
  <si>
    <t>BSA:BML</t>
  </si>
  <si>
    <t>BSA:BCVL</t>
  </si>
  <si>
    <t>BSA:BMDmax</t>
  </si>
  <si>
    <t>BSA:BsDmax</t>
  </si>
  <si>
    <t>BSA:BCVDmax</t>
  </si>
  <si>
    <t>BSA:BMSsat</t>
  </si>
  <si>
    <t>BSA:BsSsat</t>
  </si>
  <si>
    <t>BSA:BCVSsat</t>
  </si>
  <si>
    <t>BSA:BMSL</t>
  </si>
  <si>
    <t>BSA:BsSL</t>
  </si>
  <si>
    <t>BSA:BCVSL</t>
  </si>
  <si>
    <t>BSA:BMS</t>
  </si>
  <si>
    <t>BSA:BsS</t>
  </si>
  <si>
    <t>BSA:BCVS</t>
  </si>
  <si>
    <t>Infinity</t>
  </si>
  <si>
    <t>NaN</t>
  </si>
  <si>
    <t>lab_9_b1</t>
  </si>
  <si>
    <t>other- small white/cream soft bodied insect (potentially hymenoptera larvae), partially decayed cannot count legs or body segments</t>
  </si>
  <si>
    <t>other- potentially caterpillar (translucent white body that had mostly degraded, but dark, chitinous head)</t>
  </si>
  <si>
    <t>other- white soft body with dark chitinous head, 4 other unidentiifed (one was brown with large eyes, 6 legs, but following the key doesn't seem to be correct)</t>
  </si>
  <si>
    <t>other (2)- small whitish individual with defined body segments, but cannot see enough detail due to the size, brown bunch of chitinous pieces</t>
  </si>
  <si>
    <t>Unidentified</t>
  </si>
  <si>
    <t>reddish brown carapace, very broken down and could not see of any body segments or legs, looks like a mecoptera larvae- pale, whitish body that is segmented and has three pairs of true legs, a proleg at the end of the body, but cannot see other pairs of prolegs. Head is very chitinous and reminds me of a termite (small eye spots and mandibles)</t>
  </si>
  <si>
    <t>rotation_angle</t>
  </si>
  <si>
    <t>Image</t>
  </si>
  <si>
    <t>CAA:C</t>
  </si>
  <si>
    <t>BSA:BsL</t>
  </si>
  <si>
    <t>X (lw:mw)_mean</t>
  </si>
  <si>
    <t>X (lw:mw)_sd</t>
  </si>
  <si>
    <t>Y (lw+mw:sw)_mean</t>
  </si>
  <si>
    <t>Y (lw+mw:sw)_sd</t>
  </si>
  <si>
    <t>Saturation_sd</t>
  </si>
  <si>
    <t>hick_4_b1</t>
  </si>
  <si>
    <t>hick_8_b2</t>
  </si>
  <si>
    <t>hick_4_TG4_2025_Bluetit_LMS_D65__Acuity19_Dist1000_b1_WeberFiltered_itr5_rad5_fall3_b1</t>
  </si>
  <si>
    <t>prom_1_b1</t>
  </si>
  <si>
    <t>prom_3_b1</t>
  </si>
  <si>
    <t>prom_6_b1</t>
  </si>
  <si>
    <t>lack_6_b1</t>
  </si>
  <si>
    <t>36_1_b1</t>
  </si>
  <si>
    <t>36_4_b1</t>
  </si>
  <si>
    <t>36_5_b1</t>
  </si>
  <si>
    <t>159_2_b1</t>
  </si>
  <si>
    <t>159_3_b1</t>
  </si>
  <si>
    <t>159_4_b1</t>
  </si>
  <si>
    <t>159_5_b1</t>
  </si>
  <si>
    <t>ellis_3_b1</t>
  </si>
  <si>
    <t>ellis_7_b1</t>
  </si>
  <si>
    <t>ellis_12_b1</t>
  </si>
  <si>
    <t>ellis_14_b1</t>
  </si>
  <si>
    <t>ellis_19_b1</t>
  </si>
  <si>
    <t>ludlow_3_b1</t>
  </si>
  <si>
    <t>mallet_1 _b1</t>
  </si>
  <si>
    <t>mallet_2_b1</t>
  </si>
  <si>
    <t>mallet_5_b1</t>
  </si>
  <si>
    <t>mallet_6_b1</t>
  </si>
  <si>
    <t>bear_1_b1</t>
  </si>
  <si>
    <t>prom_3_TG4_2025_Bluetit_LMS_D65__Acuity19_Dist1000_b1_WeberFiltered_itr5_rad5_fall3_b1</t>
  </si>
  <si>
    <t>prom_6_TG4_2025_Bluetit_LMS_D65__Acuity19_Dist1000_b1_WeberFiltered_itr5_rad5_fall3_b1</t>
  </si>
  <si>
    <t>lack_6_TG4_2025_Bluetit_LMS_D65__Acuity19_Dist1000_b1_WeberFiltered_itr5_rad5_fall3_b1</t>
  </si>
  <si>
    <t>36_1_TG4_2025_Bluetit_LMS_D65__Acuity19_Dist1000_b1_WeberFiltered_itr5_rad5_fall3_b1</t>
  </si>
  <si>
    <t>36_4_TG4_2025_Bluetit_LMS_D65__Acuity19_Dist1000_b1_WeberFiltered_itr5_rad5_fall3_b1</t>
  </si>
  <si>
    <t>36_5_TG4_2025_Bluetit_LMS_D65__Acuity19_Dist1000_b1_WeberFiltered_itr5_rad5_fall3_b1</t>
  </si>
  <si>
    <t>159_4_TG4_2025_Bluetit_LMS_D65__Acuity19_Dist1000_b1_WeberFiltered_itr5_rad5_fall3_b1</t>
  </si>
  <si>
    <t>159_5_TG4_2025_Bluetit_LMS_D65__Acuity19_Dist1000_b1_WeberFiltered_itr5_rad5_fall3_b1</t>
  </si>
  <si>
    <t>ellis_3_TG4_2025_Bluetit_LMS_D65__Acuity19_Dist1000_b1_WeberFiltered_itr5_rad5_fall3_b1</t>
  </si>
  <si>
    <t>ellis_7_TG4_2025_Bluetit_LMS_D65__Acuity19_Dist1000_b1_WeberFiltered_itr5_rad5_fall3_b1</t>
  </si>
  <si>
    <t>ellis_12_TG4_2025_Bluetit_LMS_D65__Acuity19_Dist1000_b1_WeberFiltered_itr5_rad5_fall3_b1</t>
  </si>
  <si>
    <t>ellis_14_TG4_2025_Bluetit_LMS_D65__Acuity19_Dist1000_b1_WeberFiltered_itr5_rad5_fall3_b1</t>
  </si>
  <si>
    <t>ellis_19_TG4_2025_Bluetit_LMS_D65__Acuity19_Dist1000_b1_WeberFiltered_itr5_rad5_fall3_b1</t>
  </si>
  <si>
    <t>ludlow_3_TG4_2025_Bluetit_LMS_D65__Acuity19_Dist1000_b1_WeberFiltered_itr5_rad5_fall3_b1</t>
  </si>
  <si>
    <t>mallet_1_TG4_2025_Bluetit_LMS_D65__Acuity19_Dist1000_b1_WeberFiltered_itr5_rad5_fall3_b1</t>
  </si>
  <si>
    <t>mallet_2_TG4_2025_Bluetit_LMS_D65__Acuity19_Dist1000_b1_WeberFiltered_itr5_rad5_fall3_b1</t>
  </si>
  <si>
    <t>mallet_5_TG4_2025_Bluetit_LMS_D65__Acuity19_Dist1000_b1_WeberFiltered_itr5_rad5_fall3_b1</t>
  </si>
  <si>
    <t>mallet_6_TG4_2025_Bluetit_LMS_D65__Acuity19_Dist1000_b1_WeberFiltered_itr5_rad5_fall3_b1</t>
  </si>
  <si>
    <t>bear_1_TG4_2025_Bluetit_LMS_D65__Acuity19_Dist1000_b1_WeberFiltered_itr5_rad5_fall3_b1</t>
  </si>
  <si>
    <t>**10/23 no photo on computer for this individual</t>
  </si>
  <si>
    <t>white soft bodied individual, likely a larvae of some sort, 2. based on soil invert key this would be defined as an acari but the body shape doesn't seem correct and looks like its been partially removed</t>
  </si>
  <si>
    <t>bunp_15_b1</t>
  </si>
  <si>
    <t>bunp_20_b1</t>
  </si>
  <si>
    <t>bunp_21_b1</t>
  </si>
  <si>
    <t>bunp_22_b1</t>
  </si>
  <si>
    <t>bunp_23_b1</t>
  </si>
  <si>
    <t>bunp_24_b1</t>
  </si>
  <si>
    <t>bunp_25_b1</t>
  </si>
  <si>
    <t>bunp_26_b1</t>
  </si>
  <si>
    <t>three small, white softbodied individuals, looks like they have 6 pairs of legs and antennaes have 3 segments. Can't ID using invert key</t>
  </si>
  <si>
    <t>yellow/whitish individual, did not have a head and missing some legs so could not ID</t>
  </si>
  <si>
    <t>two different head parts with compound eyes, no body attached, 2. id as coleoptera since there are elytra and wings, but there is no true body or head to check the ID</t>
  </si>
  <si>
    <t>second abdomen piece that looks like an ant, but no other body parts present so did not note as a confirmed formicidae</t>
  </si>
  <si>
    <t>one formicidae is a larvae- white body with two distinct black eye spots</t>
  </si>
  <si>
    <t>hard carapace piece that is relatively large. I don’t believe it is an elytra since I cant separate it apart, 2. the unidentified individual was mostly just a thorax with legs, it looked like there were eight pairs so it could be araneae</t>
  </si>
  <si>
    <t>219_3_b1</t>
  </si>
  <si>
    <t>219_4_b1</t>
  </si>
  <si>
    <t>219_6_b1</t>
  </si>
  <si>
    <t>219_8_b1</t>
  </si>
  <si>
    <t>219_11_b1</t>
  </si>
  <si>
    <t>219_12_b1</t>
  </si>
  <si>
    <t>the unidentified is likely an isopod but the front part of the individual is too decomposed and cannot count legs</t>
  </si>
  <si>
    <t>pretty sure there are halteres for hind wings which would denote this as a diptera, 2. two very small white bodied individuals, likely larvae- can see very small eye spots, 3. partially decayed individual that I think is a coleoptera larvae. Greyish segmented body, cannot count legs, but there is a distinct head region that is dark</t>
  </si>
  <si>
    <t>there are numerous pieces of what I am assuming are isopods, but cannot fully ID due to things being in parts, 2. looks like it could be a collembola, but my ID stuff is giving thysanoptera, but there aren't super defined eyes on the head like I am seeing in reference images</t>
  </si>
  <si>
    <t>hick_9_b1</t>
  </si>
  <si>
    <t>hick_11_b1</t>
  </si>
  <si>
    <t>hick_13_b1</t>
  </si>
  <si>
    <t>hick_14_b1</t>
  </si>
  <si>
    <t>Unidentified potentially collembola</t>
  </si>
  <si>
    <t>hick_15_b1</t>
  </si>
  <si>
    <t>hick_18_b1</t>
  </si>
  <si>
    <t>2 white bodied individuals that are partially decayed with small, black heads, 5 small orangish individuals, looks like it is likely a small millipede but cannot cound legs or unfurl since they are so small</t>
  </si>
  <si>
    <t xml:space="preserve">whitish body, 6 legs, looks like a collembola but can't see antenna and body is pretty broken down. Looks similar to the two other collembola I identified </t>
  </si>
  <si>
    <t>hick_19_b1</t>
  </si>
  <si>
    <t>hick_21_b1</t>
  </si>
  <si>
    <t>hick_22_b1</t>
  </si>
  <si>
    <t>hick_24_b1</t>
  </si>
  <si>
    <t>head of something that seems like a wasp, two sets of wings that look similar to other diptera individuals I have previously identified</t>
  </si>
  <si>
    <t>prom_13_b1</t>
  </si>
  <si>
    <t>prom_14_b1</t>
  </si>
  <si>
    <t>prom_15_b1</t>
  </si>
  <si>
    <t>prom_16_b1</t>
  </si>
  <si>
    <t>prom_17_b1</t>
  </si>
  <si>
    <t>prom_18_b1</t>
  </si>
  <si>
    <t>prom_20_b2</t>
  </si>
  <si>
    <t>prom_22 _b1</t>
  </si>
  <si>
    <t>lack_10_b1</t>
  </si>
  <si>
    <t>lack_11_b1</t>
  </si>
  <si>
    <t>lack_12_b1</t>
  </si>
  <si>
    <t>lack_14_b1</t>
  </si>
  <si>
    <t>think unidentified is diptera larvae. The back end of the larvae is not present so can't look at spiracles which is how key deciphers between legless species</t>
  </si>
  <si>
    <t>all 15 unidentified were likely more decomposed diptera larvae based on basic shape</t>
  </si>
  <si>
    <t>some sort of larvae, potentially coleoptera</t>
  </si>
  <si>
    <t>was just a head, looked like a coleoptera larva head, but no body attached</t>
  </si>
  <si>
    <t>larva with distinct, hard, dark head, second is the same where it has a distinct, dark, hard head region. There are some small hairs along the body, but can't count legs, but it does look like there are prolegs</t>
  </si>
  <si>
    <t>two white individuals with no legs or identifiable head region. The body is stiff and hardened compared to what I would expect for a larva</t>
  </si>
  <si>
    <t>long wings, likely diptera, but decayed enough that there is no evidence of halteres and there are no legs or head region</t>
  </si>
  <si>
    <t>large white mass of soft tissue, but cannot see any body parts of distinguishable features- given to microbiome tube</t>
  </si>
  <si>
    <t>large white mass of soft tissue that surrounded the coleoptera elytra found in the stomach sample, added to microbiome sample</t>
  </si>
  <si>
    <t xml:space="preserve">looks like a coleoptera, but all the parts have separated </t>
  </si>
  <si>
    <t>two sets of long wings and multiple long legs. No body present and could not see any halteres along with the wings</t>
  </si>
  <si>
    <t>white body, partially decayed, still has some legs intact, but since body is not present you cannot count leg pairs</t>
  </si>
  <si>
    <t>Large white mass of soft tissue similar to Ellis 29, 31. Long wings and multifaceted eyes- cannot count legs or see halteres but likely diptera, thorax reddish brown in color with small spine- pretty sure it is from an ant</t>
  </si>
  <si>
    <t>white body with chitinous long "tail" with barbs coming off of it. No legs on the body and no head region</t>
  </si>
  <si>
    <t>lack_15_b1</t>
  </si>
  <si>
    <t>lack_17_b1</t>
  </si>
  <si>
    <t>lack_18_b1</t>
  </si>
  <si>
    <t>lack_19_b1</t>
  </si>
  <si>
    <t>lack_21_b1</t>
  </si>
  <si>
    <t>lack_22_b1</t>
  </si>
  <si>
    <t xml:space="preserve">white soft bodied individual, multiple legs and long body. It might be a chilopoda but too decayed </t>
  </si>
  <si>
    <t>dark bodied, lots of chitin segments. Cannot find legs or head region</t>
  </si>
  <si>
    <t>no body attached, but looks like a coleoptera/coleoptera larvae head</t>
  </si>
  <si>
    <t>has a similar shape to a collembola, but it has a red abdomen and eyes. No legs to count</t>
  </si>
  <si>
    <t>has a curled shape that is similar to a snail shell, but it is not hard and there are striations in it that look like legs, but there are no legs.</t>
  </si>
  <si>
    <t>1. looks like spider, long legs and 4 pairs, but only part of a body, 2. larval type body, whitish color but lots of legs, 3. small isopod or springtail type body shape</t>
  </si>
  <si>
    <t>large specimen, larval or caterpillar like body, cannot see spiracles or any legs, but body is bloated and head region is decayed</t>
  </si>
  <si>
    <t>large white fleshy body, partially decayed</t>
  </si>
  <si>
    <t>36_6_b0</t>
  </si>
  <si>
    <t>159_6_b1</t>
  </si>
  <si>
    <t>159_8_b1</t>
  </si>
  <si>
    <t>159_13_b1</t>
  </si>
  <si>
    <t>head of either an ant or coleoptera</t>
  </si>
  <si>
    <t>one adult ant had a larvae in its mouth- assuming an ant larvae it was carrying when it was eaten, 2 whitish body individuals that are very decomposed- either collembola or ispoda, likely diptera (head and wings found, no body)</t>
  </si>
  <si>
    <t xml:space="preserve">pair of wings with no body- likely diptera, </t>
  </si>
  <si>
    <t xml:space="preserve">three sets of wings with no body, but no halteres seen to id for diptera, long mostly decayed, white, larval body </t>
  </si>
  <si>
    <t>two sets of wings with no bodies or halteres, lots of orange carapace but no real body shape or legs to count (very decomposed and brittle)</t>
  </si>
  <si>
    <t>head with no body with compound reddish eyes</t>
  </si>
  <si>
    <t>likely coleoptera larva- cannot count legs properly but whitish segmented body with distinct head region and eyes and mandibulas are present</t>
  </si>
  <si>
    <t>body highly decayed with small hard black pieces present. Could not count the number of legs due to being broken down, but it looked like there was a long thin proboscus present though it the part was not entirely identifiable as a head</t>
  </si>
  <si>
    <t>pair of wings present but no body</t>
  </si>
  <si>
    <t>large fleshy whitish body- cannot count body segments and it looks like some of it has decayed entirely</t>
  </si>
  <si>
    <t>two parts of a chitinous carapace that has black fang like structures but no body, whitish elongated body that does have a distinct head region and it looks like there are 3 sets of legs, but so clear and decayed that I cannot see any potential eyes, very long slender body- whitish in color but cannot see any distinct segments but body is decently decayed</t>
  </si>
  <si>
    <t>bloated white bodies with distinct head regions but cannot count legs or any segments</t>
  </si>
  <si>
    <t>one set of wings but no body and cannot find any halteres</t>
  </si>
  <si>
    <t>No diet items</t>
  </si>
  <si>
    <t>no body to verify- but head and wings look like hymenoptera</t>
  </si>
  <si>
    <t>looks like a very small isopod- entirely white and so small I cannot count the legs</t>
  </si>
  <si>
    <t>head with no body that is likely coleoptera or formicidae</t>
  </si>
  <si>
    <t>thorax body piece that looks like it would be from an ant but no other distinguishing body parts in the stomach contents</t>
  </si>
  <si>
    <t>head with no body that is likely a coleoptera or diptera larvae</t>
  </si>
  <si>
    <t>long body with lots of segments and chitinous head with mandibles so likely coleoptera larvae but there are no legs that can be counted</t>
  </si>
  <si>
    <t>head with no body, white body</t>
  </si>
  <si>
    <t>set of wings with no body, head that looks similar to some of the collembola but there is no body</t>
  </si>
  <si>
    <t>hard white body that had no discernable head region and body segments, potentially hymenoptera larva</t>
  </si>
  <si>
    <t>159_21_b1</t>
  </si>
  <si>
    <t>159_23_b1</t>
  </si>
  <si>
    <t>danby_3_b1</t>
  </si>
  <si>
    <t>danby_5_b1</t>
  </si>
  <si>
    <t>danby_8_b1</t>
  </si>
  <si>
    <t>danby_12_b1</t>
  </si>
  <si>
    <t>danby_16 _b1</t>
  </si>
  <si>
    <t>danby_21_b1</t>
  </si>
  <si>
    <t>danby_24_b1</t>
  </si>
  <si>
    <t>ellis_20_b1</t>
  </si>
  <si>
    <t>ellis_21_b1</t>
  </si>
  <si>
    <t>ellis_24_b1</t>
  </si>
  <si>
    <t>ellis_25_b1</t>
  </si>
  <si>
    <t>ellis_26_b1</t>
  </si>
  <si>
    <t>ellis_28_b1</t>
  </si>
  <si>
    <t>ellis_29 _b1</t>
  </si>
  <si>
    <t>ellis_30_b1</t>
  </si>
  <si>
    <t>ellis_31_b1</t>
  </si>
  <si>
    <t>ellis_32_b1</t>
  </si>
  <si>
    <t>ellis_33_b1</t>
  </si>
  <si>
    <t>ellis_38_b1</t>
  </si>
  <si>
    <t>ellis_39_b1</t>
  </si>
  <si>
    <t>ellis_40_b1</t>
  </si>
  <si>
    <t>ludlow_10_b1</t>
  </si>
  <si>
    <t>ludlow_12_b1</t>
  </si>
  <si>
    <t>ludlow_13_b1</t>
  </si>
  <si>
    <t>ludlow_16_b1</t>
  </si>
  <si>
    <t>ludlow_17 _b1</t>
  </si>
  <si>
    <t>ludlow_18_b1</t>
  </si>
  <si>
    <t>ludlow_19_b1</t>
  </si>
  <si>
    <t>mallet_10_b1</t>
  </si>
  <si>
    <t>mallet_11_b1</t>
  </si>
  <si>
    <t>mallet_12_b1</t>
  </si>
  <si>
    <t>mallet_15_b1</t>
  </si>
  <si>
    <t>mallet_16_b1</t>
  </si>
  <si>
    <t>mallet_18_b1</t>
  </si>
  <si>
    <t>mallet_20_b1</t>
  </si>
  <si>
    <t>mallet_21_b1</t>
  </si>
  <si>
    <t>mallet_22 _b1</t>
  </si>
  <si>
    <t>mallet_23_b1</t>
  </si>
  <si>
    <t>charles_1_b1</t>
  </si>
  <si>
    <t>charles_2_b1</t>
  </si>
  <si>
    <t>charles_4_b1</t>
  </si>
  <si>
    <t>charles_5_b1</t>
  </si>
  <si>
    <t>charles_10_b1</t>
  </si>
  <si>
    <t>bear_4_b1</t>
  </si>
  <si>
    <t>bear_11_b1</t>
  </si>
  <si>
    <t>bear_14_b1</t>
  </si>
  <si>
    <t>bear_15_b1</t>
  </si>
  <si>
    <t>bear_16_b1</t>
  </si>
  <si>
    <t>bear_18_b1</t>
  </si>
  <si>
    <t>bear_19_b1</t>
  </si>
  <si>
    <t>lab_3_b1</t>
  </si>
  <si>
    <t>lab_5_b1</t>
  </si>
  <si>
    <t>lab_8_b1</t>
  </si>
  <si>
    <t>lab_12_b1</t>
  </si>
  <si>
    <t>lab_15_b1</t>
  </si>
  <si>
    <t>prom_32_b1</t>
  </si>
  <si>
    <t>ellis_44_b1</t>
  </si>
  <si>
    <t>ellis_66_b1</t>
  </si>
  <si>
    <t>arctic_16_b1</t>
  </si>
  <si>
    <t>Acari</t>
  </si>
  <si>
    <t>Araneae</t>
  </si>
  <si>
    <t>Chilopoda</t>
  </si>
  <si>
    <t>Collembola</t>
  </si>
  <si>
    <t>Coleoptera_larva</t>
  </si>
  <si>
    <t>Coleoptera</t>
  </si>
  <si>
    <t>Dermaptera</t>
  </si>
  <si>
    <t>Diplopoda</t>
  </si>
  <si>
    <t>Diptera</t>
  </si>
  <si>
    <t>Diptera_larva</t>
  </si>
  <si>
    <t>Formicidae</t>
  </si>
  <si>
    <t>Gastropoda</t>
  </si>
  <si>
    <t>Hemiptera</t>
  </si>
  <si>
    <t>Hymenoptera_larva</t>
  </si>
  <si>
    <t>Hymenoptera</t>
  </si>
  <si>
    <t>Isopoda</t>
  </si>
  <si>
    <t>Isoptera</t>
  </si>
  <si>
    <t>Lepidoptera_larva</t>
  </si>
  <si>
    <t>Oligochaeta</t>
  </si>
  <si>
    <t>Opiliones</t>
  </si>
  <si>
    <t>Orthoptera</t>
  </si>
  <si>
    <t>Pseudoscorpiones</t>
  </si>
  <si>
    <t>Thysanoptera</t>
  </si>
  <si>
    <t>prom_26_b1</t>
  </si>
  <si>
    <t>219_16_2 _b1</t>
  </si>
  <si>
    <t>219_19_b1</t>
  </si>
  <si>
    <t>219_23_b1</t>
  </si>
  <si>
    <t>hick_26_b1</t>
  </si>
  <si>
    <t>hick_27_b1</t>
  </si>
  <si>
    <t>prom_28_b1</t>
  </si>
  <si>
    <t>prom_36_b1</t>
  </si>
  <si>
    <t>prom_38_b1</t>
  </si>
  <si>
    <t>lack_25_b1</t>
  </si>
  <si>
    <t>lack_32_b1</t>
  </si>
  <si>
    <t>lack_36_b1</t>
  </si>
  <si>
    <t>lack_37_b1</t>
  </si>
  <si>
    <t>lack_42_b1</t>
  </si>
  <si>
    <t>ellis_54_b1</t>
  </si>
  <si>
    <t>hick_25_b1</t>
  </si>
  <si>
    <t>hick_28_b1</t>
  </si>
  <si>
    <t>hick_29_b1</t>
  </si>
  <si>
    <t>hick_30_b1</t>
  </si>
  <si>
    <t>hick_31_b1</t>
  </si>
  <si>
    <t>prom_23_b1</t>
  </si>
  <si>
    <t>prom_24_b1</t>
  </si>
  <si>
    <t>prom_25_b1</t>
  </si>
  <si>
    <t>prom_27_b1</t>
  </si>
  <si>
    <t>prom_29_b1</t>
  </si>
  <si>
    <t>prom_30_b1</t>
  </si>
  <si>
    <t>prom_31_b1</t>
  </si>
  <si>
    <t>prom_33_b1</t>
  </si>
  <si>
    <t>prom_34_b1</t>
  </si>
  <si>
    <t>prom_35_b1</t>
  </si>
  <si>
    <t>prom_37_b1</t>
  </si>
  <si>
    <t>prom_39_b1</t>
  </si>
  <si>
    <t>prom_40 _b1</t>
  </si>
  <si>
    <t>prom_41_b1</t>
  </si>
  <si>
    <t>prom_42_b1</t>
  </si>
  <si>
    <t>prom_43_b1</t>
  </si>
  <si>
    <t>prom_44_b1</t>
  </si>
  <si>
    <t>lack_26_b1</t>
  </si>
  <si>
    <t>lack_27_b1</t>
  </si>
  <si>
    <t>lack_28_b1</t>
  </si>
  <si>
    <t>label</t>
  </si>
  <si>
    <t>lack_29 _b1</t>
  </si>
  <si>
    <t>lack_30_b1</t>
  </si>
  <si>
    <t>lack_31_b1</t>
  </si>
  <si>
    <t>lack_33_b1</t>
  </si>
  <si>
    <t>lack_34_b1</t>
  </si>
  <si>
    <t>lack_35_b1</t>
  </si>
  <si>
    <t>lack_38_b1</t>
  </si>
  <si>
    <t>lack_39_b1</t>
  </si>
  <si>
    <t>lack_40_b1</t>
  </si>
  <si>
    <t>lack_41_b1</t>
  </si>
  <si>
    <t>arctic_4_b1</t>
  </si>
  <si>
    <t>arctic_5_b1</t>
  </si>
  <si>
    <t>arctic_6_b1</t>
  </si>
  <si>
    <t>arctic_7_b1</t>
  </si>
  <si>
    <t>arctic_8 _b1</t>
  </si>
  <si>
    <t>arctic_9_b1</t>
  </si>
  <si>
    <t>arctic_10_b1</t>
  </si>
  <si>
    <t>arctic_11_b1</t>
  </si>
  <si>
    <t>arctic_12_b1</t>
  </si>
  <si>
    <t>arctic_13_b1</t>
  </si>
  <si>
    <t>arctic_14_b1</t>
  </si>
  <si>
    <t>arctic_15_b1</t>
  </si>
  <si>
    <t>arctic_17_b1</t>
  </si>
  <si>
    <t>arctic_18_b1</t>
  </si>
  <si>
    <t>arctic_20_b1</t>
  </si>
  <si>
    <t>arctic_10_Scale Bar:169.8382:5</t>
  </si>
  <si>
    <t>ellis_41_b1</t>
  </si>
  <si>
    <t>ellis_42_b1</t>
  </si>
  <si>
    <t>ellis_43_b1</t>
  </si>
  <si>
    <t>ellis_45_b1</t>
  </si>
  <si>
    <t>ellis_46_b1</t>
  </si>
  <si>
    <t>ellis_47_b1</t>
  </si>
  <si>
    <t>ellis_48_b1</t>
  </si>
  <si>
    <t>ellis_49_b1</t>
  </si>
  <si>
    <t>ellis_50_b1</t>
  </si>
  <si>
    <t>ellis_51_b1</t>
  </si>
  <si>
    <t>ellis_53_b1</t>
  </si>
  <si>
    <t>ellis_55_b1</t>
  </si>
  <si>
    <t>ellis_56_b1</t>
  </si>
  <si>
    <t>ellis_58_b1</t>
  </si>
  <si>
    <t>ellis_59_b1</t>
  </si>
  <si>
    <t>ellis_60_b1</t>
  </si>
  <si>
    <t>ellis_61_b1</t>
  </si>
  <si>
    <t>ellis_62_b1</t>
  </si>
  <si>
    <t>ellis_63_b1</t>
  </si>
  <si>
    <t>ellis_64_b1</t>
  </si>
  <si>
    <t>ellis_65_b1</t>
  </si>
  <si>
    <t>ludlow_22_b1</t>
  </si>
  <si>
    <t>ludlow_23_b1</t>
  </si>
  <si>
    <t>ludlow_24_b1</t>
  </si>
  <si>
    <t>ludlow_25_b1</t>
  </si>
  <si>
    <t>ludlow_26_b1</t>
  </si>
  <si>
    <t>ludlow_27_b1</t>
  </si>
  <si>
    <t>ludlow_28_b1</t>
  </si>
  <si>
    <t>ludlow_29_b1</t>
  </si>
  <si>
    <t>ludlow_30 _b1</t>
  </si>
  <si>
    <t>ludlow_31_b1</t>
  </si>
  <si>
    <t>ludlow_32_b1</t>
  </si>
  <si>
    <t>ludlow_33_b1</t>
  </si>
  <si>
    <t>ludlow_35_b1</t>
  </si>
  <si>
    <t>charles_13_b1</t>
  </si>
  <si>
    <t>charles_14_b1</t>
  </si>
  <si>
    <t>charles_15_b1</t>
  </si>
  <si>
    <t>charles_16_b1</t>
  </si>
  <si>
    <t>charles_17_b1</t>
  </si>
  <si>
    <t>charles_19_b1</t>
  </si>
  <si>
    <t>charles_20_b1</t>
  </si>
  <si>
    <t>charles_21_b1</t>
  </si>
  <si>
    <t>charles_22_b1</t>
  </si>
  <si>
    <t>charles_25_b1</t>
  </si>
  <si>
    <t>charles_26 _b1</t>
  </si>
  <si>
    <t>charles_27_b1</t>
  </si>
  <si>
    <t>hick_1_b2</t>
  </si>
  <si>
    <t>hick_2_b2</t>
  </si>
  <si>
    <t>hick_3_b2</t>
  </si>
  <si>
    <t>hick_5_b2</t>
  </si>
  <si>
    <t>prom_7_b2</t>
  </si>
  <si>
    <t>prom_8 _b2</t>
  </si>
  <si>
    <t>prom_10_b2</t>
  </si>
  <si>
    <t>prom_12_b2</t>
  </si>
  <si>
    <t>lack_1_b2</t>
  </si>
  <si>
    <t>lack_2_b2</t>
  </si>
  <si>
    <t>lack_3_b2</t>
  </si>
  <si>
    <t>lack_4_b2</t>
  </si>
  <si>
    <t>lack_5_b2</t>
  </si>
  <si>
    <t>lack_8_b2</t>
  </si>
  <si>
    <t>36_2_b2</t>
  </si>
  <si>
    <t>36_3 _b1</t>
  </si>
  <si>
    <t>159_1_b2</t>
  </si>
  <si>
    <t>159_3_b2</t>
  </si>
  <si>
    <t>treman_1_b2</t>
  </si>
  <si>
    <t>prom_2_b2</t>
  </si>
  <si>
    <t>ellis_4_b2</t>
  </si>
  <si>
    <t>ellis_5_b2</t>
  </si>
  <si>
    <t>ellis_6_b2</t>
  </si>
  <si>
    <t>ellis_9_b2</t>
  </si>
  <si>
    <t>ellis_11_b2</t>
  </si>
  <si>
    <t>ellis_13_b2</t>
  </si>
  <si>
    <t>ellis_16_b2</t>
  </si>
  <si>
    <t>ellis_17_b2</t>
  </si>
  <si>
    <t>ellis_18_b2</t>
  </si>
  <si>
    <t>ludlow_1_b2</t>
  </si>
  <si>
    <t>ludlow_2_b2</t>
  </si>
  <si>
    <t>ludlow_5_b2</t>
  </si>
  <si>
    <t>ludlow_7_b2</t>
  </si>
  <si>
    <t>ludlow_8_b2</t>
  </si>
  <si>
    <t>ludlow_9_b2</t>
  </si>
  <si>
    <t>mallet_3_b2</t>
  </si>
  <si>
    <t>mallet_4_b2</t>
  </si>
  <si>
    <t>mallet_7_b2</t>
  </si>
  <si>
    <t>mallet_8_b2</t>
  </si>
  <si>
    <t>bear_2_b2</t>
  </si>
  <si>
    <t>bear_3_b2</t>
  </si>
  <si>
    <t>lab_1_b2</t>
  </si>
  <si>
    <t>bunp_16_b2</t>
  </si>
  <si>
    <t>bunp_17_b2</t>
  </si>
  <si>
    <t>bunp_18_b1</t>
  </si>
  <si>
    <t>bunp_19_b2</t>
  </si>
  <si>
    <t>bunp_20_b2</t>
  </si>
  <si>
    <t>bunp_22_b2</t>
  </si>
  <si>
    <t>bunp_23_b2</t>
  </si>
  <si>
    <t>buno_24_b2</t>
  </si>
  <si>
    <t>bunp_25_b2</t>
  </si>
  <si>
    <t>bunp_26_b2</t>
  </si>
  <si>
    <t>219_3_b2</t>
  </si>
  <si>
    <t>219_4_b2</t>
  </si>
  <si>
    <t>219_5_b2</t>
  </si>
  <si>
    <t>219_7_b2</t>
  </si>
  <si>
    <t>219_8 _b2</t>
  </si>
  <si>
    <t>219_10_b2</t>
  </si>
  <si>
    <t>219_11_b2</t>
  </si>
  <si>
    <t>219_12_b2</t>
  </si>
  <si>
    <t>hick_9_b2</t>
  </si>
  <si>
    <t>hick_10_b1</t>
  </si>
  <si>
    <t>hick_11_b2</t>
  </si>
  <si>
    <t>hick_15_b2</t>
  </si>
  <si>
    <t>hick_16_b2</t>
  </si>
  <si>
    <t>hick_17_b2</t>
  </si>
  <si>
    <t>hick_18_b2</t>
  </si>
  <si>
    <t>hick_19_b2</t>
  </si>
  <si>
    <t>hick_20_b2</t>
  </si>
  <si>
    <t>hick_21_b2</t>
  </si>
  <si>
    <t>hick_23_b2</t>
  </si>
  <si>
    <t>prom_13_b2</t>
  </si>
  <si>
    <t>prom_14_b2</t>
  </si>
  <si>
    <t>prom_16_b2</t>
  </si>
  <si>
    <t>prom_18_b2</t>
  </si>
  <si>
    <t>prom_19_b2</t>
  </si>
  <si>
    <t>prom_20_b3</t>
  </si>
  <si>
    <t>prom_21_b1</t>
  </si>
  <si>
    <t>lack_9_b2</t>
  </si>
  <si>
    <t>lack_10_b2</t>
  </si>
  <si>
    <t>lack_12_b2</t>
  </si>
  <si>
    <t>lack_15_b2</t>
  </si>
  <si>
    <t>lack_16_b2</t>
  </si>
  <si>
    <t>lack_17_b2</t>
  </si>
  <si>
    <t>lack_18_b2</t>
  </si>
  <si>
    <t>lack_19_b2</t>
  </si>
  <si>
    <t>lack_20_b2</t>
  </si>
  <si>
    <t>lack_21_b2</t>
  </si>
  <si>
    <t>lack_22_b2</t>
  </si>
  <si>
    <t>lack_23 _b2</t>
  </si>
  <si>
    <t>lack_24_b2</t>
  </si>
  <si>
    <t>36_7_b2</t>
  </si>
  <si>
    <t>159_7_b2</t>
  </si>
  <si>
    <t>159_9_b2</t>
  </si>
  <si>
    <t>159_11_b2</t>
  </si>
  <si>
    <t>159_12_b2</t>
  </si>
  <si>
    <t>159_14_b2</t>
  </si>
  <si>
    <t>159_15_b2</t>
  </si>
  <si>
    <t>159_16_b2</t>
  </si>
  <si>
    <t>159_17_b2</t>
  </si>
  <si>
    <t>159_18 _b2</t>
  </si>
  <si>
    <t>159_b2</t>
  </si>
  <si>
    <t>159_19_b2</t>
  </si>
  <si>
    <t>159_20_b2</t>
  </si>
  <si>
    <t>159_22_b2</t>
  </si>
  <si>
    <t>159_23_b2</t>
  </si>
  <si>
    <t>159_24_b2</t>
  </si>
  <si>
    <t>35_1_b2</t>
  </si>
  <si>
    <t>35_2_b2</t>
  </si>
  <si>
    <t>danby_1 _b2</t>
  </si>
  <si>
    <t>danby_2_b2</t>
  </si>
  <si>
    <t>danby_4_b2</t>
  </si>
  <si>
    <t>danby_6_b2</t>
  </si>
  <si>
    <t>danby_9_b2</t>
  </si>
  <si>
    <t>danby_10_b2</t>
  </si>
  <si>
    <t>danby_11_b1</t>
  </si>
  <si>
    <t>danby_12_b2</t>
  </si>
  <si>
    <t>danby_13_b2</t>
  </si>
  <si>
    <t>danby_14_b2</t>
  </si>
  <si>
    <t>danby_15_b2</t>
  </si>
  <si>
    <t>danby_16 _b2</t>
  </si>
  <si>
    <t>danby_17_b2</t>
  </si>
  <si>
    <t>danby_18_b2</t>
  </si>
  <si>
    <t>danby_19_b2</t>
  </si>
  <si>
    <t>danby_20_b2</t>
  </si>
  <si>
    <t>danby_21_b2</t>
  </si>
  <si>
    <t>danby_22_b2</t>
  </si>
  <si>
    <t>danby_23_b2</t>
  </si>
  <si>
    <t>danby_24_b2</t>
  </si>
  <si>
    <t>arctic_1_b2</t>
  </si>
  <si>
    <t>arctic_2_b2</t>
  </si>
  <si>
    <t>ellis_20_b2</t>
  </si>
  <si>
    <t>ellis_21_b2</t>
  </si>
  <si>
    <t>ellis_22_b2</t>
  </si>
  <si>
    <t>ellis_23_b2</t>
  </si>
  <si>
    <t>ellis_25_b2</t>
  </si>
  <si>
    <t>ellis_24_b2</t>
  </si>
  <si>
    <t>ellis_26_b2</t>
  </si>
  <si>
    <t>ellis_27_b2</t>
  </si>
  <si>
    <t>ellis_28_b2</t>
  </si>
  <si>
    <t>ellis_29_b2</t>
  </si>
  <si>
    <t>ellis_30_b2</t>
  </si>
  <si>
    <t>ellis_b2</t>
  </si>
  <si>
    <t>ellis_31_b2</t>
  </si>
  <si>
    <t>ellis_32_b2</t>
  </si>
  <si>
    <t>ellis_34_b2</t>
  </si>
  <si>
    <t>ellis_35_b2</t>
  </si>
  <si>
    <t>ellis_36_b2</t>
  </si>
  <si>
    <t>ellis_37_b2</t>
  </si>
  <si>
    <t>ellis_40_b2</t>
  </si>
  <si>
    <t>ludlow_10_b2</t>
  </si>
  <si>
    <t>ludlow_11_b2</t>
  </si>
  <si>
    <t>ludlow_12_b2</t>
  </si>
  <si>
    <t>ludlow_13_b2</t>
  </si>
  <si>
    <t>ludlow_14_b2</t>
  </si>
  <si>
    <t>ludlow_15_b2</t>
  </si>
  <si>
    <t>ludlow_16_b2</t>
  </si>
  <si>
    <t>ludlow_17_b2</t>
  </si>
  <si>
    <t>ludlow_19_b2</t>
  </si>
  <si>
    <t>ludlow_20_b2</t>
  </si>
  <si>
    <t>ludlow_21_b2</t>
  </si>
  <si>
    <t>mallet_9_b2</t>
  </si>
  <si>
    <t>mallet_10_b2</t>
  </si>
  <si>
    <t>mallet_13_b2</t>
  </si>
  <si>
    <t>mallet_14_b2</t>
  </si>
  <si>
    <t>mallet_15_b2</t>
  </si>
  <si>
    <t>mallet_16_b2</t>
  </si>
  <si>
    <t>mallet_17_b2</t>
  </si>
  <si>
    <t>mallet_18_b2</t>
  </si>
  <si>
    <t>mallet_19_b2</t>
  </si>
  <si>
    <t>mallet_20_b2</t>
  </si>
  <si>
    <t>mallet_21_b2</t>
  </si>
  <si>
    <t>mallet_22_b2</t>
  </si>
  <si>
    <t>mallet_23_b2</t>
  </si>
  <si>
    <t>charles_1_b2</t>
  </si>
  <si>
    <t>charles_2_b2</t>
  </si>
  <si>
    <t>charles_3_b2</t>
  </si>
  <si>
    <t>charles_5_b2</t>
  </si>
  <si>
    <t>charles_6_b2</t>
  </si>
  <si>
    <t>charles_7_b2</t>
  </si>
  <si>
    <t>charles_8_b2</t>
  </si>
  <si>
    <t>charles_9_b2</t>
  </si>
  <si>
    <t>charles_10_b2</t>
  </si>
  <si>
    <t>charles_11_b2</t>
  </si>
  <si>
    <t>charles_12_b2</t>
  </si>
  <si>
    <t>bear_4_b2</t>
  </si>
  <si>
    <t>bear_5_b2</t>
  </si>
  <si>
    <t>bear_6_b3</t>
  </si>
  <si>
    <t>bear_7_b2</t>
  </si>
  <si>
    <t>bear_8_b2</t>
  </si>
  <si>
    <t>bear_9_b2</t>
  </si>
  <si>
    <t>bear_10_b2</t>
  </si>
  <si>
    <t>bear_11_b2</t>
  </si>
  <si>
    <t>bear_12_b2</t>
  </si>
  <si>
    <t>bear_15_b2</t>
  </si>
  <si>
    <t>bear_17_b2</t>
  </si>
  <si>
    <t>bear_18_b2</t>
  </si>
  <si>
    <t>bear_19_b2</t>
  </si>
  <si>
    <t>lab_2_b2</t>
  </si>
  <si>
    <t>lab_3_b2</t>
  </si>
  <si>
    <t>lab_4_b2</t>
  </si>
  <si>
    <t>lab_5_b2</t>
  </si>
  <si>
    <t>lab_6_b2</t>
  </si>
  <si>
    <t>lab_7_b2</t>
  </si>
  <si>
    <t>lab_8_b2</t>
  </si>
  <si>
    <t>lab_9_b2</t>
  </si>
  <si>
    <t>lab_10_b2</t>
  </si>
  <si>
    <t>lab_11_b2</t>
  </si>
  <si>
    <t>lab_12_b2</t>
  </si>
  <si>
    <t>lab_13_b2</t>
  </si>
  <si>
    <t>lab_14_b2</t>
  </si>
  <si>
    <t>lab_15_b2</t>
  </si>
  <si>
    <t>219_13_b2</t>
  </si>
  <si>
    <t>219_14_b2</t>
  </si>
  <si>
    <t>219_15_b3</t>
  </si>
  <si>
    <t>219_17_b2</t>
  </si>
  <si>
    <t>219_18_b2</t>
  </si>
  <si>
    <t>219_20_b2</t>
  </si>
  <si>
    <t>219_21_b2</t>
  </si>
  <si>
    <t>219_22_b2</t>
  </si>
  <si>
    <t>SalColor</t>
  </si>
  <si>
    <t xml:space="preserve">Compiled data for all salamanders across the three sampling points. This also contains all the data associated with color processing in ImageJ </t>
  </si>
  <si>
    <t>Back_SalPattern</t>
  </si>
  <si>
    <t>Pattern analysis data for each of the back ROIs of the salamanders with images that could be analyzed for color</t>
  </si>
  <si>
    <t>Diet</t>
  </si>
  <si>
    <t>Diet data for all salamanders that underwent lavage and produced a stomach content sample. This is organized by number of individuals found within each taxonomic ranking per salamander</t>
  </si>
  <si>
    <t>Color_Diet</t>
  </si>
  <si>
    <t>Combining all of the color data with the diet data for salamanders in time point 2 when lavage occurred</t>
  </si>
  <si>
    <t>Column Names</t>
  </si>
  <si>
    <t>Sampling location where salamander was collected from</t>
  </si>
  <si>
    <t>Number associated with order that a salamander was collected at each site. Must be interpreted with location as all locations have a salamander with ID 1, since that was the first salamander found at its respective site</t>
  </si>
  <si>
    <t>which color morph each salamander is. This is either "lead", "red", or "striped". Lead is the lead morph. Red and striped are both variations of the striped morph. Striped refers to a color stripe that is not typical (aka red)</t>
  </si>
  <si>
    <t>For sample periods 1 and 3, transects were used to collect environmental data and restricted the area where salamanders were collected. The number corresponds to which of the three transects the salamander was collected in</t>
  </si>
  <si>
    <t>unique_id</t>
  </si>
  <si>
    <t>bunp_1</t>
  </si>
  <si>
    <t>bunp_2</t>
  </si>
  <si>
    <t>bunp_3</t>
  </si>
  <si>
    <t>bunp_4</t>
  </si>
  <si>
    <t>bunp_5</t>
  </si>
  <si>
    <t>bunp_6</t>
  </si>
  <si>
    <t>bunp_7</t>
  </si>
  <si>
    <t>bunp_8</t>
  </si>
  <si>
    <t>bunp_9</t>
  </si>
  <si>
    <t>bunp_10</t>
  </si>
  <si>
    <t>bunp_11</t>
  </si>
  <si>
    <t>bunp_12</t>
  </si>
  <si>
    <t>bunp_13</t>
  </si>
  <si>
    <t>bunp_14</t>
  </si>
  <si>
    <t>219_1</t>
  </si>
  <si>
    <t>219_2</t>
  </si>
  <si>
    <t>hick_1</t>
  </si>
  <si>
    <t>hick_2</t>
  </si>
  <si>
    <t>hick_3</t>
  </si>
  <si>
    <t>hick_4</t>
  </si>
  <si>
    <t>hick_5</t>
  </si>
  <si>
    <t>hick_6</t>
  </si>
  <si>
    <t>hick_7</t>
  </si>
  <si>
    <t>hick_8</t>
  </si>
  <si>
    <t>prom_1</t>
  </si>
  <si>
    <t>prom_2</t>
  </si>
  <si>
    <t>prom_3</t>
  </si>
  <si>
    <t>prom_4</t>
  </si>
  <si>
    <t>prom_5</t>
  </si>
  <si>
    <t>prom_6</t>
  </si>
  <si>
    <t>prom_7</t>
  </si>
  <si>
    <t>prom_8</t>
  </si>
  <si>
    <t>prom_9</t>
  </si>
  <si>
    <t>prom_10</t>
  </si>
  <si>
    <t>prom_11</t>
  </si>
  <si>
    <t>prom_12</t>
  </si>
  <si>
    <t>lack_1</t>
  </si>
  <si>
    <t>lack_2</t>
  </si>
  <si>
    <t>lack_3</t>
  </si>
  <si>
    <t>lack_4</t>
  </si>
  <si>
    <t>lack_5</t>
  </si>
  <si>
    <t>lack_6</t>
  </si>
  <si>
    <t>lack_7</t>
  </si>
  <si>
    <t>lack_8</t>
  </si>
  <si>
    <t>36_1</t>
  </si>
  <si>
    <t>36_2</t>
  </si>
  <si>
    <t>36_3</t>
  </si>
  <si>
    <t>36_4</t>
  </si>
  <si>
    <t>36_5</t>
  </si>
  <si>
    <t>159_1</t>
  </si>
  <si>
    <t>159_2</t>
  </si>
  <si>
    <t>159_3</t>
  </si>
  <si>
    <t>159_4</t>
  </si>
  <si>
    <t>159_5</t>
  </si>
  <si>
    <t>treman_1</t>
  </si>
  <si>
    <t>ellis_1</t>
  </si>
  <si>
    <t>ellis_2</t>
  </si>
  <si>
    <t>ellis_3</t>
  </si>
  <si>
    <t>ellis_4</t>
  </si>
  <si>
    <t>ellis_5</t>
  </si>
  <si>
    <t>ellis_6</t>
  </si>
  <si>
    <t>ellis_7</t>
  </si>
  <si>
    <t>ellis_8</t>
  </si>
  <si>
    <t>ellis_9</t>
  </si>
  <si>
    <t>ellis_10</t>
  </si>
  <si>
    <t>ellis_11</t>
  </si>
  <si>
    <t>ellis_12</t>
  </si>
  <si>
    <t>ellis_13</t>
  </si>
  <si>
    <t>ellis_14</t>
  </si>
  <si>
    <t>ellis_15</t>
  </si>
  <si>
    <t>ellis_16</t>
  </si>
  <si>
    <t>ellis_17</t>
  </si>
  <si>
    <t>ellis_18</t>
  </si>
  <si>
    <t>ellis_19</t>
  </si>
  <si>
    <t>ludlow_1</t>
  </si>
  <si>
    <t>ludlow_2</t>
  </si>
  <si>
    <t>ludlow_3</t>
  </si>
  <si>
    <t>ludlow_4</t>
  </si>
  <si>
    <t>ludlow_5</t>
  </si>
  <si>
    <t>ludlow_6</t>
  </si>
  <si>
    <t>ludlow_7</t>
  </si>
  <si>
    <t>ludlow_8</t>
  </si>
  <si>
    <t>ludlow_9</t>
  </si>
  <si>
    <t>mallet_1</t>
  </si>
  <si>
    <t>mallet_2</t>
  </si>
  <si>
    <t>mallet_3</t>
  </si>
  <si>
    <t>mallet_4</t>
  </si>
  <si>
    <t>mallet_5</t>
  </si>
  <si>
    <t>mallet_6</t>
  </si>
  <si>
    <t>mallet_7</t>
  </si>
  <si>
    <t>mallet_8</t>
  </si>
  <si>
    <t>bear_1</t>
  </si>
  <si>
    <t>bear_2</t>
  </si>
  <si>
    <t>bear_3</t>
  </si>
  <si>
    <t>lab_1</t>
  </si>
  <si>
    <t>bunp_15</t>
  </si>
  <si>
    <t>bunp_16</t>
  </si>
  <si>
    <t>bunp_17</t>
  </si>
  <si>
    <t>bunp_18</t>
  </si>
  <si>
    <t>bunp_19</t>
  </si>
  <si>
    <t>bunp_20</t>
  </si>
  <si>
    <t>bunp_21</t>
  </si>
  <si>
    <t>bunp_22</t>
  </si>
  <si>
    <t>bunp_23</t>
  </si>
  <si>
    <t>bunp_24</t>
  </si>
  <si>
    <t>bunp_25</t>
  </si>
  <si>
    <t>bunp_26</t>
  </si>
  <si>
    <t>219_3</t>
  </si>
  <si>
    <t>219_4</t>
  </si>
  <si>
    <t>219_5</t>
  </si>
  <si>
    <t>219_6</t>
  </si>
  <si>
    <t>219_7</t>
  </si>
  <si>
    <t>219_8</t>
  </si>
  <si>
    <t>219_9</t>
  </si>
  <si>
    <t>219_10</t>
  </si>
  <si>
    <t>219_11</t>
  </si>
  <si>
    <t>219_12</t>
  </si>
  <si>
    <t>hick_9</t>
  </si>
  <si>
    <t>hick_10</t>
  </si>
  <si>
    <t>hick_11</t>
  </si>
  <si>
    <t>hick_12</t>
  </si>
  <si>
    <t>hick_13</t>
  </si>
  <si>
    <t>hick_14</t>
  </si>
  <si>
    <t>hick_15</t>
  </si>
  <si>
    <t>hick_16</t>
  </si>
  <si>
    <t>hick_17</t>
  </si>
  <si>
    <t>hick_18</t>
  </si>
  <si>
    <t>hick_19</t>
  </si>
  <si>
    <t>hick_20</t>
  </si>
  <si>
    <t>hick_21</t>
  </si>
  <si>
    <t>hick_22</t>
  </si>
  <si>
    <t>hick_23</t>
  </si>
  <si>
    <t>hick_24</t>
  </si>
  <si>
    <t>prom_13</t>
  </si>
  <si>
    <t>prom_14</t>
  </si>
  <si>
    <t>prom_15</t>
  </si>
  <si>
    <t>prom_16</t>
  </si>
  <si>
    <t>prom_17</t>
  </si>
  <si>
    <t>prom_18</t>
  </si>
  <si>
    <t>prom_19</t>
  </si>
  <si>
    <t>prom_20</t>
  </si>
  <si>
    <t>prom_21</t>
  </si>
  <si>
    <t>prom_22</t>
  </si>
  <si>
    <t>lack_9</t>
  </si>
  <si>
    <t>lack_10</t>
  </si>
  <si>
    <t>lack_11</t>
  </si>
  <si>
    <t>lack_12</t>
  </si>
  <si>
    <t>lack_13</t>
  </si>
  <si>
    <t>lack_14</t>
  </si>
  <si>
    <t>lack_15</t>
  </si>
  <si>
    <t>lack_16</t>
  </si>
  <si>
    <t>lack_17</t>
  </si>
  <si>
    <t>lack_18</t>
  </si>
  <si>
    <t>lack_19</t>
  </si>
  <si>
    <t>lack_20</t>
  </si>
  <si>
    <t>lack_21</t>
  </si>
  <si>
    <t>lack_22</t>
  </si>
  <si>
    <t>lack_23</t>
  </si>
  <si>
    <t>lack_24</t>
  </si>
  <si>
    <t>36_6</t>
  </si>
  <si>
    <t>36_7</t>
  </si>
  <si>
    <t>36_8</t>
  </si>
  <si>
    <t>159_6</t>
  </si>
  <si>
    <t>159_7</t>
  </si>
  <si>
    <t>159_8</t>
  </si>
  <si>
    <t>159_9</t>
  </si>
  <si>
    <t>159_10</t>
  </si>
  <si>
    <t>159_11</t>
  </si>
  <si>
    <t>159_12</t>
  </si>
  <si>
    <t>159_13</t>
  </si>
  <si>
    <t>159_14</t>
  </si>
  <si>
    <t>159_15</t>
  </si>
  <si>
    <t>159_16</t>
  </si>
  <si>
    <t>159_17</t>
  </si>
  <si>
    <t>159_18</t>
  </si>
  <si>
    <t>159_19</t>
  </si>
  <si>
    <t>159_20</t>
  </si>
  <si>
    <t>159_21</t>
  </si>
  <si>
    <t>159_22</t>
  </si>
  <si>
    <t>159_23</t>
  </si>
  <si>
    <t>159_24</t>
  </si>
  <si>
    <t>35_1</t>
  </si>
  <si>
    <t>35_2</t>
  </si>
  <si>
    <t>danby_1</t>
  </si>
  <si>
    <t>danby_2</t>
  </si>
  <si>
    <t>danby_3</t>
  </si>
  <si>
    <t>danby_4</t>
  </si>
  <si>
    <t>danby_5</t>
  </si>
  <si>
    <t>danby_6</t>
  </si>
  <si>
    <t>danby_7</t>
  </si>
  <si>
    <t>danby_8</t>
  </si>
  <si>
    <t>danby_9</t>
  </si>
  <si>
    <t>danby_10</t>
  </si>
  <si>
    <t>danby_11</t>
  </si>
  <si>
    <t>danby_12</t>
  </si>
  <si>
    <t>danby_13</t>
  </si>
  <si>
    <t>danby_14</t>
  </si>
  <si>
    <t>danby_15</t>
  </si>
  <si>
    <t>danby_16</t>
  </si>
  <si>
    <t>danby_17</t>
  </si>
  <si>
    <t>danby_18</t>
  </si>
  <si>
    <t>danby_19</t>
  </si>
  <si>
    <t>danby_20</t>
  </si>
  <si>
    <t>danby_21</t>
  </si>
  <si>
    <t>danby_22</t>
  </si>
  <si>
    <t>danby_23</t>
  </si>
  <si>
    <t>danby_24</t>
  </si>
  <si>
    <t>arctic_1</t>
  </si>
  <si>
    <t>arctic_2</t>
  </si>
  <si>
    <t>arctic_3</t>
  </si>
  <si>
    <t>ellis_20</t>
  </si>
  <si>
    <t>ellis_21</t>
  </si>
  <si>
    <t>ellis_22</t>
  </si>
  <si>
    <t>ellis_23</t>
  </si>
  <si>
    <t>ellis_24</t>
  </si>
  <si>
    <t>ellis_25</t>
  </si>
  <si>
    <t>ellis_26</t>
  </si>
  <si>
    <t>ellis_27</t>
  </si>
  <si>
    <t>ellis_28</t>
  </si>
  <si>
    <t>ellis_29</t>
  </si>
  <si>
    <t>ellis_30</t>
  </si>
  <si>
    <t>ellis_31</t>
  </si>
  <si>
    <t>ellis_32</t>
  </si>
  <si>
    <t>ellis_33</t>
  </si>
  <si>
    <t>ellis_34</t>
  </si>
  <si>
    <t>ellis_35</t>
  </si>
  <si>
    <t>ellis_36</t>
  </si>
  <si>
    <t>ellis_37</t>
  </si>
  <si>
    <t>ellis_38</t>
  </si>
  <si>
    <t>ellis_39</t>
  </si>
  <si>
    <t>ellis_40</t>
  </si>
  <si>
    <t>ludlow_10</t>
  </si>
  <si>
    <t>ludlow_11</t>
  </si>
  <si>
    <t>ludlow_12</t>
  </si>
  <si>
    <t>ludlow_13</t>
  </si>
  <si>
    <t>ludlow_14</t>
  </si>
  <si>
    <t>ludlow_15</t>
  </si>
  <si>
    <t>ludlow_16</t>
  </si>
  <si>
    <t>ludlow_17</t>
  </si>
  <si>
    <t>ludlow_18</t>
  </si>
  <si>
    <t>ludlow_19</t>
  </si>
  <si>
    <t>ludlow_20</t>
  </si>
  <si>
    <t>ludlow_21</t>
  </si>
  <si>
    <t>mallet_9</t>
  </si>
  <si>
    <t>mallet_10</t>
  </si>
  <si>
    <t>mallet_11</t>
  </si>
  <si>
    <t>mallet_12</t>
  </si>
  <si>
    <t>mallet_13</t>
  </si>
  <si>
    <t>mallet_14</t>
  </si>
  <si>
    <t>mallet_15</t>
  </si>
  <si>
    <t>mallet_16</t>
  </si>
  <si>
    <t>mallet_17</t>
  </si>
  <si>
    <t>mallet_18</t>
  </si>
  <si>
    <t>mallet_19</t>
  </si>
  <si>
    <t>mallet_20</t>
  </si>
  <si>
    <t>mallet_21</t>
  </si>
  <si>
    <t>mallet_22</t>
  </si>
  <si>
    <t>mallet_23</t>
  </si>
  <si>
    <t>charles_1</t>
  </si>
  <si>
    <t>charles_2</t>
  </si>
  <si>
    <t>charles_3</t>
  </si>
  <si>
    <t>charles_4</t>
  </si>
  <si>
    <t>charles_5</t>
  </si>
  <si>
    <t>charles_6</t>
  </si>
  <si>
    <t>charles_7</t>
  </si>
  <si>
    <t>charles_8</t>
  </si>
  <si>
    <t>charles_9</t>
  </si>
  <si>
    <t>charles_10</t>
  </si>
  <si>
    <t>charles_11</t>
  </si>
  <si>
    <t>charles_12</t>
  </si>
  <si>
    <t>bear_4</t>
  </si>
  <si>
    <t>bear_5</t>
  </si>
  <si>
    <t>bear_6</t>
  </si>
  <si>
    <t>bear_7</t>
  </si>
  <si>
    <t>bear_8</t>
  </si>
  <si>
    <t>bear_9</t>
  </si>
  <si>
    <t>bear_10</t>
  </si>
  <si>
    <t>bear_11</t>
  </si>
  <si>
    <t>bear_12</t>
  </si>
  <si>
    <t>bear_13</t>
  </si>
  <si>
    <t>bear_14</t>
  </si>
  <si>
    <t>bear_15</t>
  </si>
  <si>
    <t>bear_16</t>
  </si>
  <si>
    <t>bear_17</t>
  </si>
  <si>
    <t>bear_18</t>
  </si>
  <si>
    <t>bear_19</t>
  </si>
  <si>
    <t>lab_2</t>
  </si>
  <si>
    <t>lab_3</t>
  </si>
  <si>
    <t>lab_4</t>
  </si>
  <si>
    <t>lab_5</t>
  </si>
  <si>
    <t>lab_6</t>
  </si>
  <si>
    <t>lab_7</t>
  </si>
  <si>
    <t>lab_8</t>
  </si>
  <si>
    <t>lab_9</t>
  </si>
  <si>
    <t>lab_10</t>
  </si>
  <si>
    <t>lab_11</t>
  </si>
  <si>
    <t>lab_12</t>
  </si>
  <si>
    <t>lab_13</t>
  </si>
  <si>
    <t>lab_14</t>
  </si>
  <si>
    <t>lab_15</t>
  </si>
  <si>
    <t>bunp_27</t>
  </si>
  <si>
    <t>219_13</t>
  </si>
  <si>
    <t>219_14</t>
  </si>
  <si>
    <t>219_15</t>
  </si>
  <si>
    <t>219_16</t>
  </si>
  <si>
    <t>219_17</t>
  </si>
  <si>
    <t>219_18</t>
  </si>
  <si>
    <t>219_19</t>
  </si>
  <si>
    <t>219_20</t>
  </si>
  <si>
    <t>219_21</t>
  </si>
  <si>
    <t>219_22</t>
  </si>
  <si>
    <t>219_23</t>
  </si>
  <si>
    <t>219_24</t>
  </si>
  <si>
    <t>hick_25</t>
  </si>
  <si>
    <t>hick_26</t>
  </si>
  <si>
    <t>hick_27</t>
  </si>
  <si>
    <t>hick_28</t>
  </si>
  <si>
    <t>hick_29</t>
  </si>
  <si>
    <t>hick_30</t>
  </si>
  <si>
    <t>hick_31</t>
  </si>
  <si>
    <t>prom_23</t>
  </si>
  <si>
    <t>prom_24</t>
  </si>
  <si>
    <t>prom_25</t>
  </si>
  <si>
    <t>prom_26</t>
  </si>
  <si>
    <t>prom_27</t>
  </si>
  <si>
    <t>prom_28</t>
  </si>
  <si>
    <t>prom_29</t>
  </si>
  <si>
    <t>prom_30</t>
  </si>
  <si>
    <t>prom_31</t>
  </si>
  <si>
    <t>prom_32</t>
  </si>
  <si>
    <t>prom_33</t>
  </si>
  <si>
    <t>prom_34</t>
  </si>
  <si>
    <t>prom_35</t>
  </si>
  <si>
    <t>prom_36</t>
  </si>
  <si>
    <t>prom_37</t>
  </si>
  <si>
    <t>prom_38</t>
  </si>
  <si>
    <t>prom_39</t>
  </si>
  <si>
    <t>prom_40</t>
  </si>
  <si>
    <t>prom_41</t>
  </si>
  <si>
    <t>prom_42</t>
  </si>
  <si>
    <t>prom_43</t>
  </si>
  <si>
    <t>prom_44</t>
  </si>
  <si>
    <t>lack_25</t>
  </si>
  <si>
    <t>lack_26</t>
  </si>
  <si>
    <t>lack_27</t>
  </si>
  <si>
    <t>lack_28</t>
  </si>
  <si>
    <t>lack_29</t>
  </si>
  <si>
    <t>lack_30</t>
  </si>
  <si>
    <t>lack_31</t>
  </si>
  <si>
    <t>lack_32</t>
  </si>
  <si>
    <t>lack_33</t>
  </si>
  <si>
    <t>lack_34</t>
  </si>
  <si>
    <t>lack_35</t>
  </si>
  <si>
    <t>lack_36</t>
  </si>
  <si>
    <t>lack_37</t>
  </si>
  <si>
    <t>lack_38</t>
  </si>
  <si>
    <t>lack_39</t>
  </si>
  <si>
    <t>lack_40</t>
  </si>
  <si>
    <t>lack_41</t>
  </si>
  <si>
    <t>lack_42</t>
  </si>
  <si>
    <t>arctic_4</t>
  </si>
  <si>
    <t>arctic_5</t>
  </si>
  <si>
    <t>arctic_6</t>
  </si>
  <si>
    <t>arctic_7</t>
  </si>
  <si>
    <t>arctic_8</t>
  </si>
  <si>
    <t>arctic_9</t>
  </si>
  <si>
    <t>arctic_10</t>
  </si>
  <si>
    <t>arctic_11</t>
  </si>
  <si>
    <t>arctic_12</t>
  </si>
  <si>
    <t>arctic_13</t>
  </si>
  <si>
    <t>arctic_14</t>
  </si>
  <si>
    <t>arctic_15</t>
  </si>
  <si>
    <t>arctic_16</t>
  </si>
  <si>
    <t>arctic_17</t>
  </si>
  <si>
    <t>arctic_18</t>
  </si>
  <si>
    <t>arctic_19</t>
  </si>
  <si>
    <t>arctic_20</t>
  </si>
  <si>
    <t>ellis_41</t>
  </si>
  <si>
    <t>ellis_42</t>
  </si>
  <si>
    <t>ellis_43</t>
  </si>
  <si>
    <t>ellis_44</t>
  </si>
  <si>
    <t>ellis_45</t>
  </si>
  <si>
    <t>ellis_46</t>
  </si>
  <si>
    <t>ellis_47</t>
  </si>
  <si>
    <t>ellis_48</t>
  </si>
  <si>
    <t>ellis_49</t>
  </si>
  <si>
    <t>ellis_50</t>
  </si>
  <si>
    <t>ellis_51</t>
  </si>
  <si>
    <t>ellis_52</t>
  </si>
  <si>
    <t>ellis_53</t>
  </si>
  <si>
    <t>ellis_54</t>
  </si>
  <si>
    <t>ellis_55</t>
  </si>
  <si>
    <t>ellis_56</t>
  </si>
  <si>
    <t>ellis_57</t>
  </si>
  <si>
    <t>ellis_58</t>
  </si>
  <si>
    <t>ellis_59</t>
  </si>
  <si>
    <t>ellis_60</t>
  </si>
  <si>
    <t>ellis_61</t>
  </si>
  <si>
    <t>ellis_62</t>
  </si>
  <si>
    <t>ellis_63</t>
  </si>
  <si>
    <t>ellis_64</t>
  </si>
  <si>
    <t>ellis_65</t>
  </si>
  <si>
    <t>ellis_66</t>
  </si>
  <si>
    <t>ludlow_22</t>
  </si>
  <si>
    <t>ludlow_23</t>
  </si>
  <si>
    <t>ludlow_24</t>
  </si>
  <si>
    <t>ludlow_25</t>
  </si>
  <si>
    <t>ludlow_26</t>
  </si>
  <si>
    <t>ludlow_27</t>
  </si>
  <si>
    <t>ludlow_28</t>
  </si>
  <si>
    <t>ludlow_29</t>
  </si>
  <si>
    <t>ludlow_30</t>
  </si>
  <si>
    <t>ludlow_31</t>
  </si>
  <si>
    <t>ludlow_32</t>
  </si>
  <si>
    <t>ludlow_33</t>
  </si>
  <si>
    <t>ludlow_34</t>
  </si>
  <si>
    <t>ludlow_35</t>
  </si>
  <si>
    <t>charles_13</t>
  </si>
  <si>
    <t>charles_14</t>
  </si>
  <si>
    <t>charles_15</t>
  </si>
  <si>
    <t>charles_16</t>
  </si>
  <si>
    <t>charles_17</t>
  </si>
  <si>
    <t>charles_18</t>
  </si>
  <si>
    <t>charles_19</t>
  </si>
  <si>
    <t>charles_20</t>
  </si>
  <si>
    <t>charles_21</t>
  </si>
  <si>
    <t>charles_22</t>
  </si>
  <si>
    <t>charles_23</t>
  </si>
  <si>
    <t>charles_24</t>
  </si>
  <si>
    <t>charles_25</t>
  </si>
  <si>
    <t>charles_26</t>
  </si>
  <si>
    <t>charles_27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</si>
</sst>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1" x14ac:knownFonts="1">
    <font>
      <sz val="10"/>
      <color rgb="FF000000"/>
      <name val="Arial"/>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b/>
      <sz val="13"/>
      <color rgb="FF000000"/>
      <name val="Times New Roman"/>
      <family val="1"/>
    </font>
    <font>
      <sz val="10"/>
      <color theme="1"/>
      <name val="Arial"/>
      <family val="2"/>
      <scheme val="minor"/>
    </font>
    <font>
      <sz val="10"/>
      <color rgb="FF000000"/>
      <name val="Arial"/>
      <family val="2"/>
      <scheme val="minor"/>
    </font>
    <font>
      <sz val="12"/>
      <color rgb="FF000000"/>
      <name val="Arial"/>
      <family val="2"/>
      <scheme val="minor"/>
    </font>
    <font>
      <sz val="12"/>
      <color rgb="FF000000"/>
      <name val="Aptos Narrow"/>
      <family val="2"/>
    </font>
    <font>
      <sz val="12"/>
      <color theme="3"/>
      <name val="Arial"/>
      <family val="2"/>
      <scheme val="minor"/>
    </font>
    <font>
      <sz val="11"/>
      <color rgb="FF000000"/>
      <name val="Verdana"/>
      <family val="2"/>
    </font>
    <font>
      <sz val="8"/>
      <name val="Arial"/>
      <family val="2"/>
      <scheme val="minor"/>
    </font>
    <font>
      <sz val="10"/>
      <color rgb="FFFF383C"/>
      <name val="Arial"/>
      <family val="2"/>
      <scheme val="minor"/>
    </font>
    <font>
      <sz val="10"/>
      <color rgb="FFFFCB00"/>
      <name val="Arial"/>
      <family val="2"/>
      <scheme val="minor"/>
    </font>
    <font>
      <b/>
      <sz val="12"/>
      <color rgb="FF000000"/>
      <name val="Times New Roman"/>
      <family val="1"/>
    </font>
    <font>
      <b/>
      <u/>
      <sz val="10"/>
      <color rgb="FF000000"/>
      <name val="Arial"/>
      <family val="2"/>
      <scheme val="minor"/>
    </font>
  </fonts>
  <fills count="11">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rgb="FFFF383C"/>
        <bgColor indexed="64"/>
      </patternFill>
    </fill>
    <fill>
      <patternFill patternType="solid">
        <fgColor rgb="FFFFCB00"/>
        <bgColor indexed="64"/>
      </patternFill>
    </fill>
    <fill>
      <patternFill patternType="solid">
        <fgColor rgb="FFDC66FF"/>
        <bgColor indexed="64"/>
      </patternFill>
    </fill>
    <fill>
      <patternFill patternType="solid">
        <fgColor rgb="FFFF000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00B0F0"/>
        <bgColor indexed="64"/>
      </patternFill>
    </fill>
  </fills>
  <borders count="5">
    <border>
      <left/>
      <right/>
      <top/>
      <bottom/>
      <diagonal/>
    </border>
    <border>
      <left/>
      <right/>
      <top/>
      <bottom style="thin">
        <color rgb="FF000000"/>
      </bottom>
      <diagonal/>
    </border>
    <border>
      <left/>
      <right style="medium">
        <color indexed="64"/>
      </right>
      <top/>
      <bottom style="thin">
        <color rgb="FF000000"/>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54">
    <xf numFmtId="0" fontId="0" fillId="0" borderId="0" xfId="0"/>
    <xf numFmtId="0" fontId="9" fillId="0" borderId="1" xfId="0" applyFont="1" applyBorder="1" applyAlignment="1">
      <alignment wrapText="1"/>
    </xf>
    <xf numFmtId="1" fontId="10" fillId="0" borderId="0" xfId="0" applyNumberFormat="1" applyFont="1"/>
    <xf numFmtId="0" fontId="9" fillId="0" borderId="0" xfId="0" applyFont="1" applyAlignment="1">
      <alignment wrapText="1"/>
    </xf>
    <xf numFmtId="14" fontId="8" fillId="0" borderId="0" xfId="0" applyNumberFormat="1" applyFont="1"/>
    <xf numFmtId="0" fontId="8" fillId="0" borderId="0" xfId="0" applyFont="1"/>
    <xf numFmtId="0" fontId="12" fillId="0" borderId="0" xfId="0" applyFont="1"/>
    <xf numFmtId="14" fontId="8" fillId="2" borderId="0" xfId="0" applyNumberFormat="1" applyFont="1" applyFill="1"/>
    <xf numFmtId="0" fontId="8" fillId="2" borderId="0" xfId="0" applyFont="1" applyFill="1"/>
    <xf numFmtId="0" fontId="11" fillId="0" borderId="0" xfId="0" applyFont="1"/>
    <xf numFmtId="20" fontId="8" fillId="0" borderId="0" xfId="0" applyNumberFormat="1" applyFont="1"/>
    <xf numFmtId="1" fontId="8" fillId="0" borderId="0" xfId="0" applyNumberFormat="1" applyFont="1"/>
    <xf numFmtId="49" fontId="8" fillId="0" borderId="0" xfId="0" applyNumberFormat="1" applyFont="1"/>
    <xf numFmtId="0" fontId="8" fillId="3" borderId="0" xfId="0" applyFont="1" applyFill="1"/>
    <xf numFmtId="164" fontId="13" fillId="0" borderId="0" xfId="0" applyNumberFormat="1" applyFont="1"/>
    <xf numFmtId="164" fontId="12" fillId="0" borderId="0" xfId="0" applyNumberFormat="1" applyFont="1"/>
    <xf numFmtId="0" fontId="9" fillId="0" borderId="2" xfId="0" applyFont="1" applyBorder="1" applyAlignment="1">
      <alignment wrapText="1"/>
    </xf>
    <xf numFmtId="0" fontId="14" fillId="0" borderId="0" xfId="0" applyFont="1"/>
    <xf numFmtId="14" fontId="0" fillId="0" borderId="0" xfId="0" applyNumberFormat="1"/>
    <xf numFmtId="0" fontId="15" fillId="0" borderId="0" xfId="0" applyFont="1"/>
    <xf numFmtId="0" fontId="15" fillId="0" borderId="0" xfId="0" applyFont="1" applyAlignment="1">
      <alignment horizontal="right"/>
    </xf>
    <xf numFmtId="0" fontId="0" fillId="0" borderId="3" xfId="0" applyBorder="1"/>
    <xf numFmtId="0" fontId="0" fillId="0" borderId="4" xfId="0" applyBorder="1"/>
    <xf numFmtId="0" fontId="17" fillId="4" borderId="0" xfId="0" applyFont="1" applyFill="1"/>
    <xf numFmtId="0" fontId="18" fillId="5" borderId="0" xfId="0" applyFont="1" applyFill="1"/>
    <xf numFmtId="0" fontId="8" fillId="5" borderId="0" xfId="0" applyFont="1" applyFill="1"/>
    <xf numFmtId="0" fontId="8" fillId="4" borderId="0" xfId="0" applyFont="1" applyFill="1"/>
    <xf numFmtId="0" fontId="0" fillId="6" borderId="0" xfId="0" applyFill="1"/>
    <xf numFmtId="0" fontId="8" fillId="6" borderId="0" xfId="0" applyFont="1" applyFill="1"/>
    <xf numFmtId="0" fontId="8" fillId="7" borderId="0" xfId="0" applyFont="1" applyFill="1"/>
    <xf numFmtId="0" fontId="7" fillId="7" borderId="0" xfId="0" applyFont="1" applyFill="1"/>
    <xf numFmtId="0" fontId="19" fillId="0" borderId="0" xfId="0" applyFont="1"/>
    <xf numFmtId="0" fontId="19" fillId="8" borderId="0" xfId="0" applyFont="1" applyFill="1"/>
    <xf numFmtId="14" fontId="8" fillId="8" borderId="0" xfId="0" applyNumberFormat="1" applyFont="1" applyFill="1"/>
    <xf numFmtId="0" fontId="8" fillId="8" borderId="0" xfId="0" applyFont="1" applyFill="1"/>
    <xf numFmtId="49" fontId="8" fillId="8" borderId="0" xfId="0" applyNumberFormat="1" applyFont="1" applyFill="1"/>
    <xf numFmtId="0" fontId="11" fillId="0" borderId="4" xfId="0" applyFont="1" applyBorder="1"/>
    <xf numFmtId="0" fontId="6" fillId="0" borderId="0" xfId="0" applyFont="1"/>
    <xf numFmtId="0" fontId="6" fillId="4" borderId="0" xfId="0" applyFont="1" applyFill="1"/>
    <xf numFmtId="0" fontId="9" fillId="0" borderId="3" xfId="0" applyFont="1" applyBorder="1" applyAlignment="1">
      <alignment wrapText="1"/>
    </xf>
    <xf numFmtId="0" fontId="8" fillId="9" borderId="0" xfId="0" applyFont="1" applyFill="1"/>
    <xf numFmtId="0" fontId="11" fillId="0" borderId="3" xfId="0" applyFont="1" applyBorder="1"/>
    <xf numFmtId="0" fontId="11" fillId="0" borderId="0" xfId="0" applyFont="1" applyAlignment="1">
      <alignment wrapText="1"/>
    </xf>
    <xf numFmtId="0" fontId="8" fillId="10" borderId="0" xfId="0" applyFont="1" applyFill="1"/>
    <xf numFmtId="0" fontId="5" fillId="4" borderId="0" xfId="0" applyFont="1" applyFill="1"/>
    <xf numFmtId="0" fontId="4" fillId="4" borderId="0" xfId="0" applyFont="1" applyFill="1"/>
    <xf numFmtId="0" fontId="3" fillId="0" borderId="0" xfId="0" applyFont="1"/>
    <xf numFmtId="0" fontId="3" fillId="4" borderId="0" xfId="0" applyFont="1" applyFill="1"/>
    <xf numFmtId="11" fontId="12" fillId="0" borderId="0" xfId="0" applyNumberFormat="1" applyFont="1"/>
    <xf numFmtId="0" fontId="2" fillId="0" borderId="0" xfId="0" applyFont="1"/>
    <xf numFmtId="0" fontId="20" fillId="0" borderId="0" xfId="0" applyFont="1"/>
    <xf numFmtId="0" fontId="1" fillId="0" borderId="0" xfId="0" applyFont="1"/>
    <xf numFmtId="0" fontId="9" fillId="0" borderId="0" xfId="0" applyFont="1" applyBorder="1" applyAlignment="1">
      <alignment wrapText="1"/>
    </xf>
    <xf numFmtId="0" fontId="1" fillId="0" borderId="0" xfId="0" applyFont="1" applyFill="1"/>
  </cellXfs>
  <cellStyles count="1">
    <cellStyle name="Normal" xfId="0" builtinId="0"/>
  </cellStyles>
  <dxfs count="0"/>
  <tableStyles count="0" defaultTableStyle="TableStyleMedium2" defaultPivotStyle="PivotStyleLight16"/>
  <colors>
    <mruColors>
      <color rgb="FFFF383C"/>
      <color rgb="FFDC66FF"/>
      <color rgb="FFFFC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D157-10F4-C04C-BD70-90BF783A658E}">
  <dimension ref="A1:B17"/>
  <sheetViews>
    <sheetView workbookViewId="0">
      <selection activeCell="A18" sqref="A18"/>
    </sheetView>
  </sheetViews>
  <sheetFormatPr baseColWidth="10" defaultRowHeight="13" x14ac:dyDescent="0.15"/>
  <cols>
    <col min="1" max="1" width="26.6640625" bestFit="1" customWidth="1"/>
  </cols>
  <sheetData>
    <row r="1" spans="1:2" x14ac:dyDescent="0.15">
      <c r="A1" s="50" t="s">
        <v>292</v>
      </c>
      <c r="B1" s="9" t="s">
        <v>293</v>
      </c>
    </row>
    <row r="2" spans="1:2" x14ac:dyDescent="0.15">
      <c r="A2" s="9" t="s">
        <v>288</v>
      </c>
      <c r="B2" s="9" t="s">
        <v>296</v>
      </c>
    </row>
    <row r="3" spans="1:2" x14ac:dyDescent="0.15">
      <c r="A3" s="9" t="s">
        <v>289</v>
      </c>
      <c r="B3" s="9" t="s">
        <v>294</v>
      </c>
    </row>
    <row r="4" spans="1:2" x14ac:dyDescent="0.15">
      <c r="A4" s="9" t="s">
        <v>290</v>
      </c>
      <c r="B4" s="9" t="s">
        <v>297</v>
      </c>
    </row>
    <row r="5" spans="1:2" x14ac:dyDescent="0.15">
      <c r="A5" s="9" t="s">
        <v>291</v>
      </c>
      <c r="B5" s="9" t="s">
        <v>295</v>
      </c>
    </row>
    <row r="6" spans="1:2" x14ac:dyDescent="0.15">
      <c r="A6" s="9" t="s">
        <v>1037</v>
      </c>
      <c r="B6" s="9" t="s">
        <v>1038</v>
      </c>
    </row>
    <row r="7" spans="1:2" x14ac:dyDescent="0.15">
      <c r="A7" s="9" t="s">
        <v>1039</v>
      </c>
      <c r="B7" s="9" t="s">
        <v>1040</v>
      </c>
    </row>
    <row r="8" spans="1:2" x14ac:dyDescent="0.15">
      <c r="A8" s="9" t="s">
        <v>1041</v>
      </c>
      <c r="B8" s="9" t="s">
        <v>1042</v>
      </c>
    </row>
    <row r="9" spans="1:2" x14ac:dyDescent="0.15">
      <c r="A9" s="9" t="s">
        <v>1043</v>
      </c>
      <c r="B9" s="9" t="s">
        <v>1044</v>
      </c>
    </row>
    <row r="12" spans="1:2" x14ac:dyDescent="0.15">
      <c r="A12" s="50" t="s">
        <v>1045</v>
      </c>
    </row>
    <row r="13" spans="1:2" x14ac:dyDescent="0.15">
      <c r="A13" s="9" t="s">
        <v>299</v>
      </c>
      <c r="B13" s="9" t="s">
        <v>1046</v>
      </c>
    </row>
    <row r="14" spans="1:2" x14ac:dyDescent="0.15">
      <c r="A14" s="9" t="s">
        <v>300</v>
      </c>
      <c r="B14" s="9" t="s">
        <v>1047</v>
      </c>
    </row>
    <row r="15" spans="1:2" x14ac:dyDescent="0.15">
      <c r="A15" s="9" t="s">
        <v>301</v>
      </c>
      <c r="B15" s="9" t="s">
        <v>1048</v>
      </c>
    </row>
    <row r="16" spans="1:2" x14ac:dyDescent="0.15">
      <c r="A16" s="9" t="s">
        <v>302</v>
      </c>
      <c r="B16" s="9" t="s">
        <v>1049</v>
      </c>
    </row>
    <row r="17" spans="1:1" x14ac:dyDescent="0.15">
      <c r="A17" s="9" t="s">
        <v>303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7108-BD1C-A548-80DC-7B390C44F79C}">
  <dimension ref="A1:B5"/>
  <sheetViews>
    <sheetView workbookViewId="0">
      <selection activeCell="B5" sqref="B5"/>
    </sheetView>
  </sheetViews>
  <sheetFormatPr baseColWidth="10" defaultRowHeight="13" x14ac:dyDescent="0.15"/>
  <sheetData>
    <row r="1" spans="1:2" x14ac:dyDescent="0.15">
      <c r="A1" s="9" t="s">
        <v>351</v>
      </c>
      <c r="B1" s="9"/>
    </row>
    <row r="2" spans="1:2" x14ac:dyDescent="0.15">
      <c r="A2" s="9" t="s">
        <v>352</v>
      </c>
    </row>
    <row r="3" spans="1:2" x14ac:dyDescent="0.15">
      <c r="A3" s="23"/>
      <c r="B3" s="9" t="s">
        <v>354</v>
      </c>
    </row>
    <row r="4" spans="1:2" x14ac:dyDescent="0.15">
      <c r="A4" s="24"/>
      <c r="B4" s="9" t="s">
        <v>353</v>
      </c>
    </row>
    <row r="5" spans="1:2" x14ac:dyDescent="0.15">
      <c r="A5" s="27"/>
      <c r="B5" s="9" t="s">
        <v>357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56"/>
  <sheetViews>
    <sheetView zoomScale="111" workbookViewId="0">
      <pane xSplit="4" ySplit="1" topLeftCell="E2" activePane="bottomRight" state="frozen"/>
      <selection pane="topRight" activeCell="D1" sqref="D1"/>
      <selection pane="bottomLeft" activeCell="A2" sqref="A2"/>
      <selection pane="bottomRight" activeCell="F1" sqref="F1"/>
    </sheetView>
  </sheetViews>
  <sheetFormatPr baseColWidth="10" defaultColWidth="12.6640625" defaultRowHeight="15.75" customHeight="1" x14ac:dyDescent="0.15"/>
  <cols>
    <col min="3" max="3" width="18.33203125" customWidth="1"/>
    <col min="4" max="4" width="12.83203125" customWidth="1"/>
    <col min="6" max="6" width="16.1640625" customWidth="1"/>
    <col min="7" max="7" width="18.33203125" customWidth="1"/>
    <col min="8" max="8" width="9" customWidth="1"/>
    <col min="11" max="11" width="19.5" customWidth="1"/>
    <col min="12" max="12" width="19.33203125" customWidth="1"/>
    <col min="13" max="13" width="13.5" customWidth="1"/>
    <col min="14" max="14" width="14" customWidth="1"/>
  </cols>
  <sheetData>
    <row r="1" spans="1:15" ht="18" x14ac:dyDescent="0.2">
      <c r="A1" s="1" t="s">
        <v>298</v>
      </c>
      <c r="B1" s="1" t="s">
        <v>341</v>
      </c>
      <c r="C1" s="1" t="s">
        <v>299</v>
      </c>
      <c r="D1" s="1" t="s">
        <v>300</v>
      </c>
      <c r="E1" s="1" t="s">
        <v>301</v>
      </c>
      <c r="F1" s="1" t="s">
        <v>302</v>
      </c>
      <c r="G1" s="1" t="s">
        <v>303</v>
      </c>
      <c r="H1" s="1" t="s">
        <v>304</v>
      </c>
      <c r="I1" s="1" t="s">
        <v>305</v>
      </c>
      <c r="J1" s="1" t="s">
        <v>306</v>
      </c>
      <c r="K1" s="1" t="s">
        <v>307</v>
      </c>
      <c r="L1" s="1" t="s">
        <v>308</v>
      </c>
      <c r="M1" s="1" t="s">
        <v>310</v>
      </c>
      <c r="N1" s="1" t="s">
        <v>309</v>
      </c>
      <c r="O1" s="1" t="s">
        <v>0</v>
      </c>
    </row>
    <row r="2" spans="1:15" ht="15.75" customHeight="1" x14ac:dyDescent="0.2">
      <c r="A2" s="4">
        <v>45792</v>
      </c>
      <c r="B2" s="19">
        <v>25135</v>
      </c>
      <c r="C2" s="5" t="s">
        <v>1</v>
      </c>
      <c r="D2" s="5">
        <v>1</v>
      </c>
      <c r="E2" s="5" t="s">
        <v>2</v>
      </c>
      <c r="F2" s="5">
        <v>1</v>
      </c>
      <c r="G2" s="6"/>
      <c r="H2" s="5" t="s">
        <v>3</v>
      </c>
      <c r="I2" s="5">
        <v>1</v>
      </c>
      <c r="J2" s="5">
        <v>38.700000000000003</v>
      </c>
      <c r="K2" s="5">
        <v>9.3000000000000007</v>
      </c>
      <c r="L2" s="5">
        <v>5.15</v>
      </c>
      <c r="M2" s="5" t="s">
        <v>4</v>
      </c>
      <c r="N2" s="5" t="s">
        <v>4</v>
      </c>
    </row>
    <row r="3" spans="1:15" ht="15.75" customHeight="1" x14ac:dyDescent="0.2">
      <c r="A3" s="4">
        <v>45792</v>
      </c>
      <c r="B3" s="19">
        <v>25135</v>
      </c>
      <c r="C3" s="5" t="s">
        <v>1</v>
      </c>
      <c r="D3" s="5">
        <v>2</v>
      </c>
      <c r="E3" s="5" t="s">
        <v>2</v>
      </c>
      <c r="F3" s="5">
        <v>1</v>
      </c>
      <c r="G3" s="6"/>
      <c r="H3" s="5" t="s">
        <v>5</v>
      </c>
      <c r="I3" s="5">
        <v>1</v>
      </c>
      <c r="J3" s="5">
        <v>35.9</v>
      </c>
      <c r="K3" s="5">
        <v>8.35</v>
      </c>
      <c r="L3" s="5">
        <v>5.5</v>
      </c>
      <c r="M3" s="5" t="s">
        <v>4</v>
      </c>
      <c r="N3" s="5" t="s">
        <v>4</v>
      </c>
      <c r="O3" s="6"/>
    </row>
    <row r="4" spans="1:15" ht="15.75" customHeight="1" x14ac:dyDescent="0.2">
      <c r="A4" s="4">
        <v>45792</v>
      </c>
      <c r="B4" s="19">
        <v>25135</v>
      </c>
      <c r="C4" s="5" t="s">
        <v>1</v>
      </c>
      <c r="D4" s="5">
        <v>3</v>
      </c>
      <c r="E4" s="5" t="s">
        <v>2</v>
      </c>
      <c r="F4" s="5">
        <v>1</v>
      </c>
      <c r="G4" s="6"/>
      <c r="H4" s="5" t="s">
        <v>6</v>
      </c>
      <c r="I4" s="5">
        <v>0.25</v>
      </c>
      <c r="J4" s="5">
        <v>22.7</v>
      </c>
      <c r="K4" s="5">
        <v>6.2</v>
      </c>
      <c r="L4" s="5">
        <v>3.5</v>
      </c>
      <c r="M4" s="5" t="s">
        <v>4</v>
      </c>
      <c r="N4" s="5" t="s">
        <v>4</v>
      </c>
      <c r="O4" s="6"/>
    </row>
    <row r="5" spans="1:15" ht="15.75" customHeight="1" x14ac:dyDescent="0.2">
      <c r="A5" s="4">
        <v>45792</v>
      </c>
      <c r="B5" s="19">
        <v>25135</v>
      </c>
      <c r="C5" s="5" t="s">
        <v>1</v>
      </c>
      <c r="D5" s="5">
        <v>4</v>
      </c>
      <c r="E5" s="5" t="s">
        <v>2</v>
      </c>
      <c r="F5" s="5">
        <v>1</v>
      </c>
      <c r="G5" s="6"/>
      <c r="H5" s="5" t="s">
        <v>6</v>
      </c>
      <c r="I5" s="5">
        <v>1</v>
      </c>
      <c r="J5" s="5">
        <v>39.9</v>
      </c>
      <c r="K5" s="5">
        <v>9</v>
      </c>
      <c r="L5" s="5">
        <v>5.3</v>
      </c>
      <c r="M5" s="5" t="s">
        <v>4</v>
      </c>
      <c r="N5" s="5" t="s">
        <v>4</v>
      </c>
      <c r="O5" s="5" t="s">
        <v>7</v>
      </c>
    </row>
    <row r="6" spans="1:15" ht="15.75" customHeight="1" x14ac:dyDescent="0.2">
      <c r="A6" s="4">
        <v>45792</v>
      </c>
      <c r="B6" s="19">
        <v>25135</v>
      </c>
      <c r="C6" s="5" t="s">
        <v>1</v>
      </c>
      <c r="D6" s="5">
        <v>5</v>
      </c>
      <c r="E6" s="5" t="s">
        <v>2</v>
      </c>
      <c r="F6" s="5">
        <v>1</v>
      </c>
      <c r="G6" s="6"/>
      <c r="H6" s="5" t="s">
        <v>3</v>
      </c>
      <c r="I6" s="5">
        <v>1.35</v>
      </c>
      <c r="J6" s="5">
        <v>45.85</v>
      </c>
      <c r="K6" s="5">
        <v>10.55</v>
      </c>
      <c r="L6" s="5">
        <v>5.9</v>
      </c>
      <c r="M6" s="5" t="s">
        <v>4</v>
      </c>
      <c r="N6" s="5" t="s">
        <v>4</v>
      </c>
      <c r="O6" s="6"/>
    </row>
    <row r="7" spans="1:15" ht="15.75" customHeight="1" x14ac:dyDescent="0.2">
      <c r="A7" s="4">
        <v>45792</v>
      </c>
      <c r="B7" s="19">
        <v>25135</v>
      </c>
      <c r="C7" s="5" t="s">
        <v>1</v>
      </c>
      <c r="D7" s="5">
        <v>6</v>
      </c>
      <c r="E7" s="5" t="s">
        <v>2</v>
      </c>
      <c r="F7" s="5">
        <v>1</v>
      </c>
      <c r="G7" s="6"/>
      <c r="H7" s="5" t="s">
        <v>3</v>
      </c>
      <c r="I7" s="5">
        <v>1.05</v>
      </c>
      <c r="J7" s="5">
        <v>37.299999999999997</v>
      </c>
      <c r="K7" s="5">
        <v>10.199999999999999</v>
      </c>
      <c r="L7" s="5" t="s">
        <v>8</v>
      </c>
      <c r="M7" s="5" t="s">
        <v>4</v>
      </c>
      <c r="N7" s="5" t="s">
        <v>9</v>
      </c>
      <c r="O7" s="5" t="s">
        <v>10</v>
      </c>
    </row>
    <row r="8" spans="1:15" ht="15.75" customHeight="1" x14ac:dyDescent="0.2">
      <c r="A8" s="4">
        <v>45792</v>
      </c>
      <c r="B8" s="19">
        <v>25135</v>
      </c>
      <c r="C8" s="5" t="s">
        <v>1</v>
      </c>
      <c r="D8" s="5">
        <v>7</v>
      </c>
      <c r="E8" s="5" t="s">
        <v>2</v>
      </c>
      <c r="F8" s="5">
        <v>1</v>
      </c>
      <c r="G8" s="6"/>
      <c r="H8" s="5" t="s">
        <v>3</v>
      </c>
      <c r="I8" s="5">
        <v>0.75</v>
      </c>
      <c r="J8" s="5">
        <v>38</v>
      </c>
      <c r="K8" s="5">
        <v>9.5</v>
      </c>
      <c r="L8" s="5">
        <v>5.5</v>
      </c>
      <c r="M8" s="5" t="s">
        <v>4</v>
      </c>
      <c r="N8" s="5" t="s">
        <v>4</v>
      </c>
      <c r="O8" s="5" t="s">
        <v>11</v>
      </c>
    </row>
    <row r="9" spans="1:15" ht="15.75" customHeight="1" x14ac:dyDescent="0.2">
      <c r="A9" s="4">
        <v>45792</v>
      </c>
      <c r="B9" s="19">
        <v>25135</v>
      </c>
      <c r="C9" s="5" t="s">
        <v>1</v>
      </c>
      <c r="D9" s="5">
        <v>8</v>
      </c>
      <c r="E9" s="5" t="s">
        <v>2</v>
      </c>
      <c r="F9" s="5">
        <v>1</v>
      </c>
      <c r="G9" s="6"/>
      <c r="H9" s="5" t="s">
        <v>3</v>
      </c>
      <c r="I9" s="5">
        <v>0.7</v>
      </c>
      <c r="J9" s="5">
        <v>34.5</v>
      </c>
      <c r="K9" s="5">
        <v>8.5</v>
      </c>
      <c r="L9" s="5">
        <v>4.8</v>
      </c>
      <c r="M9" s="5" t="s">
        <v>4</v>
      </c>
      <c r="N9" s="5" t="s">
        <v>4</v>
      </c>
      <c r="O9" s="6"/>
    </row>
    <row r="10" spans="1:15" ht="15.75" customHeight="1" x14ac:dyDescent="0.2">
      <c r="A10" s="4">
        <v>45792</v>
      </c>
      <c r="B10" s="19">
        <v>25135</v>
      </c>
      <c r="C10" s="5" t="s">
        <v>1</v>
      </c>
      <c r="D10" s="5">
        <v>9</v>
      </c>
      <c r="E10" s="5" t="s">
        <v>12</v>
      </c>
      <c r="F10" s="5">
        <v>2</v>
      </c>
      <c r="G10" s="6"/>
      <c r="H10" s="5" t="s">
        <v>5</v>
      </c>
      <c r="I10" s="5">
        <v>1.4</v>
      </c>
      <c r="J10" s="5">
        <v>41.5</v>
      </c>
      <c r="K10" s="5">
        <v>10.5</v>
      </c>
      <c r="L10" s="5">
        <v>5.7</v>
      </c>
      <c r="M10" s="5" t="s">
        <v>4</v>
      </c>
      <c r="N10" s="5" t="s">
        <v>4</v>
      </c>
      <c r="O10" s="6"/>
    </row>
    <row r="11" spans="1:15" ht="15.75" customHeight="1" x14ac:dyDescent="0.2">
      <c r="A11" s="4">
        <v>45792</v>
      </c>
      <c r="B11" s="19">
        <v>25135</v>
      </c>
      <c r="C11" s="5" t="s">
        <v>1</v>
      </c>
      <c r="D11" s="5">
        <v>10</v>
      </c>
      <c r="E11" s="5" t="s">
        <v>2</v>
      </c>
      <c r="F11" s="5">
        <v>2</v>
      </c>
      <c r="G11" s="6"/>
      <c r="H11" s="5" t="s">
        <v>3</v>
      </c>
      <c r="I11" s="5">
        <v>1.2</v>
      </c>
      <c r="J11" s="5">
        <v>42.5</v>
      </c>
      <c r="K11" s="5">
        <v>10</v>
      </c>
      <c r="L11" s="5">
        <v>4.75</v>
      </c>
      <c r="M11" s="5" t="s">
        <v>4</v>
      </c>
      <c r="N11" s="5" t="s">
        <v>4</v>
      </c>
      <c r="O11" s="6"/>
    </row>
    <row r="12" spans="1:15" ht="15.75" customHeight="1" x14ac:dyDescent="0.2">
      <c r="A12" s="4">
        <v>45792</v>
      </c>
      <c r="B12" s="19">
        <v>25135</v>
      </c>
      <c r="C12" s="5" t="s">
        <v>1</v>
      </c>
      <c r="D12" s="5">
        <v>11</v>
      </c>
      <c r="E12" s="5" t="s">
        <v>2</v>
      </c>
      <c r="F12" s="5">
        <v>2</v>
      </c>
      <c r="G12" s="6"/>
      <c r="H12" s="5" t="s">
        <v>5</v>
      </c>
      <c r="I12" s="5">
        <v>1.2</v>
      </c>
      <c r="J12" s="5">
        <v>42.3</v>
      </c>
      <c r="K12" s="5">
        <v>10.199999999999999</v>
      </c>
      <c r="L12" s="5">
        <v>5.3</v>
      </c>
      <c r="M12" s="5" t="s">
        <v>4</v>
      </c>
      <c r="N12" s="5" t="s">
        <v>4</v>
      </c>
      <c r="O12" s="6"/>
    </row>
    <row r="13" spans="1:15" ht="15.75" customHeight="1" x14ac:dyDescent="0.2">
      <c r="A13" s="4">
        <v>45792</v>
      </c>
      <c r="B13" s="19">
        <v>25135</v>
      </c>
      <c r="C13" s="5" t="s">
        <v>1</v>
      </c>
      <c r="D13" s="5">
        <v>12</v>
      </c>
      <c r="E13" s="5" t="s">
        <v>2</v>
      </c>
      <c r="F13" s="5">
        <v>2</v>
      </c>
      <c r="G13" s="6"/>
      <c r="H13" s="5" t="s">
        <v>5</v>
      </c>
      <c r="I13" s="5">
        <v>1.5</v>
      </c>
      <c r="J13" s="5">
        <v>45</v>
      </c>
      <c r="K13" s="5">
        <v>10.4</v>
      </c>
      <c r="L13" s="5">
        <v>5.4</v>
      </c>
      <c r="M13" s="5" t="s">
        <v>4</v>
      </c>
      <c r="N13" s="5" t="s">
        <v>4</v>
      </c>
      <c r="O13" s="6"/>
    </row>
    <row r="14" spans="1:15" ht="15.75" customHeight="1" x14ac:dyDescent="0.2">
      <c r="A14" s="4">
        <v>45792</v>
      </c>
      <c r="B14" s="19">
        <v>25135</v>
      </c>
      <c r="C14" s="5" t="s">
        <v>1</v>
      </c>
      <c r="D14" s="5">
        <v>13</v>
      </c>
      <c r="E14" s="5" t="s">
        <v>2</v>
      </c>
      <c r="F14" s="5">
        <v>3</v>
      </c>
      <c r="G14" s="6"/>
      <c r="H14" s="5" t="s">
        <v>5</v>
      </c>
      <c r="I14" s="5">
        <v>0.7</v>
      </c>
      <c r="J14" s="5">
        <v>33.799999999999997</v>
      </c>
      <c r="K14" s="5">
        <v>8.5</v>
      </c>
      <c r="L14" s="5">
        <v>4.8499999999999996</v>
      </c>
      <c r="M14" s="5" t="s">
        <v>4</v>
      </c>
      <c r="N14" s="5" t="s">
        <v>4</v>
      </c>
      <c r="O14" s="6"/>
    </row>
    <row r="15" spans="1:15" ht="15.75" customHeight="1" x14ac:dyDescent="0.2">
      <c r="A15" s="4">
        <v>45792</v>
      </c>
      <c r="B15" s="19">
        <v>25135</v>
      </c>
      <c r="C15" s="5" t="s">
        <v>1</v>
      </c>
      <c r="D15" s="5">
        <v>14</v>
      </c>
      <c r="E15" s="5" t="s">
        <v>2</v>
      </c>
      <c r="F15" s="5">
        <v>3</v>
      </c>
      <c r="G15" s="6"/>
      <c r="H15" s="5" t="s">
        <v>5</v>
      </c>
      <c r="I15" s="5">
        <v>0.95</v>
      </c>
      <c r="J15" s="5">
        <v>39</v>
      </c>
      <c r="K15" s="5">
        <v>9</v>
      </c>
      <c r="L15" s="5">
        <v>5.0999999999999996</v>
      </c>
      <c r="M15" s="5" t="s">
        <v>4</v>
      </c>
      <c r="N15" s="5" t="s">
        <v>4</v>
      </c>
      <c r="O15" s="6"/>
    </row>
    <row r="16" spans="1:15" ht="15.75" customHeight="1" x14ac:dyDescent="0.2">
      <c r="A16" s="4">
        <v>45793</v>
      </c>
      <c r="B16" s="19">
        <v>25136</v>
      </c>
      <c r="C16" s="5" t="s">
        <v>13</v>
      </c>
      <c r="D16" s="5">
        <v>1</v>
      </c>
      <c r="E16" s="5" t="s">
        <v>2</v>
      </c>
      <c r="F16" s="5">
        <v>1</v>
      </c>
      <c r="G16" s="6"/>
      <c r="H16" s="5" t="s">
        <v>5</v>
      </c>
      <c r="I16" s="5">
        <v>1.45</v>
      </c>
      <c r="J16" s="5">
        <v>43.5</v>
      </c>
      <c r="K16" s="5">
        <v>10.75</v>
      </c>
      <c r="L16" s="5">
        <v>5.4</v>
      </c>
      <c r="M16" s="5" t="s">
        <v>4</v>
      </c>
      <c r="N16" s="5" t="s">
        <v>4</v>
      </c>
      <c r="O16" s="6"/>
    </row>
    <row r="17" spans="1:15" ht="15.75" customHeight="1" x14ac:dyDescent="0.2">
      <c r="A17" s="4">
        <v>45793</v>
      </c>
      <c r="B17" s="19">
        <v>25136</v>
      </c>
      <c r="C17" s="5" t="s">
        <v>13</v>
      </c>
      <c r="D17" s="5">
        <v>2</v>
      </c>
      <c r="E17" s="5" t="s">
        <v>2</v>
      </c>
      <c r="F17" s="5">
        <v>3</v>
      </c>
      <c r="G17" s="6"/>
      <c r="H17" s="5" t="s">
        <v>5</v>
      </c>
      <c r="I17" s="5">
        <v>0.9</v>
      </c>
      <c r="J17" s="5">
        <v>35.700000000000003</v>
      </c>
      <c r="K17" s="5">
        <v>8.1</v>
      </c>
      <c r="L17" s="5">
        <v>4.9000000000000004</v>
      </c>
      <c r="M17" s="5" t="s">
        <v>4</v>
      </c>
      <c r="N17" s="5" t="s">
        <v>4</v>
      </c>
      <c r="O17" s="6"/>
    </row>
    <row r="18" spans="1:15" ht="15.75" customHeight="1" x14ac:dyDescent="0.2">
      <c r="A18" s="4">
        <v>45796</v>
      </c>
      <c r="B18" s="19">
        <v>25139</v>
      </c>
      <c r="C18" s="5" t="s">
        <v>40</v>
      </c>
      <c r="D18" s="5">
        <v>1</v>
      </c>
      <c r="E18" s="5" t="s">
        <v>2</v>
      </c>
      <c r="F18" s="5">
        <v>1</v>
      </c>
      <c r="G18" s="6"/>
      <c r="H18" s="5" t="s">
        <v>5</v>
      </c>
      <c r="I18" s="5">
        <v>1.35</v>
      </c>
      <c r="J18" s="5">
        <v>42.25</v>
      </c>
      <c r="K18" s="5">
        <v>9.5</v>
      </c>
      <c r="L18" s="5">
        <v>5.65</v>
      </c>
      <c r="M18" s="5" t="s">
        <v>4</v>
      </c>
      <c r="N18" s="5" t="s">
        <v>4</v>
      </c>
      <c r="O18" s="6"/>
    </row>
    <row r="19" spans="1:15" ht="15.75" customHeight="1" x14ac:dyDescent="0.2">
      <c r="A19" s="4">
        <v>45796</v>
      </c>
      <c r="B19" s="19">
        <v>25139</v>
      </c>
      <c r="C19" s="5" t="s">
        <v>40</v>
      </c>
      <c r="D19" s="5">
        <v>2</v>
      </c>
      <c r="E19" s="5" t="s">
        <v>2</v>
      </c>
      <c r="F19" s="5">
        <v>1</v>
      </c>
      <c r="G19" s="6"/>
      <c r="H19" s="5" t="s">
        <v>5</v>
      </c>
      <c r="I19" s="5">
        <v>0.95</v>
      </c>
      <c r="J19" s="5">
        <v>41</v>
      </c>
      <c r="K19" s="5">
        <v>10</v>
      </c>
      <c r="L19" s="5">
        <v>5.85</v>
      </c>
      <c r="M19" s="5" t="s">
        <v>4</v>
      </c>
      <c r="N19" s="5" t="s">
        <v>4</v>
      </c>
      <c r="O19" s="6"/>
    </row>
    <row r="20" spans="1:15" ht="15.75" customHeight="1" x14ac:dyDescent="0.2">
      <c r="A20" s="4">
        <v>45796</v>
      </c>
      <c r="B20" s="19">
        <v>25139</v>
      </c>
      <c r="C20" s="5" t="s">
        <v>40</v>
      </c>
      <c r="D20" s="5">
        <v>3</v>
      </c>
      <c r="E20" s="5" t="s">
        <v>2</v>
      </c>
      <c r="F20" s="5">
        <v>1</v>
      </c>
      <c r="G20" s="5" t="s">
        <v>14</v>
      </c>
      <c r="H20" s="5" t="s">
        <v>5</v>
      </c>
      <c r="I20" s="5">
        <v>0.9</v>
      </c>
      <c r="J20" s="5">
        <v>37.9</v>
      </c>
      <c r="K20" s="5">
        <v>9.1999999999999993</v>
      </c>
      <c r="L20" s="5">
        <v>5.35</v>
      </c>
      <c r="M20" s="5" t="s">
        <v>4</v>
      </c>
      <c r="N20" s="5" t="s">
        <v>4</v>
      </c>
      <c r="O20" s="6"/>
    </row>
    <row r="21" spans="1:15" ht="15.75" customHeight="1" x14ac:dyDescent="0.2">
      <c r="A21" s="4">
        <v>45796</v>
      </c>
      <c r="B21" s="19">
        <v>25139</v>
      </c>
      <c r="C21" s="5" t="s">
        <v>40</v>
      </c>
      <c r="D21" s="25">
        <v>4</v>
      </c>
      <c r="E21" s="5" t="s">
        <v>2</v>
      </c>
      <c r="F21" s="5">
        <v>2</v>
      </c>
      <c r="G21" s="5" t="s">
        <v>15</v>
      </c>
      <c r="H21" s="5" t="s">
        <v>3</v>
      </c>
      <c r="I21" s="5">
        <v>1.1499999999999999</v>
      </c>
      <c r="J21" s="5">
        <v>42.1</v>
      </c>
      <c r="K21" s="5">
        <v>8.9</v>
      </c>
      <c r="L21" s="5">
        <v>5.2</v>
      </c>
      <c r="M21" s="5" t="s">
        <v>4</v>
      </c>
      <c r="N21" s="5" t="s">
        <v>4</v>
      </c>
      <c r="O21" s="6"/>
    </row>
    <row r="22" spans="1:15" ht="15.75" customHeight="1" x14ac:dyDescent="0.2">
      <c r="A22" s="4">
        <v>45796</v>
      </c>
      <c r="B22" s="19">
        <v>25139</v>
      </c>
      <c r="C22" s="5" t="s">
        <v>40</v>
      </c>
      <c r="D22" s="5">
        <v>5</v>
      </c>
      <c r="E22" s="5" t="s">
        <v>2</v>
      </c>
      <c r="F22" s="5">
        <v>2</v>
      </c>
      <c r="G22" s="5" t="s">
        <v>15</v>
      </c>
      <c r="H22" s="5" t="s">
        <v>3</v>
      </c>
      <c r="I22" s="5">
        <v>0.75</v>
      </c>
      <c r="J22" s="5">
        <v>33.049999999999997</v>
      </c>
      <c r="K22" s="5">
        <v>8.6999999999999993</v>
      </c>
      <c r="L22" s="5">
        <v>5</v>
      </c>
      <c r="M22" s="5" t="s">
        <v>4</v>
      </c>
      <c r="N22" s="5" t="s">
        <v>4</v>
      </c>
      <c r="O22" s="6"/>
    </row>
    <row r="23" spans="1:15" ht="15.75" customHeight="1" x14ac:dyDescent="0.2">
      <c r="A23" s="4">
        <v>45796</v>
      </c>
      <c r="B23" s="19">
        <v>25139</v>
      </c>
      <c r="C23" s="5" t="s">
        <v>40</v>
      </c>
      <c r="D23" s="25">
        <v>6</v>
      </c>
      <c r="E23" s="5" t="s">
        <v>2</v>
      </c>
      <c r="F23" s="5">
        <v>2</v>
      </c>
      <c r="G23" s="5" t="s">
        <v>16</v>
      </c>
      <c r="H23" s="5" t="s">
        <v>5</v>
      </c>
      <c r="I23" s="5">
        <v>1.1000000000000001</v>
      </c>
      <c r="J23" s="5">
        <v>40</v>
      </c>
      <c r="K23" s="5">
        <v>10.75</v>
      </c>
      <c r="L23" s="5">
        <v>5.7</v>
      </c>
      <c r="M23" s="5" t="s">
        <v>4</v>
      </c>
      <c r="N23" s="5" t="s">
        <v>4</v>
      </c>
      <c r="O23" s="5" t="s">
        <v>17</v>
      </c>
    </row>
    <row r="24" spans="1:15" ht="15.75" customHeight="1" x14ac:dyDescent="0.2">
      <c r="A24" s="4">
        <v>45796</v>
      </c>
      <c r="B24" s="19">
        <v>25139</v>
      </c>
      <c r="C24" s="5" t="s">
        <v>40</v>
      </c>
      <c r="D24" s="26">
        <v>7</v>
      </c>
      <c r="E24" s="5" t="s">
        <v>2</v>
      </c>
      <c r="F24" s="5">
        <v>2</v>
      </c>
      <c r="G24" s="5" t="s">
        <v>16</v>
      </c>
      <c r="H24" s="5" t="s">
        <v>3</v>
      </c>
      <c r="I24" s="5">
        <v>1.35</v>
      </c>
      <c r="J24" s="5">
        <v>42.3</v>
      </c>
      <c r="K24" s="5">
        <v>9.3000000000000007</v>
      </c>
      <c r="L24" s="5">
        <v>5.4</v>
      </c>
      <c r="M24" s="5" t="s">
        <v>4</v>
      </c>
      <c r="N24" s="5" t="s">
        <v>4</v>
      </c>
      <c r="O24" s="5" t="s">
        <v>18</v>
      </c>
    </row>
    <row r="25" spans="1:15" ht="15.75" customHeight="1" x14ac:dyDescent="0.2">
      <c r="A25" s="4">
        <v>45796</v>
      </c>
      <c r="B25" s="19">
        <v>25139</v>
      </c>
      <c r="C25" s="5" t="s">
        <v>40</v>
      </c>
      <c r="D25" s="5">
        <v>8</v>
      </c>
      <c r="E25" s="5" t="s">
        <v>2</v>
      </c>
      <c r="F25" s="5">
        <v>2</v>
      </c>
      <c r="G25" s="5" t="s">
        <v>16</v>
      </c>
      <c r="H25" s="5" t="s">
        <v>5</v>
      </c>
      <c r="I25" s="5">
        <v>1.2</v>
      </c>
      <c r="J25" s="5">
        <v>42.85</v>
      </c>
      <c r="K25" s="5">
        <v>9.75</v>
      </c>
      <c r="L25" s="5">
        <v>5.05</v>
      </c>
      <c r="M25" s="5" t="s">
        <v>4</v>
      </c>
      <c r="N25" s="5" t="s">
        <v>4</v>
      </c>
      <c r="O25" s="6"/>
    </row>
    <row r="26" spans="1:15" ht="15.75" customHeight="1" x14ac:dyDescent="0.2">
      <c r="A26" s="4">
        <v>45797</v>
      </c>
      <c r="B26" s="19">
        <v>25140</v>
      </c>
      <c r="C26" s="5" t="s">
        <v>42</v>
      </c>
      <c r="D26" s="5">
        <v>1</v>
      </c>
      <c r="E26" s="5" t="s">
        <v>2</v>
      </c>
      <c r="F26" s="5">
        <v>1</v>
      </c>
      <c r="G26" s="5" t="s">
        <v>15</v>
      </c>
      <c r="H26" s="5" t="s">
        <v>6</v>
      </c>
      <c r="I26" s="5">
        <v>0.55000000000000004</v>
      </c>
      <c r="J26" s="5">
        <v>36.700000000000003</v>
      </c>
      <c r="K26" s="5">
        <v>9</v>
      </c>
      <c r="L26" s="5">
        <v>5.0999999999999996</v>
      </c>
      <c r="M26" s="5" t="s">
        <v>4</v>
      </c>
      <c r="N26" s="5" t="s">
        <v>4</v>
      </c>
      <c r="O26" s="6"/>
    </row>
    <row r="27" spans="1:15" ht="15.75" customHeight="1" x14ac:dyDescent="0.2">
      <c r="A27" s="4">
        <v>45797</v>
      </c>
      <c r="B27" s="19">
        <v>25140</v>
      </c>
      <c r="C27" s="5" t="s">
        <v>42</v>
      </c>
      <c r="D27" s="26">
        <v>2</v>
      </c>
      <c r="E27" s="5" t="s">
        <v>2</v>
      </c>
      <c r="F27" s="5">
        <v>1</v>
      </c>
      <c r="G27" s="5" t="s">
        <v>14</v>
      </c>
      <c r="H27" s="5" t="s">
        <v>6</v>
      </c>
      <c r="I27" s="5">
        <v>0.6</v>
      </c>
      <c r="J27" s="5">
        <v>36.700000000000003</v>
      </c>
      <c r="K27" s="5">
        <v>9.0500000000000007</v>
      </c>
      <c r="L27" s="5">
        <v>4.9000000000000004</v>
      </c>
      <c r="M27" s="5" t="s">
        <v>4</v>
      </c>
      <c r="N27" s="5" t="s">
        <v>4</v>
      </c>
      <c r="O27" s="5" t="s">
        <v>19</v>
      </c>
    </row>
    <row r="28" spans="1:15" ht="15.75" customHeight="1" x14ac:dyDescent="0.2">
      <c r="A28" s="4">
        <v>45797</v>
      </c>
      <c r="B28" s="19">
        <v>25140</v>
      </c>
      <c r="C28" s="5" t="s">
        <v>42</v>
      </c>
      <c r="D28" s="25">
        <v>3</v>
      </c>
      <c r="E28" s="5" t="s">
        <v>2</v>
      </c>
      <c r="F28" s="5">
        <v>1</v>
      </c>
      <c r="G28" s="5" t="s">
        <v>14</v>
      </c>
      <c r="H28" s="5" t="s">
        <v>6</v>
      </c>
      <c r="I28" s="5">
        <v>0.7</v>
      </c>
      <c r="J28" s="5">
        <v>38.200000000000003</v>
      </c>
      <c r="K28" s="5">
        <v>9.8000000000000007</v>
      </c>
      <c r="L28" s="5">
        <v>5.45</v>
      </c>
      <c r="M28" s="5" t="s">
        <v>4</v>
      </c>
      <c r="N28" s="5" t="s">
        <v>4</v>
      </c>
      <c r="O28" s="6"/>
    </row>
    <row r="29" spans="1:15" ht="15.75" customHeight="1" x14ac:dyDescent="0.2">
      <c r="A29" s="4">
        <v>45797</v>
      </c>
      <c r="B29" s="19">
        <v>25140</v>
      </c>
      <c r="C29" s="5" t="s">
        <v>42</v>
      </c>
      <c r="D29" s="5">
        <v>4</v>
      </c>
      <c r="E29" s="5" t="s">
        <v>2</v>
      </c>
      <c r="F29" s="5">
        <v>2</v>
      </c>
      <c r="G29" s="5" t="s">
        <v>14</v>
      </c>
      <c r="H29" s="5" t="s">
        <v>3</v>
      </c>
      <c r="I29" s="5" t="s">
        <v>8</v>
      </c>
      <c r="J29" s="5" t="s">
        <v>8</v>
      </c>
      <c r="K29" s="5" t="s">
        <v>8</v>
      </c>
      <c r="L29" s="5" t="s">
        <v>8</v>
      </c>
      <c r="M29" s="5" t="s">
        <v>8</v>
      </c>
      <c r="N29" s="5" t="s">
        <v>8</v>
      </c>
      <c r="O29" s="5" t="s">
        <v>348</v>
      </c>
    </row>
    <row r="30" spans="1:15" ht="15.75" customHeight="1" x14ac:dyDescent="0.2">
      <c r="A30" s="4">
        <v>45797</v>
      </c>
      <c r="B30" s="19">
        <v>25140</v>
      </c>
      <c r="C30" s="5" t="s">
        <v>42</v>
      </c>
      <c r="D30" s="5">
        <v>5</v>
      </c>
      <c r="E30" s="5" t="s">
        <v>2</v>
      </c>
      <c r="F30" s="5">
        <v>2</v>
      </c>
      <c r="G30" s="5" t="s">
        <v>15</v>
      </c>
      <c r="H30" s="5" t="s">
        <v>6</v>
      </c>
      <c r="I30" s="5">
        <v>0.15</v>
      </c>
      <c r="J30" s="5">
        <v>19.600000000000001</v>
      </c>
      <c r="K30" s="5">
        <v>9.65</v>
      </c>
      <c r="L30" s="5">
        <v>5.35</v>
      </c>
      <c r="M30" s="5"/>
      <c r="N30" s="5" t="s">
        <v>9</v>
      </c>
      <c r="O30" s="5" t="s">
        <v>349</v>
      </c>
    </row>
    <row r="31" spans="1:15" ht="15.75" customHeight="1" x14ac:dyDescent="0.2">
      <c r="A31" s="4">
        <v>45797</v>
      </c>
      <c r="B31" s="19">
        <v>25140</v>
      </c>
      <c r="C31" s="5" t="s">
        <v>42</v>
      </c>
      <c r="D31" s="25">
        <v>6</v>
      </c>
      <c r="E31" s="5" t="s">
        <v>2</v>
      </c>
      <c r="F31" s="5">
        <v>2</v>
      </c>
      <c r="G31" s="5" t="s">
        <v>15</v>
      </c>
      <c r="H31" s="5" t="s">
        <v>5</v>
      </c>
      <c r="I31" s="5">
        <v>0.85</v>
      </c>
      <c r="J31" s="5">
        <v>39.9</v>
      </c>
      <c r="K31" s="5">
        <v>9.9499999999999993</v>
      </c>
      <c r="L31" s="5">
        <v>5</v>
      </c>
      <c r="M31" s="5" t="s">
        <v>4</v>
      </c>
      <c r="N31" s="5" t="s">
        <v>4</v>
      </c>
      <c r="O31" s="6"/>
    </row>
    <row r="32" spans="1:15" ht="15.75" customHeight="1" x14ac:dyDescent="0.2">
      <c r="A32" s="4">
        <v>45797</v>
      </c>
      <c r="B32" s="19">
        <v>25140</v>
      </c>
      <c r="C32" s="5" t="s">
        <v>42</v>
      </c>
      <c r="D32" s="5">
        <v>7</v>
      </c>
      <c r="E32" s="5" t="s">
        <v>2</v>
      </c>
      <c r="F32" s="5">
        <v>2</v>
      </c>
      <c r="G32" s="5" t="s">
        <v>16</v>
      </c>
      <c r="H32" s="5" t="s">
        <v>5</v>
      </c>
      <c r="I32" s="5">
        <v>0.8</v>
      </c>
      <c r="J32" s="5">
        <v>38.1</v>
      </c>
      <c r="K32" s="5">
        <v>8.9</v>
      </c>
      <c r="L32" s="5">
        <v>5.45</v>
      </c>
      <c r="M32" s="5" t="s">
        <v>4</v>
      </c>
      <c r="N32" s="5" t="s">
        <v>4</v>
      </c>
      <c r="O32" s="6"/>
    </row>
    <row r="33" spans="1:15" ht="15.75" customHeight="1" x14ac:dyDescent="0.2">
      <c r="A33" s="4">
        <v>45797</v>
      </c>
      <c r="B33" s="19">
        <v>25140</v>
      </c>
      <c r="C33" s="5" t="s">
        <v>42</v>
      </c>
      <c r="D33" s="5">
        <v>8</v>
      </c>
      <c r="E33" s="5" t="s">
        <v>2</v>
      </c>
      <c r="F33" s="5">
        <v>3</v>
      </c>
      <c r="G33" s="5" t="s">
        <v>15</v>
      </c>
      <c r="H33" s="5" t="s">
        <v>3</v>
      </c>
      <c r="I33" s="5">
        <v>0.65</v>
      </c>
      <c r="J33" s="5">
        <v>33.4</v>
      </c>
      <c r="K33" s="5">
        <v>8</v>
      </c>
      <c r="L33" s="5">
        <v>4.4000000000000004</v>
      </c>
      <c r="M33" s="5" t="s">
        <v>4</v>
      </c>
      <c r="N33" s="5" t="s">
        <v>4</v>
      </c>
      <c r="O33" s="6"/>
    </row>
    <row r="34" spans="1:15" ht="15.75" customHeight="1" x14ac:dyDescent="0.2">
      <c r="A34" s="4">
        <v>45797</v>
      </c>
      <c r="B34" s="19">
        <v>25140</v>
      </c>
      <c r="C34" s="5" t="s">
        <v>42</v>
      </c>
      <c r="D34" s="5">
        <v>9</v>
      </c>
      <c r="E34" s="5" t="s">
        <v>12</v>
      </c>
      <c r="F34" s="5">
        <v>3</v>
      </c>
      <c r="G34" s="5" t="s">
        <v>15</v>
      </c>
      <c r="H34" s="5" t="s">
        <v>5</v>
      </c>
      <c r="I34" s="5">
        <v>0.95</v>
      </c>
      <c r="J34" s="5">
        <v>40.1</v>
      </c>
      <c r="K34" s="5">
        <v>10.050000000000001</v>
      </c>
      <c r="L34" s="5">
        <v>5.3</v>
      </c>
      <c r="M34" s="5" t="s">
        <v>4</v>
      </c>
      <c r="N34" s="5" t="s">
        <v>4</v>
      </c>
      <c r="O34" s="6"/>
    </row>
    <row r="35" spans="1:15" ht="15.75" customHeight="1" x14ac:dyDescent="0.2">
      <c r="A35" s="4">
        <v>45797</v>
      </c>
      <c r="B35" s="19">
        <v>25140</v>
      </c>
      <c r="C35" s="5" t="s">
        <v>42</v>
      </c>
      <c r="D35" s="5">
        <v>10</v>
      </c>
      <c r="E35" s="5" t="s">
        <v>2</v>
      </c>
      <c r="F35" s="5">
        <v>3</v>
      </c>
      <c r="G35" s="5" t="s">
        <v>16</v>
      </c>
      <c r="H35" s="5" t="s">
        <v>3</v>
      </c>
      <c r="I35" s="5">
        <v>0.5</v>
      </c>
      <c r="J35" s="5">
        <v>31</v>
      </c>
      <c r="K35" s="5">
        <v>8.35</v>
      </c>
      <c r="L35" s="5">
        <v>4.75</v>
      </c>
      <c r="M35" s="5" t="s">
        <v>4</v>
      </c>
      <c r="N35" s="5" t="s">
        <v>4</v>
      </c>
      <c r="O35" s="6"/>
    </row>
    <row r="36" spans="1:15" ht="15.75" customHeight="1" x14ac:dyDescent="0.2">
      <c r="A36" s="4">
        <v>45797</v>
      </c>
      <c r="B36" s="19">
        <v>25140</v>
      </c>
      <c r="C36" s="5" t="s">
        <v>42</v>
      </c>
      <c r="D36" s="26">
        <v>11</v>
      </c>
      <c r="E36" s="5" t="s">
        <v>2</v>
      </c>
      <c r="F36" s="5">
        <v>3</v>
      </c>
      <c r="G36" s="5" t="s">
        <v>16</v>
      </c>
      <c r="H36" s="5" t="s">
        <v>5</v>
      </c>
      <c r="I36" s="5">
        <v>0.7</v>
      </c>
      <c r="J36" s="5">
        <v>39.1</v>
      </c>
      <c r="K36" s="5">
        <v>9.3000000000000007</v>
      </c>
      <c r="L36" s="5">
        <v>5</v>
      </c>
      <c r="M36" s="5" t="s">
        <v>4</v>
      </c>
      <c r="N36" s="5" t="s">
        <v>4</v>
      </c>
      <c r="O36" s="6"/>
    </row>
    <row r="37" spans="1:15" ht="15.75" customHeight="1" x14ac:dyDescent="0.2">
      <c r="A37" s="4">
        <v>45797</v>
      </c>
      <c r="B37" s="19">
        <v>25140</v>
      </c>
      <c r="C37" s="5" t="s">
        <v>42</v>
      </c>
      <c r="D37" s="5">
        <v>12</v>
      </c>
      <c r="E37" s="5" t="s">
        <v>2</v>
      </c>
      <c r="F37" s="5">
        <v>3</v>
      </c>
      <c r="G37" s="5" t="s">
        <v>16</v>
      </c>
      <c r="H37" s="5" t="s">
        <v>5</v>
      </c>
      <c r="I37" s="5">
        <v>0.75</v>
      </c>
      <c r="J37" s="5">
        <v>38.4</v>
      </c>
      <c r="K37" s="5">
        <v>9.35</v>
      </c>
      <c r="L37" s="5">
        <v>5.0999999999999996</v>
      </c>
      <c r="M37" s="5" t="s">
        <v>4</v>
      </c>
      <c r="N37" s="5" t="s">
        <v>4</v>
      </c>
      <c r="O37" s="6"/>
    </row>
    <row r="38" spans="1:15" ht="15.75" customHeight="1" x14ac:dyDescent="0.2">
      <c r="A38" s="4">
        <v>45800</v>
      </c>
      <c r="B38" s="19">
        <v>25143</v>
      </c>
      <c r="C38" s="5" t="s">
        <v>20</v>
      </c>
      <c r="D38" s="5">
        <v>1</v>
      </c>
      <c r="E38" s="5" t="s">
        <v>2</v>
      </c>
      <c r="F38" s="5">
        <v>1</v>
      </c>
      <c r="G38" s="5">
        <v>5.8</v>
      </c>
      <c r="H38" s="5" t="s">
        <v>3</v>
      </c>
      <c r="I38" s="5">
        <v>1.5</v>
      </c>
      <c r="J38" s="5">
        <v>42.1</v>
      </c>
      <c r="K38" s="5">
        <v>8.65</v>
      </c>
      <c r="L38" s="5">
        <v>5.4</v>
      </c>
      <c r="M38" s="5" t="s">
        <v>4</v>
      </c>
      <c r="N38" s="5" t="s">
        <v>4</v>
      </c>
      <c r="O38" s="6"/>
    </row>
    <row r="39" spans="1:15" ht="15.75" customHeight="1" x14ac:dyDescent="0.2">
      <c r="A39" s="4">
        <v>45800</v>
      </c>
      <c r="B39" s="19">
        <v>25143</v>
      </c>
      <c r="C39" s="5" t="s">
        <v>20</v>
      </c>
      <c r="D39" s="5">
        <v>2</v>
      </c>
      <c r="E39" s="5" t="s">
        <v>2</v>
      </c>
      <c r="F39" s="5">
        <v>1</v>
      </c>
      <c r="G39" s="5">
        <v>29</v>
      </c>
      <c r="H39" s="5" t="s">
        <v>5</v>
      </c>
      <c r="I39" s="5">
        <v>0.85</v>
      </c>
      <c r="J39" s="5">
        <v>36.35</v>
      </c>
      <c r="K39" s="5">
        <v>9.4</v>
      </c>
      <c r="L39" s="5">
        <v>5.3</v>
      </c>
      <c r="M39" s="5" t="s">
        <v>4</v>
      </c>
      <c r="N39" s="5" t="s">
        <v>4</v>
      </c>
      <c r="O39" s="5" t="s">
        <v>21</v>
      </c>
    </row>
    <row r="40" spans="1:15" ht="15.75" customHeight="1" x14ac:dyDescent="0.2">
      <c r="A40" s="4">
        <v>45800</v>
      </c>
      <c r="B40" s="19">
        <v>25143</v>
      </c>
      <c r="C40" s="5" t="s">
        <v>20</v>
      </c>
      <c r="D40" s="5">
        <v>3</v>
      </c>
      <c r="E40" s="5" t="s">
        <v>2</v>
      </c>
      <c r="F40" s="5">
        <v>1</v>
      </c>
      <c r="G40" s="5">
        <v>25.7</v>
      </c>
      <c r="H40" s="5" t="s">
        <v>6</v>
      </c>
      <c r="I40" s="5" t="s">
        <v>8</v>
      </c>
      <c r="J40" s="5">
        <v>33.5</v>
      </c>
      <c r="K40" s="5">
        <v>6</v>
      </c>
      <c r="L40" s="5">
        <v>3.95</v>
      </c>
      <c r="M40" s="5" t="s">
        <v>4</v>
      </c>
      <c r="N40" s="6" t="s">
        <v>9</v>
      </c>
      <c r="O40" s="5" t="s">
        <v>22</v>
      </c>
    </row>
    <row r="41" spans="1:15" ht="15.75" customHeight="1" x14ac:dyDescent="0.2">
      <c r="A41" s="4">
        <v>45800</v>
      </c>
      <c r="B41" s="19">
        <v>25143</v>
      </c>
      <c r="C41" s="5" t="s">
        <v>20</v>
      </c>
      <c r="D41" s="5">
        <v>4</v>
      </c>
      <c r="E41" s="5" t="s">
        <v>2</v>
      </c>
      <c r="F41" s="5">
        <v>1</v>
      </c>
      <c r="G41" s="5">
        <v>25.7</v>
      </c>
      <c r="H41" s="5" t="s">
        <v>6</v>
      </c>
      <c r="I41" s="5" t="s">
        <v>8</v>
      </c>
      <c r="J41" s="5">
        <v>23.15</v>
      </c>
      <c r="K41" s="5">
        <v>6.2</v>
      </c>
      <c r="L41" s="5">
        <v>4</v>
      </c>
      <c r="M41" s="5" t="s">
        <v>4</v>
      </c>
      <c r="N41" s="6" t="s">
        <v>9</v>
      </c>
      <c r="O41" s="6"/>
    </row>
    <row r="42" spans="1:15" ht="15.75" customHeight="1" x14ac:dyDescent="0.2">
      <c r="A42" s="4">
        <v>45800</v>
      </c>
      <c r="B42" s="19">
        <v>25143</v>
      </c>
      <c r="C42" s="5" t="s">
        <v>20</v>
      </c>
      <c r="D42" s="5">
        <v>5</v>
      </c>
      <c r="E42" s="5" t="s">
        <v>2</v>
      </c>
      <c r="F42" s="5">
        <v>2</v>
      </c>
      <c r="G42" s="5">
        <v>6.5</v>
      </c>
      <c r="H42" s="5" t="s">
        <v>5</v>
      </c>
      <c r="I42" s="5" t="s">
        <v>8</v>
      </c>
      <c r="J42" s="5">
        <v>41.4</v>
      </c>
      <c r="K42" s="5">
        <v>10.1</v>
      </c>
      <c r="L42" s="5">
        <v>5.6</v>
      </c>
      <c r="M42" s="5" t="s">
        <v>4</v>
      </c>
      <c r="N42" s="5" t="s">
        <v>4</v>
      </c>
      <c r="O42" s="6"/>
    </row>
    <row r="43" spans="1:15" ht="15.75" customHeight="1" x14ac:dyDescent="0.2">
      <c r="A43" s="4">
        <v>45800</v>
      </c>
      <c r="B43" s="19">
        <v>25143</v>
      </c>
      <c r="C43" s="5" t="s">
        <v>20</v>
      </c>
      <c r="D43" s="5">
        <v>6</v>
      </c>
      <c r="E43" s="5" t="s">
        <v>2</v>
      </c>
      <c r="F43" s="5">
        <v>2</v>
      </c>
      <c r="G43" s="5">
        <v>6.5</v>
      </c>
      <c r="H43" s="5" t="s">
        <v>3</v>
      </c>
      <c r="I43" s="5" t="s">
        <v>8</v>
      </c>
      <c r="J43" s="5">
        <v>36.65</v>
      </c>
      <c r="K43" s="5">
        <v>7.85</v>
      </c>
      <c r="L43" s="5">
        <v>4.5</v>
      </c>
      <c r="M43" s="5" t="s">
        <v>4</v>
      </c>
      <c r="N43" s="6" t="s">
        <v>9</v>
      </c>
      <c r="O43" s="5" t="s">
        <v>19</v>
      </c>
    </row>
    <row r="44" spans="1:15" ht="15.75" customHeight="1" x14ac:dyDescent="0.2">
      <c r="A44" s="4">
        <v>45800</v>
      </c>
      <c r="B44" s="19">
        <v>25143</v>
      </c>
      <c r="C44" s="5" t="s">
        <v>20</v>
      </c>
      <c r="D44" s="26">
        <v>7</v>
      </c>
      <c r="E44" s="5" t="s">
        <v>2</v>
      </c>
      <c r="F44" s="5">
        <v>2</v>
      </c>
      <c r="G44" s="5">
        <v>23.5</v>
      </c>
      <c r="H44" s="5" t="s">
        <v>3</v>
      </c>
      <c r="I44" s="5" t="s">
        <v>8</v>
      </c>
      <c r="J44" s="5">
        <v>34</v>
      </c>
      <c r="K44" s="5">
        <v>8</v>
      </c>
      <c r="L44" s="5">
        <v>4.8</v>
      </c>
      <c r="M44" s="5" t="s">
        <v>4</v>
      </c>
      <c r="N44" s="6" t="s">
        <v>4</v>
      </c>
      <c r="O44" s="6"/>
    </row>
    <row r="45" spans="1:15" ht="15.75" customHeight="1" x14ac:dyDescent="0.2">
      <c r="A45" s="4">
        <v>45800</v>
      </c>
      <c r="B45" s="19">
        <v>25143</v>
      </c>
      <c r="C45" s="5" t="s">
        <v>20</v>
      </c>
      <c r="D45" s="5">
        <v>8</v>
      </c>
      <c r="E45" s="5" t="s">
        <v>2</v>
      </c>
      <c r="F45" s="5">
        <v>3</v>
      </c>
      <c r="G45" s="5">
        <v>21.5</v>
      </c>
      <c r="H45" s="5" t="s">
        <v>5</v>
      </c>
      <c r="I45" s="5" t="s">
        <v>8</v>
      </c>
      <c r="J45" s="5">
        <v>38</v>
      </c>
      <c r="K45" s="5">
        <v>9.1</v>
      </c>
      <c r="L45" s="5">
        <v>5.25</v>
      </c>
      <c r="M45" s="5" t="s">
        <v>4</v>
      </c>
      <c r="N45" s="6" t="s">
        <v>4</v>
      </c>
      <c r="O45" s="6"/>
    </row>
    <row r="46" spans="1:15" ht="15.75" customHeight="1" x14ac:dyDescent="0.2">
      <c r="A46" s="4">
        <v>45803</v>
      </c>
      <c r="B46" s="19">
        <v>25146</v>
      </c>
      <c r="C46" s="5" t="s">
        <v>23</v>
      </c>
      <c r="D46" s="25">
        <v>1</v>
      </c>
      <c r="E46" s="5" t="s">
        <v>2</v>
      </c>
      <c r="F46" s="5">
        <v>1</v>
      </c>
      <c r="G46" s="5">
        <v>2.1</v>
      </c>
      <c r="H46" s="5" t="s">
        <v>3</v>
      </c>
      <c r="I46" s="5">
        <v>1</v>
      </c>
      <c r="J46" s="5">
        <v>38.299999999999997</v>
      </c>
      <c r="K46" s="5">
        <v>8.9</v>
      </c>
      <c r="L46" s="5">
        <v>4.95</v>
      </c>
      <c r="M46" s="5" t="s">
        <v>4</v>
      </c>
      <c r="N46" s="5" t="s">
        <v>4</v>
      </c>
      <c r="O46" s="6"/>
    </row>
    <row r="47" spans="1:15" ht="15.75" customHeight="1" x14ac:dyDescent="0.2">
      <c r="A47" s="4">
        <v>45803</v>
      </c>
      <c r="B47" s="19">
        <v>25146</v>
      </c>
      <c r="C47" s="5" t="s">
        <v>23</v>
      </c>
      <c r="D47" s="5">
        <v>2</v>
      </c>
      <c r="E47" s="5" t="s">
        <v>2</v>
      </c>
      <c r="F47" s="5">
        <v>2</v>
      </c>
      <c r="G47" s="5">
        <v>18.5</v>
      </c>
      <c r="H47" s="5" t="s">
        <v>3</v>
      </c>
      <c r="I47" s="5">
        <v>0.4</v>
      </c>
      <c r="J47" s="5">
        <v>32</v>
      </c>
      <c r="K47" s="5">
        <v>8</v>
      </c>
      <c r="L47" s="5">
        <v>4.25</v>
      </c>
      <c r="M47" s="5" t="s">
        <v>4</v>
      </c>
      <c r="N47" s="5" t="s">
        <v>4</v>
      </c>
      <c r="O47" s="6"/>
    </row>
    <row r="48" spans="1:15" ht="15.75" customHeight="1" x14ac:dyDescent="0.2">
      <c r="A48" s="4">
        <v>45803</v>
      </c>
      <c r="B48" s="19">
        <v>25146</v>
      </c>
      <c r="C48" s="5" t="s">
        <v>23</v>
      </c>
      <c r="D48" s="5">
        <v>3</v>
      </c>
      <c r="E48" s="5" t="s">
        <v>2</v>
      </c>
      <c r="F48" s="5">
        <v>2</v>
      </c>
      <c r="G48" s="5">
        <v>19.100000000000001</v>
      </c>
      <c r="H48" s="5" t="s">
        <v>3</v>
      </c>
      <c r="I48" s="5">
        <v>0.4</v>
      </c>
      <c r="J48" s="5">
        <v>32.700000000000003</v>
      </c>
      <c r="K48" s="5">
        <v>8</v>
      </c>
      <c r="L48" s="5">
        <v>4.75</v>
      </c>
      <c r="M48" s="5" t="s">
        <v>4</v>
      </c>
      <c r="N48" s="5" t="s">
        <v>4</v>
      </c>
      <c r="O48" s="6"/>
    </row>
    <row r="49" spans="1:15" ht="15.75" customHeight="1" x14ac:dyDescent="0.2">
      <c r="A49" s="4">
        <v>45803</v>
      </c>
      <c r="B49" s="19">
        <v>25146</v>
      </c>
      <c r="C49" s="5" t="s">
        <v>23</v>
      </c>
      <c r="D49" s="5">
        <v>4</v>
      </c>
      <c r="E49" s="5" t="s">
        <v>2</v>
      </c>
      <c r="F49" s="5">
        <v>3</v>
      </c>
      <c r="G49" s="5">
        <v>22</v>
      </c>
      <c r="H49" s="5" t="s">
        <v>3</v>
      </c>
      <c r="I49" s="5">
        <v>0.55000000000000004</v>
      </c>
      <c r="J49" s="5">
        <v>34.200000000000003</v>
      </c>
      <c r="K49" s="5">
        <v>8.4</v>
      </c>
      <c r="L49" s="5">
        <v>4.3499999999999996</v>
      </c>
      <c r="M49" s="5" t="s">
        <v>4</v>
      </c>
      <c r="N49" s="5" t="s">
        <v>4</v>
      </c>
      <c r="O49" s="6"/>
    </row>
    <row r="50" spans="1:15" ht="15.75" customHeight="1" x14ac:dyDescent="0.2">
      <c r="A50" s="4">
        <v>45803</v>
      </c>
      <c r="B50" s="19">
        <v>25146</v>
      </c>
      <c r="C50" s="5" t="s">
        <v>23</v>
      </c>
      <c r="D50" s="5">
        <v>5</v>
      </c>
      <c r="E50" s="5" t="s">
        <v>2</v>
      </c>
      <c r="F50" s="5">
        <v>3</v>
      </c>
      <c r="G50" s="5">
        <v>24.3</v>
      </c>
      <c r="H50" s="5" t="s">
        <v>5</v>
      </c>
      <c r="I50" s="5">
        <v>0.4</v>
      </c>
      <c r="J50" s="5">
        <v>31.5</v>
      </c>
      <c r="K50" s="5">
        <v>7.6</v>
      </c>
      <c r="L50" s="5">
        <v>4.0999999999999996</v>
      </c>
      <c r="M50" s="5" t="s">
        <v>4</v>
      </c>
      <c r="N50" s="5" t="s">
        <v>4</v>
      </c>
      <c r="O50" s="6"/>
    </row>
    <row r="51" spans="1:15" ht="16" x14ac:dyDescent="0.2">
      <c r="A51" s="4">
        <v>45804</v>
      </c>
      <c r="B51" s="19">
        <v>25147</v>
      </c>
      <c r="C51" s="5" t="s">
        <v>24</v>
      </c>
      <c r="D51" s="5">
        <v>1</v>
      </c>
      <c r="E51" s="5" t="s">
        <v>2</v>
      </c>
      <c r="F51" s="5">
        <v>1</v>
      </c>
      <c r="G51" s="5">
        <v>2.5</v>
      </c>
      <c r="H51" s="5" t="s">
        <v>5</v>
      </c>
      <c r="I51" s="5">
        <v>0.9</v>
      </c>
      <c r="J51" s="5">
        <v>37.35</v>
      </c>
      <c r="K51" s="5">
        <v>9.35</v>
      </c>
      <c r="L51" s="5">
        <v>4.7</v>
      </c>
      <c r="M51" s="5" t="s">
        <v>4</v>
      </c>
      <c r="N51" s="5" t="s">
        <v>4</v>
      </c>
      <c r="O51" s="6"/>
    </row>
    <row r="52" spans="1:15" ht="16" x14ac:dyDescent="0.2">
      <c r="A52" s="4">
        <v>45804</v>
      </c>
      <c r="B52" s="19">
        <v>25147</v>
      </c>
      <c r="C52" s="5" t="s">
        <v>24</v>
      </c>
      <c r="D52" s="5">
        <v>2</v>
      </c>
      <c r="E52" s="5" t="s">
        <v>2</v>
      </c>
      <c r="F52" s="5">
        <v>3</v>
      </c>
      <c r="G52" s="5">
        <v>1.5</v>
      </c>
      <c r="H52" s="5" t="s">
        <v>5</v>
      </c>
      <c r="I52" s="5">
        <v>0.6</v>
      </c>
      <c r="J52" s="5">
        <v>33.9</v>
      </c>
      <c r="K52" s="5">
        <v>8.6</v>
      </c>
      <c r="L52" s="5">
        <v>4.3</v>
      </c>
      <c r="M52" s="5" t="s">
        <v>4</v>
      </c>
      <c r="N52" s="5" t="s">
        <v>4</v>
      </c>
      <c r="O52" s="6"/>
    </row>
    <row r="53" spans="1:15" ht="16" x14ac:dyDescent="0.2">
      <c r="A53" s="4">
        <v>45804</v>
      </c>
      <c r="B53" s="19">
        <v>25147</v>
      </c>
      <c r="C53" s="5" t="s">
        <v>24</v>
      </c>
      <c r="D53" s="5">
        <v>3</v>
      </c>
      <c r="E53" s="5" t="s">
        <v>2</v>
      </c>
      <c r="F53" s="5">
        <v>3</v>
      </c>
      <c r="G53" s="5">
        <v>13.4</v>
      </c>
      <c r="H53" s="5" t="s">
        <v>6</v>
      </c>
      <c r="I53" s="5">
        <v>0.7</v>
      </c>
      <c r="J53" s="5">
        <v>33.6</v>
      </c>
      <c r="K53" s="5">
        <v>9</v>
      </c>
      <c r="L53" s="5">
        <v>4.7</v>
      </c>
      <c r="M53" s="5" t="s">
        <v>4</v>
      </c>
      <c r="N53" s="5" t="s">
        <v>4</v>
      </c>
      <c r="O53" s="6"/>
    </row>
    <row r="54" spans="1:15" ht="16" x14ac:dyDescent="0.2">
      <c r="A54" s="4">
        <v>45804</v>
      </c>
      <c r="B54" s="19">
        <v>25147</v>
      </c>
      <c r="C54" s="5" t="s">
        <v>24</v>
      </c>
      <c r="D54" s="25">
        <v>4</v>
      </c>
      <c r="E54" s="5" t="s">
        <v>2</v>
      </c>
      <c r="F54" s="5">
        <v>3</v>
      </c>
      <c r="G54" s="5">
        <v>30</v>
      </c>
      <c r="H54" s="5" t="s">
        <v>6</v>
      </c>
      <c r="I54" s="5">
        <v>0.2</v>
      </c>
      <c r="J54" s="5">
        <v>20.399999999999999</v>
      </c>
      <c r="K54" s="5" t="s">
        <v>8</v>
      </c>
      <c r="L54" s="5" t="s">
        <v>8</v>
      </c>
      <c r="M54" s="5" t="s">
        <v>4</v>
      </c>
      <c r="N54" s="5" t="s">
        <v>9</v>
      </c>
      <c r="O54" s="5" t="s">
        <v>25</v>
      </c>
    </row>
    <row r="55" spans="1:15" ht="16" x14ac:dyDescent="0.2">
      <c r="A55" s="4">
        <v>45804</v>
      </c>
      <c r="B55" s="19">
        <v>25147</v>
      </c>
      <c r="C55" s="5" t="s">
        <v>24</v>
      </c>
      <c r="D55" s="25">
        <v>5</v>
      </c>
      <c r="E55" s="5" t="s">
        <v>2</v>
      </c>
      <c r="F55" s="5">
        <v>3</v>
      </c>
      <c r="G55" s="5">
        <v>30</v>
      </c>
      <c r="H55" s="5" t="s">
        <v>3</v>
      </c>
      <c r="I55" s="5">
        <v>0.5</v>
      </c>
      <c r="J55" s="5">
        <v>31.8</v>
      </c>
      <c r="K55" s="5">
        <v>8.4499999999999993</v>
      </c>
      <c r="L55" s="5">
        <v>4.55</v>
      </c>
      <c r="M55" s="5" t="s">
        <v>4</v>
      </c>
      <c r="N55" s="5" t="s">
        <v>4</v>
      </c>
      <c r="O55" s="5" t="s">
        <v>26</v>
      </c>
    </row>
    <row r="56" spans="1:15" ht="16" x14ac:dyDescent="0.2">
      <c r="A56" s="4">
        <v>45810</v>
      </c>
      <c r="B56" s="19">
        <v>25153</v>
      </c>
      <c r="C56" s="5" t="s">
        <v>27</v>
      </c>
      <c r="D56" s="5">
        <v>1</v>
      </c>
      <c r="E56" s="5" t="s">
        <v>2</v>
      </c>
      <c r="F56" s="5">
        <v>1</v>
      </c>
      <c r="G56" s="5">
        <v>7.2</v>
      </c>
      <c r="H56" s="5" t="s">
        <v>3</v>
      </c>
      <c r="I56" s="5">
        <v>1.1000000000000001</v>
      </c>
      <c r="J56" s="5">
        <v>40</v>
      </c>
      <c r="K56" s="5">
        <v>8.65</v>
      </c>
      <c r="L56" s="5">
        <v>5</v>
      </c>
      <c r="M56" s="5" t="s">
        <v>4</v>
      </c>
      <c r="N56" s="5" t="s">
        <v>4</v>
      </c>
      <c r="O56" s="6"/>
    </row>
    <row r="57" spans="1:15" ht="16" x14ac:dyDescent="0.2">
      <c r="A57" s="4">
        <v>45811</v>
      </c>
      <c r="B57" s="19">
        <v>25154</v>
      </c>
      <c r="C57" s="5" t="s">
        <v>49</v>
      </c>
      <c r="D57" s="26">
        <v>1</v>
      </c>
      <c r="E57" s="5" t="s">
        <v>2</v>
      </c>
      <c r="F57" s="5">
        <v>1</v>
      </c>
      <c r="G57" s="5">
        <v>14.5</v>
      </c>
      <c r="H57" s="5" t="s">
        <v>3</v>
      </c>
      <c r="I57" s="5">
        <v>0.65</v>
      </c>
      <c r="J57" s="5">
        <v>32.6</v>
      </c>
      <c r="K57" s="5">
        <v>8.15</v>
      </c>
      <c r="L57" s="5">
        <v>4.0999999999999996</v>
      </c>
      <c r="M57" s="5" t="s">
        <v>4</v>
      </c>
      <c r="N57" s="5" t="s">
        <v>4</v>
      </c>
      <c r="O57" s="6"/>
    </row>
    <row r="58" spans="1:15" ht="16" x14ac:dyDescent="0.2">
      <c r="A58" s="4">
        <v>45811</v>
      </c>
      <c r="B58" s="19">
        <v>25154</v>
      </c>
      <c r="C58" s="5" t="s">
        <v>49</v>
      </c>
      <c r="D58" s="5">
        <v>2</v>
      </c>
      <c r="E58" s="5" t="s">
        <v>2</v>
      </c>
      <c r="F58" s="5">
        <v>1</v>
      </c>
      <c r="G58" s="5">
        <v>16.5</v>
      </c>
      <c r="H58" s="5" t="s">
        <v>5</v>
      </c>
      <c r="I58" s="5">
        <v>0.65</v>
      </c>
      <c r="J58" s="5">
        <v>33</v>
      </c>
      <c r="K58" s="5">
        <v>8.35</v>
      </c>
      <c r="L58" s="5">
        <v>4.5999999999999996</v>
      </c>
      <c r="M58" s="5" t="s">
        <v>9</v>
      </c>
      <c r="N58" s="5" t="s">
        <v>9</v>
      </c>
      <c r="O58" s="5" t="s">
        <v>28</v>
      </c>
    </row>
    <row r="59" spans="1:15" ht="16" x14ac:dyDescent="0.2">
      <c r="A59" s="4">
        <v>45811</v>
      </c>
      <c r="B59" s="19">
        <v>25154</v>
      </c>
      <c r="C59" s="5" t="s">
        <v>49</v>
      </c>
      <c r="D59" s="5">
        <v>3</v>
      </c>
      <c r="E59" s="5" t="s">
        <v>12</v>
      </c>
      <c r="F59" s="5">
        <v>1</v>
      </c>
      <c r="G59" s="5">
        <v>18.399999999999999</v>
      </c>
      <c r="H59" s="5" t="s">
        <v>3</v>
      </c>
      <c r="I59" s="5">
        <v>0.85</v>
      </c>
      <c r="J59" s="5">
        <v>35.35</v>
      </c>
      <c r="K59" s="5">
        <v>9.1</v>
      </c>
      <c r="L59" s="5">
        <v>4.7</v>
      </c>
      <c r="M59" s="5" t="s">
        <v>4</v>
      </c>
      <c r="N59" s="5" t="s">
        <v>4</v>
      </c>
      <c r="O59" s="5" t="s">
        <v>29</v>
      </c>
    </row>
    <row r="60" spans="1:15" ht="16" x14ac:dyDescent="0.2">
      <c r="A60" s="4">
        <v>45811</v>
      </c>
      <c r="B60" s="19">
        <v>25154</v>
      </c>
      <c r="C60" s="5" t="s">
        <v>49</v>
      </c>
      <c r="D60" s="5">
        <v>4</v>
      </c>
      <c r="E60" s="5" t="s">
        <v>12</v>
      </c>
      <c r="F60" s="5">
        <v>1</v>
      </c>
      <c r="G60" s="5">
        <v>15</v>
      </c>
      <c r="H60" s="5" t="s">
        <v>3</v>
      </c>
      <c r="I60" s="5">
        <v>0.75</v>
      </c>
      <c r="J60" s="5">
        <v>35.35</v>
      </c>
      <c r="K60" s="5">
        <v>9.1</v>
      </c>
      <c r="L60" s="5">
        <v>4.2</v>
      </c>
      <c r="M60" s="5" t="s">
        <v>4</v>
      </c>
      <c r="N60" s="5" t="s">
        <v>4</v>
      </c>
      <c r="O60" s="6"/>
    </row>
    <row r="61" spans="1:15" ht="16" x14ac:dyDescent="0.2">
      <c r="A61" s="4">
        <v>45811</v>
      </c>
      <c r="B61" s="19">
        <v>25154</v>
      </c>
      <c r="C61" s="5" t="s">
        <v>49</v>
      </c>
      <c r="D61" s="5">
        <v>5</v>
      </c>
      <c r="E61" s="5" t="s">
        <v>2</v>
      </c>
      <c r="F61" s="5">
        <v>1</v>
      </c>
      <c r="G61" s="5">
        <v>15</v>
      </c>
      <c r="H61" s="5" t="s">
        <v>3</v>
      </c>
      <c r="I61" s="5">
        <v>0.55000000000000004</v>
      </c>
      <c r="J61" s="5">
        <v>30.7</v>
      </c>
      <c r="K61" s="5">
        <v>7.95</v>
      </c>
      <c r="L61" s="5">
        <v>4.4000000000000004</v>
      </c>
      <c r="M61" s="5" t="s">
        <v>4</v>
      </c>
      <c r="N61" s="5" t="s">
        <v>4</v>
      </c>
      <c r="O61" s="6"/>
    </row>
    <row r="62" spans="1:15" ht="16" x14ac:dyDescent="0.2">
      <c r="A62" s="4">
        <v>45811</v>
      </c>
      <c r="B62" s="19">
        <v>25154</v>
      </c>
      <c r="C62" s="5" t="s">
        <v>49</v>
      </c>
      <c r="D62" s="5">
        <v>6</v>
      </c>
      <c r="E62" s="5" t="s">
        <v>2</v>
      </c>
      <c r="F62" s="5">
        <v>1</v>
      </c>
      <c r="G62" s="5">
        <v>2.1</v>
      </c>
      <c r="H62" s="5" t="s">
        <v>3</v>
      </c>
      <c r="I62" s="5">
        <v>0.85</v>
      </c>
      <c r="J62" s="5">
        <v>40.25</v>
      </c>
      <c r="K62" s="5">
        <v>9</v>
      </c>
      <c r="L62" s="5">
        <v>4.9000000000000004</v>
      </c>
      <c r="M62" s="5" t="s">
        <v>4</v>
      </c>
      <c r="N62" s="5" t="s">
        <v>4</v>
      </c>
      <c r="O62" s="6"/>
    </row>
    <row r="63" spans="1:15" ht="16" x14ac:dyDescent="0.2">
      <c r="A63" s="4">
        <v>45811</v>
      </c>
      <c r="B63" s="19">
        <v>25154</v>
      </c>
      <c r="C63" s="5" t="s">
        <v>49</v>
      </c>
      <c r="D63" s="5">
        <v>7</v>
      </c>
      <c r="E63" s="5" t="s">
        <v>12</v>
      </c>
      <c r="F63" s="5">
        <v>1</v>
      </c>
      <c r="G63" s="5">
        <v>8.6</v>
      </c>
      <c r="H63" s="5" t="s">
        <v>5</v>
      </c>
      <c r="I63" s="5">
        <v>1.3</v>
      </c>
      <c r="J63" s="5">
        <v>41</v>
      </c>
      <c r="K63" s="5">
        <v>10.199999999999999</v>
      </c>
      <c r="L63" s="5">
        <v>5.55</v>
      </c>
      <c r="M63" s="5" t="s">
        <v>4</v>
      </c>
      <c r="N63" s="5" t="s">
        <v>4</v>
      </c>
      <c r="O63" s="6"/>
    </row>
    <row r="64" spans="1:15" ht="16" x14ac:dyDescent="0.2">
      <c r="A64" s="4">
        <v>45811</v>
      </c>
      <c r="B64" s="19">
        <v>25154</v>
      </c>
      <c r="C64" s="5" t="s">
        <v>49</v>
      </c>
      <c r="D64" s="26">
        <v>8</v>
      </c>
      <c r="E64" s="5" t="s">
        <v>2</v>
      </c>
      <c r="F64" s="5">
        <v>1</v>
      </c>
      <c r="G64" s="5">
        <v>10.4</v>
      </c>
      <c r="H64" s="5" t="s">
        <v>3</v>
      </c>
      <c r="I64" s="5">
        <v>0.6</v>
      </c>
      <c r="J64" s="5">
        <v>32.9</v>
      </c>
      <c r="K64" s="5">
        <v>8</v>
      </c>
      <c r="L64" s="5">
        <v>3.9</v>
      </c>
      <c r="M64" s="5" t="s">
        <v>4</v>
      </c>
      <c r="N64" s="5" t="s">
        <v>4</v>
      </c>
      <c r="O64" s="5" t="s">
        <v>30</v>
      </c>
    </row>
    <row r="65" spans="1:15" ht="16" x14ac:dyDescent="0.2">
      <c r="A65" s="4">
        <v>45811</v>
      </c>
      <c r="B65" s="19">
        <v>25154</v>
      </c>
      <c r="C65" s="5" t="s">
        <v>49</v>
      </c>
      <c r="D65" s="5">
        <v>9</v>
      </c>
      <c r="E65" s="5" t="s">
        <v>2</v>
      </c>
      <c r="F65" s="5">
        <v>1</v>
      </c>
      <c r="G65" s="5">
        <v>10.4</v>
      </c>
      <c r="H65" s="5" t="s">
        <v>5</v>
      </c>
      <c r="I65" s="5">
        <v>0.8</v>
      </c>
      <c r="J65" s="5">
        <v>37.049999999999997</v>
      </c>
      <c r="K65" s="5">
        <v>8.4</v>
      </c>
      <c r="L65" s="5">
        <v>4.1500000000000004</v>
      </c>
      <c r="M65" s="5" t="s">
        <v>4</v>
      </c>
      <c r="N65" s="5" t="s">
        <v>4</v>
      </c>
      <c r="O65" s="6"/>
    </row>
    <row r="66" spans="1:15" ht="16" x14ac:dyDescent="0.2">
      <c r="A66" s="4">
        <v>45811</v>
      </c>
      <c r="B66" s="19">
        <v>25154</v>
      </c>
      <c r="C66" s="5" t="s">
        <v>49</v>
      </c>
      <c r="D66" s="5">
        <v>10</v>
      </c>
      <c r="E66" s="5" t="s">
        <v>12</v>
      </c>
      <c r="F66" s="5">
        <v>1</v>
      </c>
      <c r="G66" s="5">
        <v>18.7</v>
      </c>
      <c r="H66" s="5" t="s">
        <v>6</v>
      </c>
      <c r="I66" s="5">
        <v>1</v>
      </c>
      <c r="J66" s="5">
        <v>37.75</v>
      </c>
      <c r="K66" s="5">
        <v>9.3000000000000007</v>
      </c>
      <c r="L66" s="5">
        <v>4.8499999999999996</v>
      </c>
      <c r="M66" s="5" t="s">
        <v>4</v>
      </c>
      <c r="N66" s="5" t="s">
        <v>4</v>
      </c>
      <c r="O66" s="5" t="s">
        <v>31</v>
      </c>
    </row>
    <row r="67" spans="1:15" ht="16" x14ac:dyDescent="0.2">
      <c r="A67" s="4">
        <v>45811</v>
      </c>
      <c r="B67" s="19">
        <v>25154</v>
      </c>
      <c r="C67" s="5" t="s">
        <v>49</v>
      </c>
      <c r="D67" s="5">
        <v>11</v>
      </c>
      <c r="E67" s="5" t="s">
        <v>2</v>
      </c>
      <c r="F67" s="5">
        <v>1</v>
      </c>
      <c r="G67" s="5">
        <v>30</v>
      </c>
      <c r="H67" s="5" t="s">
        <v>3</v>
      </c>
      <c r="I67" s="5">
        <v>0.55000000000000004</v>
      </c>
      <c r="J67" s="5">
        <v>31.5</v>
      </c>
      <c r="K67" s="5">
        <v>8</v>
      </c>
      <c r="L67" s="5">
        <v>3.95</v>
      </c>
      <c r="M67" s="5" t="s">
        <v>4</v>
      </c>
      <c r="N67" s="5" t="s">
        <v>4</v>
      </c>
      <c r="O67" s="6"/>
    </row>
    <row r="68" spans="1:15" ht="16" x14ac:dyDescent="0.2">
      <c r="A68" s="4">
        <v>45811</v>
      </c>
      <c r="B68" s="19">
        <v>25154</v>
      </c>
      <c r="C68" s="5" t="s">
        <v>49</v>
      </c>
      <c r="D68" s="25">
        <v>12</v>
      </c>
      <c r="E68" s="5" t="s">
        <v>2</v>
      </c>
      <c r="F68" s="5">
        <v>2</v>
      </c>
      <c r="G68" s="5">
        <v>24.5</v>
      </c>
      <c r="H68" s="5" t="s">
        <v>3</v>
      </c>
      <c r="I68" s="5">
        <v>0.6</v>
      </c>
      <c r="J68" s="5">
        <v>30.3</v>
      </c>
      <c r="K68" s="5">
        <v>7.9</v>
      </c>
      <c r="L68" s="5">
        <v>4.4000000000000004</v>
      </c>
      <c r="M68" s="5" t="s">
        <v>4</v>
      </c>
      <c r="N68" s="5" t="s">
        <v>4</v>
      </c>
      <c r="O68" s="6"/>
    </row>
    <row r="69" spans="1:15" ht="16" x14ac:dyDescent="0.2">
      <c r="A69" s="4">
        <v>45811</v>
      </c>
      <c r="B69" s="19">
        <v>25154</v>
      </c>
      <c r="C69" s="5" t="s">
        <v>49</v>
      </c>
      <c r="D69" s="5">
        <v>13</v>
      </c>
      <c r="E69" s="5" t="s">
        <v>2</v>
      </c>
      <c r="F69" s="5">
        <v>2</v>
      </c>
      <c r="G69" s="5">
        <v>5.7</v>
      </c>
      <c r="H69" s="5" t="s">
        <v>3</v>
      </c>
      <c r="I69" s="5">
        <v>0.8</v>
      </c>
      <c r="J69" s="5">
        <v>40.4</v>
      </c>
      <c r="K69" s="5">
        <v>9.9</v>
      </c>
      <c r="L69" s="5">
        <v>4.45</v>
      </c>
      <c r="M69" s="5" t="s">
        <v>4</v>
      </c>
      <c r="N69" s="5" t="s">
        <v>4</v>
      </c>
      <c r="O69" s="6"/>
    </row>
    <row r="70" spans="1:15" ht="16" x14ac:dyDescent="0.2">
      <c r="A70" s="4">
        <v>45811</v>
      </c>
      <c r="B70" s="19">
        <v>25154</v>
      </c>
      <c r="C70" s="5" t="s">
        <v>49</v>
      </c>
      <c r="D70" s="25">
        <v>14</v>
      </c>
      <c r="E70" s="5" t="s">
        <v>2</v>
      </c>
      <c r="F70" s="5">
        <v>2</v>
      </c>
      <c r="G70" s="5">
        <v>14</v>
      </c>
      <c r="H70" s="5" t="s">
        <v>3</v>
      </c>
      <c r="I70" s="5">
        <v>1.2</v>
      </c>
      <c r="J70" s="5">
        <v>43.5</v>
      </c>
      <c r="K70" s="5">
        <v>8.4</v>
      </c>
      <c r="L70" s="5">
        <v>5.2</v>
      </c>
      <c r="M70" s="5" t="s">
        <v>4</v>
      </c>
      <c r="N70" s="5" t="s">
        <v>4</v>
      </c>
      <c r="O70" s="6"/>
    </row>
    <row r="71" spans="1:15" ht="16" x14ac:dyDescent="0.2">
      <c r="A71" s="4">
        <v>45811</v>
      </c>
      <c r="B71" s="19">
        <v>25154</v>
      </c>
      <c r="C71" s="5" t="s">
        <v>49</v>
      </c>
      <c r="D71" s="26">
        <v>15</v>
      </c>
      <c r="E71" s="5" t="s">
        <v>2</v>
      </c>
      <c r="F71" s="5">
        <v>2</v>
      </c>
      <c r="G71" s="5">
        <v>22.8</v>
      </c>
      <c r="H71" s="5" t="s">
        <v>6</v>
      </c>
      <c r="I71" s="5">
        <v>0.5</v>
      </c>
      <c r="J71" s="5">
        <v>30.7</v>
      </c>
      <c r="K71" s="5">
        <v>8</v>
      </c>
      <c r="L71" s="5">
        <v>4.3</v>
      </c>
      <c r="M71" s="5" t="s">
        <v>4</v>
      </c>
      <c r="N71" s="5" t="s">
        <v>4</v>
      </c>
      <c r="O71" s="6"/>
    </row>
    <row r="72" spans="1:15" ht="16" x14ac:dyDescent="0.2">
      <c r="A72" s="4">
        <v>45811</v>
      </c>
      <c r="B72" s="19">
        <v>25154</v>
      </c>
      <c r="C72" s="5" t="s">
        <v>49</v>
      </c>
      <c r="D72" s="5">
        <v>16</v>
      </c>
      <c r="E72" s="5" t="s">
        <v>2</v>
      </c>
      <c r="F72" s="5">
        <v>3</v>
      </c>
      <c r="G72" s="5">
        <v>1.4</v>
      </c>
      <c r="H72" s="5" t="s">
        <v>3</v>
      </c>
      <c r="I72" s="5">
        <v>1</v>
      </c>
      <c r="J72" s="5">
        <v>38.4</v>
      </c>
      <c r="K72" s="5">
        <v>8.6</v>
      </c>
      <c r="L72" s="5">
        <v>5.05</v>
      </c>
      <c r="M72" s="5" t="s">
        <v>4</v>
      </c>
      <c r="N72" s="5" t="s">
        <v>4</v>
      </c>
      <c r="O72" s="6"/>
    </row>
    <row r="73" spans="1:15" ht="16" x14ac:dyDescent="0.2">
      <c r="A73" s="4">
        <v>45811</v>
      </c>
      <c r="B73" s="19">
        <v>25154</v>
      </c>
      <c r="C73" s="5" t="s">
        <v>49</v>
      </c>
      <c r="D73" s="5">
        <v>17</v>
      </c>
      <c r="E73" s="5" t="s">
        <v>2</v>
      </c>
      <c r="F73" s="5">
        <v>3</v>
      </c>
      <c r="G73" s="5">
        <v>30</v>
      </c>
      <c r="H73" s="5" t="s">
        <v>5</v>
      </c>
      <c r="I73" s="5">
        <v>0.7</v>
      </c>
      <c r="J73" s="5">
        <v>35.950000000000003</v>
      </c>
      <c r="K73" s="5">
        <v>8.9</v>
      </c>
      <c r="L73" s="5">
        <v>4.4000000000000004</v>
      </c>
      <c r="M73" s="5" t="s">
        <v>4</v>
      </c>
      <c r="N73" s="5" t="s">
        <v>4</v>
      </c>
      <c r="O73" s="6"/>
    </row>
    <row r="74" spans="1:15" ht="16" x14ac:dyDescent="0.2">
      <c r="A74" s="4">
        <v>45811</v>
      </c>
      <c r="B74" s="19">
        <v>25154</v>
      </c>
      <c r="C74" s="5" t="s">
        <v>49</v>
      </c>
      <c r="D74" s="5">
        <v>18</v>
      </c>
      <c r="E74" s="5" t="s">
        <v>2</v>
      </c>
      <c r="F74" s="5">
        <v>3</v>
      </c>
      <c r="G74" s="5">
        <v>5.5</v>
      </c>
      <c r="H74" s="5" t="s">
        <v>3</v>
      </c>
      <c r="I74" s="5">
        <v>0.6</v>
      </c>
      <c r="J74" s="5">
        <v>31.1</v>
      </c>
      <c r="K74" s="5">
        <v>8.1999999999999993</v>
      </c>
      <c r="L74" s="5">
        <v>4.4000000000000004</v>
      </c>
      <c r="M74" s="5" t="s">
        <v>4</v>
      </c>
      <c r="N74" s="5" t="s">
        <v>4</v>
      </c>
      <c r="O74" s="6"/>
    </row>
    <row r="75" spans="1:15" ht="16" x14ac:dyDescent="0.2">
      <c r="A75" s="4">
        <v>45811</v>
      </c>
      <c r="B75" s="19">
        <v>25154</v>
      </c>
      <c r="C75" s="5" t="s">
        <v>49</v>
      </c>
      <c r="D75" s="25">
        <v>19</v>
      </c>
      <c r="E75" s="5" t="s">
        <v>2</v>
      </c>
      <c r="F75" s="5">
        <v>3</v>
      </c>
      <c r="G75" s="5">
        <v>17.8</v>
      </c>
      <c r="H75" s="5" t="s">
        <v>5</v>
      </c>
      <c r="I75" s="5">
        <v>0.95</v>
      </c>
      <c r="J75" s="5">
        <v>38.85</v>
      </c>
      <c r="K75" s="5">
        <v>9.1999999999999993</v>
      </c>
      <c r="L75" s="5">
        <v>4.8</v>
      </c>
      <c r="M75" s="5" t="s">
        <v>4</v>
      </c>
      <c r="N75" s="5" t="s">
        <v>4</v>
      </c>
      <c r="O75" s="6"/>
    </row>
    <row r="76" spans="1:15" ht="16" x14ac:dyDescent="0.2">
      <c r="A76" s="4">
        <v>45812</v>
      </c>
      <c r="B76" s="19">
        <v>25155</v>
      </c>
      <c r="C76" s="5" t="s">
        <v>32</v>
      </c>
      <c r="D76" s="5">
        <v>1</v>
      </c>
      <c r="E76" s="5" t="s">
        <v>2</v>
      </c>
      <c r="F76" s="5">
        <v>1</v>
      </c>
      <c r="G76" s="5">
        <v>13.6</v>
      </c>
      <c r="H76" s="5" t="s">
        <v>3</v>
      </c>
      <c r="I76" s="5">
        <v>0.95</v>
      </c>
      <c r="J76" s="5">
        <v>38.9</v>
      </c>
      <c r="K76" s="5">
        <v>9.9</v>
      </c>
      <c r="L76" s="5">
        <v>4.45</v>
      </c>
      <c r="M76" s="5" t="s">
        <v>4</v>
      </c>
      <c r="N76" s="5" t="s">
        <v>4</v>
      </c>
      <c r="O76" s="6"/>
    </row>
    <row r="77" spans="1:15" ht="16" x14ac:dyDescent="0.2">
      <c r="A77" s="4">
        <v>45812</v>
      </c>
      <c r="B77" s="19">
        <v>25155</v>
      </c>
      <c r="C77" s="5" t="s">
        <v>32</v>
      </c>
      <c r="D77" s="5">
        <v>2</v>
      </c>
      <c r="E77" s="5" t="s">
        <v>2</v>
      </c>
      <c r="F77" s="5">
        <v>1</v>
      </c>
      <c r="G77" s="5">
        <v>11.8</v>
      </c>
      <c r="H77" s="5" t="s">
        <v>6</v>
      </c>
      <c r="I77" s="5">
        <v>0.65</v>
      </c>
      <c r="J77" s="5">
        <v>30.4</v>
      </c>
      <c r="K77" s="5">
        <v>8</v>
      </c>
      <c r="L77" s="5">
        <v>3.6</v>
      </c>
      <c r="M77" s="5" t="s">
        <v>4</v>
      </c>
      <c r="N77" s="5" t="s">
        <v>4</v>
      </c>
      <c r="O77" s="6"/>
    </row>
    <row r="78" spans="1:15" ht="16" x14ac:dyDescent="0.2">
      <c r="A78" s="4">
        <v>45812</v>
      </c>
      <c r="B78" s="19">
        <v>25155</v>
      </c>
      <c r="C78" s="5" t="s">
        <v>32</v>
      </c>
      <c r="D78" s="25">
        <v>3</v>
      </c>
      <c r="E78" s="5" t="s">
        <v>2</v>
      </c>
      <c r="F78" s="5">
        <v>2</v>
      </c>
      <c r="G78" s="5">
        <v>5.9</v>
      </c>
      <c r="H78" s="5" t="s">
        <v>5</v>
      </c>
      <c r="I78" s="5">
        <v>0.9</v>
      </c>
      <c r="J78" s="5">
        <v>37.450000000000003</v>
      </c>
      <c r="K78" s="5">
        <v>9</v>
      </c>
      <c r="L78" s="5">
        <v>4.45</v>
      </c>
      <c r="M78" s="5" t="s">
        <v>4</v>
      </c>
      <c r="N78" s="5" t="s">
        <v>4</v>
      </c>
      <c r="O78" s="6"/>
    </row>
    <row r="79" spans="1:15" ht="16" x14ac:dyDescent="0.2">
      <c r="A79" s="4">
        <v>45812</v>
      </c>
      <c r="B79" s="19">
        <v>25155</v>
      </c>
      <c r="C79" s="5" t="s">
        <v>32</v>
      </c>
      <c r="D79" s="26">
        <v>4</v>
      </c>
      <c r="E79" s="5" t="s">
        <v>2</v>
      </c>
      <c r="F79" s="5">
        <v>2</v>
      </c>
      <c r="G79" s="5">
        <v>24.9</v>
      </c>
      <c r="H79" s="5" t="s">
        <v>5</v>
      </c>
      <c r="I79" s="5">
        <v>0.85</v>
      </c>
      <c r="J79" s="5">
        <v>37.5</v>
      </c>
      <c r="K79" s="5">
        <v>8.6</v>
      </c>
      <c r="L79" s="5">
        <v>5</v>
      </c>
      <c r="M79" s="5" t="s">
        <v>4</v>
      </c>
      <c r="N79" s="5" t="s">
        <v>4</v>
      </c>
      <c r="O79" s="6"/>
    </row>
    <row r="80" spans="1:15" ht="16" x14ac:dyDescent="0.2">
      <c r="A80" s="4">
        <v>45812</v>
      </c>
      <c r="B80" s="19">
        <v>25155</v>
      </c>
      <c r="C80" s="5" t="s">
        <v>32</v>
      </c>
      <c r="D80" s="5">
        <v>5</v>
      </c>
      <c r="E80" s="5" t="s">
        <v>2</v>
      </c>
      <c r="F80" s="5">
        <v>2</v>
      </c>
      <c r="G80" s="5">
        <v>6.4</v>
      </c>
      <c r="H80" s="5" t="s">
        <v>6</v>
      </c>
      <c r="I80" s="5">
        <v>0.1</v>
      </c>
      <c r="J80" s="5" t="s">
        <v>8</v>
      </c>
      <c r="K80" s="5" t="s">
        <v>8</v>
      </c>
      <c r="L80" s="5" t="s">
        <v>8</v>
      </c>
      <c r="M80" s="5" t="s">
        <v>4</v>
      </c>
      <c r="N80" s="5" t="s">
        <v>9</v>
      </c>
      <c r="O80" s="5" t="s">
        <v>33</v>
      </c>
    </row>
    <row r="81" spans="1:15" ht="16" x14ac:dyDescent="0.2">
      <c r="A81" s="4">
        <v>45812</v>
      </c>
      <c r="B81" s="19">
        <v>25155</v>
      </c>
      <c r="C81" s="5" t="s">
        <v>32</v>
      </c>
      <c r="D81" s="26">
        <v>6</v>
      </c>
      <c r="E81" s="5" t="s">
        <v>2</v>
      </c>
      <c r="F81" s="5">
        <v>3</v>
      </c>
      <c r="G81" s="5">
        <v>13.8</v>
      </c>
      <c r="H81" s="5" t="s">
        <v>6</v>
      </c>
      <c r="I81" s="5">
        <v>0.35</v>
      </c>
      <c r="J81" s="5">
        <v>27.9</v>
      </c>
      <c r="K81" s="5">
        <v>7.95</v>
      </c>
      <c r="L81" s="5">
        <v>3.5</v>
      </c>
      <c r="M81" s="5" t="s">
        <v>4</v>
      </c>
      <c r="N81" s="5" t="s">
        <v>4</v>
      </c>
      <c r="O81" s="5" t="s">
        <v>34</v>
      </c>
    </row>
    <row r="82" spans="1:15" ht="16" x14ac:dyDescent="0.2">
      <c r="A82" s="4">
        <v>45812</v>
      </c>
      <c r="B82" s="19">
        <v>25155</v>
      </c>
      <c r="C82" s="5" t="s">
        <v>32</v>
      </c>
      <c r="D82" s="5">
        <v>7</v>
      </c>
      <c r="E82" s="5" t="s">
        <v>2</v>
      </c>
      <c r="F82" s="5">
        <v>3</v>
      </c>
      <c r="G82" s="5">
        <v>20.3</v>
      </c>
      <c r="H82" s="5" t="s">
        <v>6</v>
      </c>
      <c r="I82" s="5">
        <v>0.35</v>
      </c>
      <c r="J82" s="5">
        <v>26.85</v>
      </c>
      <c r="K82" s="5">
        <v>7.6</v>
      </c>
      <c r="L82" s="5">
        <v>3.8</v>
      </c>
      <c r="M82" s="5" t="s">
        <v>4</v>
      </c>
      <c r="N82" s="5" t="s">
        <v>4</v>
      </c>
      <c r="O82" s="6"/>
    </row>
    <row r="83" spans="1:15" ht="16" x14ac:dyDescent="0.2">
      <c r="A83" s="4">
        <v>45812</v>
      </c>
      <c r="B83" s="19">
        <v>25155</v>
      </c>
      <c r="C83" s="5" t="s">
        <v>32</v>
      </c>
      <c r="D83" s="5">
        <v>8</v>
      </c>
      <c r="E83" s="5" t="s">
        <v>2</v>
      </c>
      <c r="F83" s="5">
        <v>3</v>
      </c>
      <c r="G83" s="5">
        <v>5.0999999999999996</v>
      </c>
      <c r="H83" s="5" t="s">
        <v>3</v>
      </c>
      <c r="I83" s="5">
        <v>1</v>
      </c>
      <c r="J83" s="5">
        <v>39.4</v>
      </c>
      <c r="K83" s="5">
        <v>9.25</v>
      </c>
      <c r="L83" s="5">
        <v>5</v>
      </c>
      <c r="M83" s="5" t="s">
        <v>4</v>
      </c>
      <c r="N83" s="5" t="s">
        <v>4</v>
      </c>
      <c r="O83" s="6"/>
    </row>
    <row r="84" spans="1:15" ht="16" x14ac:dyDescent="0.2">
      <c r="A84" s="4">
        <v>45812</v>
      </c>
      <c r="B84" s="19">
        <v>25155</v>
      </c>
      <c r="C84" s="5" t="s">
        <v>32</v>
      </c>
      <c r="D84" s="5">
        <v>9</v>
      </c>
      <c r="E84" s="5" t="s">
        <v>2</v>
      </c>
      <c r="F84" s="5">
        <v>3</v>
      </c>
      <c r="G84" s="5">
        <v>20</v>
      </c>
      <c r="H84" s="5" t="s">
        <v>5</v>
      </c>
      <c r="I84" s="5">
        <v>0.7</v>
      </c>
      <c r="J84" s="5">
        <v>35.35</v>
      </c>
      <c r="K84" s="5">
        <v>8.6</v>
      </c>
      <c r="L84" s="5">
        <v>4.3</v>
      </c>
      <c r="M84" s="5" t="s">
        <v>4</v>
      </c>
      <c r="N84" s="5" t="s">
        <v>4</v>
      </c>
      <c r="O84" s="6"/>
    </row>
    <row r="85" spans="1:15" ht="16" x14ac:dyDescent="0.2">
      <c r="A85" s="4">
        <v>45813</v>
      </c>
      <c r="B85" s="19">
        <v>25156</v>
      </c>
      <c r="C85" s="5" t="s">
        <v>35</v>
      </c>
      <c r="D85" s="5">
        <v>1</v>
      </c>
      <c r="E85" s="5" t="s">
        <v>2</v>
      </c>
      <c r="F85" s="5">
        <v>1</v>
      </c>
      <c r="G85" s="5">
        <v>27.1</v>
      </c>
      <c r="H85" s="5" t="s">
        <v>5</v>
      </c>
      <c r="I85" s="5">
        <v>0.5</v>
      </c>
      <c r="J85" s="5">
        <v>36.35</v>
      </c>
      <c r="K85" s="5">
        <v>9</v>
      </c>
      <c r="L85" s="5">
        <v>4.45</v>
      </c>
      <c r="M85" s="5" t="s">
        <v>4</v>
      </c>
      <c r="N85" s="5" t="s">
        <v>4</v>
      </c>
      <c r="O85" s="6"/>
    </row>
    <row r="86" spans="1:15" ht="16" x14ac:dyDescent="0.2">
      <c r="A86" s="4">
        <v>45813</v>
      </c>
      <c r="B86" s="19">
        <v>25156</v>
      </c>
      <c r="C86" s="5" t="s">
        <v>35</v>
      </c>
      <c r="D86" s="5">
        <v>2</v>
      </c>
      <c r="E86" s="5" t="s">
        <v>2</v>
      </c>
      <c r="F86" s="5">
        <v>1</v>
      </c>
      <c r="G86" s="5">
        <v>16</v>
      </c>
      <c r="H86" s="5" t="s">
        <v>3</v>
      </c>
      <c r="I86" s="5">
        <v>0.6</v>
      </c>
      <c r="J86" s="5">
        <v>32.450000000000003</v>
      </c>
      <c r="K86" s="5">
        <v>8.5</v>
      </c>
      <c r="L86" s="5">
        <v>4.5999999999999996</v>
      </c>
      <c r="M86" s="5" t="s">
        <v>4</v>
      </c>
      <c r="N86" s="5" t="s">
        <v>4</v>
      </c>
      <c r="O86" s="6"/>
    </row>
    <row r="87" spans="1:15" ht="16" x14ac:dyDescent="0.2">
      <c r="A87" s="7">
        <v>45813</v>
      </c>
      <c r="B87" s="19">
        <v>25156</v>
      </c>
      <c r="C87" s="8" t="s">
        <v>35</v>
      </c>
      <c r="D87" s="5">
        <v>3</v>
      </c>
      <c r="E87" s="5" t="s">
        <v>2</v>
      </c>
      <c r="F87" s="5">
        <v>1</v>
      </c>
      <c r="G87" s="5">
        <v>20.3</v>
      </c>
      <c r="H87" s="5" t="s">
        <v>6</v>
      </c>
      <c r="I87" s="5">
        <v>0.05</v>
      </c>
      <c r="J87" s="5" t="s">
        <v>8</v>
      </c>
      <c r="K87" s="5" t="s">
        <v>8</v>
      </c>
      <c r="L87" s="5" t="s">
        <v>8</v>
      </c>
      <c r="M87" s="5" t="s">
        <v>4</v>
      </c>
      <c r="N87" s="5" t="s">
        <v>9</v>
      </c>
      <c r="O87" s="5" t="s">
        <v>347</v>
      </c>
    </row>
    <row r="88" spans="1:15" ht="16" x14ac:dyDescent="0.2">
      <c r="A88" s="4">
        <v>45813</v>
      </c>
      <c r="B88" s="19">
        <v>25156</v>
      </c>
      <c r="C88" s="5" t="s">
        <v>35</v>
      </c>
      <c r="D88" s="5">
        <v>4</v>
      </c>
      <c r="E88" s="5" t="s">
        <v>2</v>
      </c>
      <c r="F88" s="5">
        <v>1</v>
      </c>
      <c r="G88" s="5">
        <v>20.3</v>
      </c>
      <c r="H88" s="5" t="s">
        <v>6</v>
      </c>
      <c r="I88" s="5">
        <v>0.4</v>
      </c>
      <c r="J88" s="5">
        <v>26.65</v>
      </c>
      <c r="K88" s="5">
        <v>7.5</v>
      </c>
      <c r="L88" s="5">
        <v>3.9</v>
      </c>
      <c r="M88" s="5" t="s">
        <v>4</v>
      </c>
      <c r="N88" s="5" t="s">
        <v>4</v>
      </c>
      <c r="O88" s="6"/>
    </row>
    <row r="89" spans="1:15" ht="16" x14ac:dyDescent="0.2">
      <c r="A89" s="4">
        <v>45813</v>
      </c>
      <c r="B89" s="19">
        <v>25156</v>
      </c>
      <c r="C89" s="5" t="s">
        <v>35</v>
      </c>
      <c r="D89" s="5">
        <v>5</v>
      </c>
      <c r="E89" s="5" t="s">
        <v>2</v>
      </c>
      <c r="F89" s="5">
        <v>1</v>
      </c>
      <c r="G89" s="5">
        <v>20.6</v>
      </c>
      <c r="H89" s="5" t="s">
        <v>3</v>
      </c>
      <c r="I89" s="5">
        <v>0.85</v>
      </c>
      <c r="J89" s="5">
        <v>39.950000000000003</v>
      </c>
      <c r="K89" s="5">
        <v>9.9</v>
      </c>
      <c r="L89" s="5">
        <v>4.95</v>
      </c>
      <c r="M89" s="5" t="s">
        <v>4</v>
      </c>
      <c r="N89" s="5" t="s">
        <v>4</v>
      </c>
      <c r="O89" s="6"/>
    </row>
    <row r="90" spans="1:15" ht="16" x14ac:dyDescent="0.2">
      <c r="A90" s="4">
        <v>45813</v>
      </c>
      <c r="B90" s="19">
        <v>25156</v>
      </c>
      <c r="C90" s="5" t="s">
        <v>35</v>
      </c>
      <c r="D90" s="25">
        <v>6</v>
      </c>
      <c r="E90" s="5" t="s">
        <v>2</v>
      </c>
      <c r="F90" s="5">
        <v>2</v>
      </c>
      <c r="G90" s="5">
        <v>11.9</v>
      </c>
      <c r="H90" s="5" t="s">
        <v>3</v>
      </c>
      <c r="I90" s="5">
        <v>0.55000000000000004</v>
      </c>
      <c r="J90" s="5">
        <v>32.85</v>
      </c>
      <c r="K90" s="5">
        <v>9.0500000000000007</v>
      </c>
      <c r="L90" s="5">
        <v>4.45</v>
      </c>
      <c r="M90" s="5" t="s">
        <v>4</v>
      </c>
      <c r="N90" s="5" t="s">
        <v>4</v>
      </c>
      <c r="O90" s="6"/>
    </row>
    <row r="91" spans="1:15" ht="16" x14ac:dyDescent="0.2">
      <c r="A91" s="4">
        <v>45813</v>
      </c>
      <c r="B91" s="19">
        <v>25156</v>
      </c>
      <c r="C91" s="5" t="s">
        <v>35</v>
      </c>
      <c r="D91" s="5">
        <v>7</v>
      </c>
      <c r="E91" s="5" t="s">
        <v>2</v>
      </c>
      <c r="F91" s="5">
        <v>2</v>
      </c>
      <c r="G91" s="5">
        <v>28</v>
      </c>
      <c r="H91" s="5" t="s">
        <v>3</v>
      </c>
      <c r="I91" s="5">
        <v>0.8</v>
      </c>
      <c r="J91" s="5">
        <v>38.700000000000003</v>
      </c>
      <c r="K91" s="5">
        <v>8.5</v>
      </c>
      <c r="L91" s="5">
        <v>4.3499999999999996</v>
      </c>
      <c r="M91" s="5" t="s">
        <v>4</v>
      </c>
      <c r="N91" s="5" t="s">
        <v>4</v>
      </c>
      <c r="O91" s="5" t="s">
        <v>36</v>
      </c>
    </row>
    <row r="92" spans="1:15" ht="16" x14ac:dyDescent="0.2">
      <c r="A92" s="4">
        <v>45813</v>
      </c>
      <c r="B92" s="19">
        <v>25156</v>
      </c>
      <c r="C92" s="5" t="s">
        <v>35</v>
      </c>
      <c r="D92" s="5">
        <v>8</v>
      </c>
      <c r="E92" s="5" t="s">
        <v>2</v>
      </c>
      <c r="F92" s="5">
        <v>2</v>
      </c>
      <c r="G92" s="5">
        <v>10.8</v>
      </c>
      <c r="H92" s="5" t="s">
        <v>6</v>
      </c>
      <c r="I92" s="5">
        <v>0.4</v>
      </c>
      <c r="J92" s="5">
        <v>29.15</v>
      </c>
      <c r="K92" s="5">
        <v>7.2</v>
      </c>
      <c r="L92" s="5">
        <v>3.95</v>
      </c>
      <c r="M92" s="5" t="s">
        <v>4</v>
      </c>
      <c r="N92" s="5" t="s">
        <v>4</v>
      </c>
      <c r="O92" s="6"/>
    </row>
    <row r="93" spans="1:15" ht="16" x14ac:dyDescent="0.2">
      <c r="A93" s="4">
        <v>45817</v>
      </c>
      <c r="B93" s="19">
        <v>25160</v>
      </c>
      <c r="C93" s="5" t="s">
        <v>37</v>
      </c>
      <c r="D93" s="25">
        <v>1</v>
      </c>
      <c r="E93" s="5" t="s">
        <v>2</v>
      </c>
      <c r="F93" s="5">
        <v>2</v>
      </c>
      <c r="G93" s="5">
        <v>4</v>
      </c>
      <c r="H93" s="5" t="s">
        <v>3</v>
      </c>
      <c r="I93" s="5">
        <v>1.05</v>
      </c>
      <c r="J93" s="5">
        <v>37.299999999999997</v>
      </c>
      <c r="K93" s="5">
        <v>9.25</v>
      </c>
      <c r="L93" s="5">
        <v>4.8</v>
      </c>
      <c r="M93" s="5" t="s">
        <v>4</v>
      </c>
      <c r="N93" s="5" t="s">
        <v>4</v>
      </c>
      <c r="O93" s="6"/>
    </row>
    <row r="94" spans="1:15" ht="16" x14ac:dyDescent="0.2">
      <c r="A94" s="4">
        <v>45817</v>
      </c>
      <c r="B94" s="19">
        <v>25160</v>
      </c>
      <c r="C94" s="5" t="s">
        <v>37</v>
      </c>
      <c r="D94" s="5">
        <v>2</v>
      </c>
      <c r="E94" s="5" t="s">
        <v>2</v>
      </c>
      <c r="F94" s="5">
        <v>2</v>
      </c>
      <c r="G94" s="5">
        <v>4</v>
      </c>
      <c r="H94" s="5" t="s">
        <v>3</v>
      </c>
      <c r="I94" s="5">
        <v>0.75</v>
      </c>
      <c r="J94" s="5">
        <v>34</v>
      </c>
      <c r="K94" s="5">
        <v>8.8000000000000007</v>
      </c>
      <c r="L94" s="5">
        <v>4</v>
      </c>
      <c r="M94" s="5" t="s">
        <v>4</v>
      </c>
      <c r="N94" s="5" t="s">
        <v>4</v>
      </c>
      <c r="O94" s="6"/>
    </row>
    <row r="95" spans="1:15" ht="16" x14ac:dyDescent="0.2">
      <c r="A95" s="4">
        <v>45817</v>
      </c>
      <c r="B95" s="19">
        <v>25160</v>
      </c>
      <c r="C95" s="5" t="s">
        <v>37</v>
      </c>
      <c r="D95" s="25">
        <v>3</v>
      </c>
      <c r="E95" s="5" t="s">
        <v>2</v>
      </c>
      <c r="F95" s="5">
        <v>2</v>
      </c>
      <c r="G95" s="5">
        <v>21.5</v>
      </c>
      <c r="H95" s="5" t="s">
        <v>5</v>
      </c>
      <c r="I95" s="5">
        <v>1.1000000000000001</v>
      </c>
      <c r="J95" s="5">
        <v>40.5</v>
      </c>
      <c r="K95" s="5">
        <v>10</v>
      </c>
      <c r="L95" s="5">
        <v>5</v>
      </c>
      <c r="M95" s="5" t="s">
        <v>4</v>
      </c>
      <c r="N95" s="5" t="s">
        <v>4</v>
      </c>
      <c r="O95" s="6"/>
    </row>
    <row r="96" spans="1:15" ht="16" x14ac:dyDescent="0.2">
      <c r="A96" s="4">
        <v>45818</v>
      </c>
      <c r="B96" s="19">
        <v>25161</v>
      </c>
      <c r="C96" s="5" t="s">
        <v>38</v>
      </c>
      <c r="D96" s="5">
        <v>1</v>
      </c>
      <c r="E96" s="5" t="s">
        <v>2</v>
      </c>
      <c r="F96" s="5">
        <v>3</v>
      </c>
      <c r="G96" s="5">
        <v>17.5</v>
      </c>
      <c r="H96" s="5" t="s">
        <v>3</v>
      </c>
      <c r="I96" s="5">
        <v>0.9</v>
      </c>
      <c r="J96" s="5">
        <v>35.5</v>
      </c>
      <c r="K96" s="5">
        <v>8.5</v>
      </c>
      <c r="L96" s="5">
        <v>4.45</v>
      </c>
      <c r="M96" s="5" t="s">
        <v>4</v>
      </c>
      <c r="N96" s="5" t="s">
        <v>4</v>
      </c>
      <c r="O96" s="6"/>
    </row>
    <row r="97" spans="1:15" ht="16" x14ac:dyDescent="0.2">
      <c r="A97" s="4">
        <v>45859</v>
      </c>
      <c r="B97" s="19">
        <v>25202</v>
      </c>
      <c r="C97" s="5" t="s">
        <v>1</v>
      </c>
      <c r="D97" s="5">
        <v>27</v>
      </c>
      <c r="E97" s="5" t="s">
        <v>2</v>
      </c>
      <c r="F97" s="5">
        <v>3</v>
      </c>
      <c r="G97" s="5">
        <v>22.6</v>
      </c>
      <c r="H97" s="5" t="s">
        <v>6</v>
      </c>
      <c r="I97" s="5">
        <v>0.35</v>
      </c>
      <c r="J97" s="5">
        <v>26.75</v>
      </c>
      <c r="K97" s="5" t="s">
        <v>8</v>
      </c>
      <c r="L97" s="5" t="s">
        <v>8</v>
      </c>
      <c r="M97" s="5" t="s">
        <v>4</v>
      </c>
      <c r="N97" s="5" t="s">
        <v>9</v>
      </c>
      <c r="O97" s="6"/>
    </row>
    <row r="98" spans="1:15" ht="16" x14ac:dyDescent="0.2">
      <c r="A98" s="4">
        <v>45860</v>
      </c>
      <c r="B98" s="19">
        <v>25203</v>
      </c>
      <c r="C98" s="5" t="s">
        <v>13</v>
      </c>
      <c r="D98" s="5">
        <v>13</v>
      </c>
      <c r="E98" s="5" t="s">
        <v>2</v>
      </c>
      <c r="F98" s="5">
        <v>1</v>
      </c>
      <c r="G98" s="5">
        <v>3.66</v>
      </c>
      <c r="H98" s="5" t="s">
        <v>3</v>
      </c>
      <c r="I98" s="5">
        <v>0.75</v>
      </c>
      <c r="J98" s="5">
        <v>34.6</v>
      </c>
      <c r="K98" s="5">
        <v>8.75</v>
      </c>
      <c r="L98" s="5">
        <v>5.35</v>
      </c>
      <c r="M98" s="5" t="s">
        <v>4</v>
      </c>
      <c r="N98" s="5" t="s">
        <v>9</v>
      </c>
      <c r="O98" s="6"/>
    </row>
    <row r="99" spans="1:15" ht="16" x14ac:dyDescent="0.2">
      <c r="A99" s="4">
        <v>45860</v>
      </c>
      <c r="B99" s="19">
        <v>25203</v>
      </c>
      <c r="C99" s="5" t="s">
        <v>13</v>
      </c>
      <c r="D99" s="5">
        <v>14</v>
      </c>
      <c r="E99" s="5" t="s">
        <v>2</v>
      </c>
      <c r="F99" s="5">
        <v>1</v>
      </c>
      <c r="G99" s="5">
        <v>5.6</v>
      </c>
      <c r="H99" s="5" t="s">
        <v>6</v>
      </c>
      <c r="I99" s="5">
        <v>0.35</v>
      </c>
      <c r="J99" s="5">
        <v>25.3</v>
      </c>
      <c r="K99" s="5" t="s">
        <v>8</v>
      </c>
      <c r="L99" s="5" t="s">
        <v>8</v>
      </c>
      <c r="M99" s="5" t="s">
        <v>4</v>
      </c>
      <c r="N99" s="5" t="s">
        <v>9</v>
      </c>
      <c r="O99" s="6"/>
    </row>
    <row r="100" spans="1:15" ht="16" x14ac:dyDescent="0.2">
      <c r="A100" s="4">
        <v>45860</v>
      </c>
      <c r="B100" s="19">
        <v>25203</v>
      </c>
      <c r="C100" s="5" t="s">
        <v>13</v>
      </c>
      <c r="D100" s="5">
        <v>15</v>
      </c>
      <c r="E100" s="5" t="s">
        <v>2</v>
      </c>
      <c r="F100" s="5">
        <v>1</v>
      </c>
      <c r="G100" s="5">
        <v>15.4</v>
      </c>
      <c r="H100" s="5" t="s">
        <v>6</v>
      </c>
      <c r="I100" s="5">
        <v>0.25</v>
      </c>
      <c r="J100" s="5">
        <v>23</v>
      </c>
      <c r="K100" s="5" t="s">
        <v>8</v>
      </c>
      <c r="L100" s="5" t="s">
        <v>8</v>
      </c>
      <c r="M100" s="5" t="s">
        <v>4</v>
      </c>
      <c r="N100" s="5" t="s">
        <v>9</v>
      </c>
      <c r="O100" s="6"/>
    </row>
    <row r="101" spans="1:15" ht="16" x14ac:dyDescent="0.2">
      <c r="A101" s="4">
        <v>45860</v>
      </c>
      <c r="B101" s="19">
        <v>25203</v>
      </c>
      <c r="C101" s="5" t="s">
        <v>13</v>
      </c>
      <c r="D101" s="5">
        <v>16</v>
      </c>
      <c r="E101" s="5" t="s">
        <v>2</v>
      </c>
      <c r="F101" s="5">
        <v>1</v>
      </c>
      <c r="G101" s="5">
        <v>12.12</v>
      </c>
      <c r="H101" s="5" t="s">
        <v>3</v>
      </c>
      <c r="I101" s="5">
        <v>1.35</v>
      </c>
      <c r="J101" s="5">
        <v>43.35</v>
      </c>
      <c r="K101" s="5">
        <v>10.050000000000001</v>
      </c>
      <c r="L101" s="5">
        <v>6</v>
      </c>
      <c r="M101" s="5" t="s">
        <v>4</v>
      </c>
      <c r="N101" s="5" t="s">
        <v>4</v>
      </c>
      <c r="O101" s="6"/>
    </row>
    <row r="102" spans="1:15" ht="16" x14ac:dyDescent="0.2">
      <c r="A102" s="4">
        <v>45860</v>
      </c>
      <c r="B102" s="19">
        <v>25203</v>
      </c>
      <c r="C102" s="5" t="s">
        <v>13</v>
      </c>
      <c r="D102" s="5">
        <v>17</v>
      </c>
      <c r="E102" s="5" t="s">
        <v>2</v>
      </c>
      <c r="F102" s="5">
        <v>1</v>
      </c>
      <c r="G102" s="5">
        <v>16.899999999999999</v>
      </c>
      <c r="H102" s="5" t="s">
        <v>6</v>
      </c>
      <c r="I102" s="5">
        <v>0.4</v>
      </c>
      <c r="J102" s="5">
        <v>25.9</v>
      </c>
      <c r="K102" s="5" t="s">
        <v>8</v>
      </c>
      <c r="L102" s="5" t="s">
        <v>8</v>
      </c>
      <c r="M102" s="5" t="s">
        <v>4</v>
      </c>
      <c r="N102" s="5" t="s">
        <v>9</v>
      </c>
      <c r="O102" s="6"/>
    </row>
    <row r="103" spans="1:15" ht="16" x14ac:dyDescent="0.2">
      <c r="A103" s="4">
        <v>45860</v>
      </c>
      <c r="B103" s="19">
        <v>25203</v>
      </c>
      <c r="C103" s="5" t="s">
        <v>13</v>
      </c>
      <c r="D103" s="5">
        <v>18</v>
      </c>
      <c r="E103" s="5" t="s">
        <v>2</v>
      </c>
      <c r="F103" s="5">
        <v>1</v>
      </c>
      <c r="G103" s="5">
        <v>30</v>
      </c>
      <c r="H103" s="5" t="s">
        <v>3</v>
      </c>
      <c r="I103" s="5">
        <v>1.25</v>
      </c>
      <c r="J103" s="5">
        <v>41.3</v>
      </c>
      <c r="K103" s="5">
        <v>9.8000000000000007</v>
      </c>
      <c r="L103" s="5">
        <v>5.7</v>
      </c>
      <c r="M103" s="5" t="s">
        <v>4</v>
      </c>
      <c r="N103" s="5" t="s">
        <v>4</v>
      </c>
      <c r="O103" s="6"/>
    </row>
    <row r="104" spans="1:15" ht="16" x14ac:dyDescent="0.2">
      <c r="A104" s="4">
        <v>45860</v>
      </c>
      <c r="B104" s="19">
        <v>25203</v>
      </c>
      <c r="C104" s="5" t="s">
        <v>13</v>
      </c>
      <c r="D104" s="25">
        <v>19</v>
      </c>
      <c r="E104" s="5" t="s">
        <v>2</v>
      </c>
      <c r="F104" s="5">
        <v>2</v>
      </c>
      <c r="G104" s="5">
        <v>0.7</v>
      </c>
      <c r="H104" s="5" t="s">
        <v>3</v>
      </c>
      <c r="I104" s="5">
        <v>1</v>
      </c>
      <c r="J104" s="5">
        <v>39.049999999999997</v>
      </c>
      <c r="K104" s="5">
        <v>9.1</v>
      </c>
      <c r="L104" s="5">
        <v>5.3</v>
      </c>
      <c r="M104" s="5" t="s">
        <v>4</v>
      </c>
      <c r="N104" s="5" t="s">
        <v>4</v>
      </c>
      <c r="O104" s="6"/>
    </row>
    <row r="105" spans="1:15" ht="16" x14ac:dyDescent="0.2">
      <c r="A105" s="4">
        <v>45860</v>
      </c>
      <c r="B105" s="19">
        <v>25203</v>
      </c>
      <c r="C105" s="5" t="s">
        <v>13</v>
      </c>
      <c r="D105" s="5">
        <v>20</v>
      </c>
      <c r="E105" s="5" t="s">
        <v>2</v>
      </c>
      <c r="F105" s="5">
        <v>2</v>
      </c>
      <c r="G105" s="5">
        <v>16.8</v>
      </c>
      <c r="H105" s="5" t="s">
        <v>3</v>
      </c>
      <c r="I105" s="5">
        <v>0.4</v>
      </c>
      <c r="J105" s="5">
        <v>29.25</v>
      </c>
      <c r="K105" s="5">
        <v>7.35</v>
      </c>
      <c r="L105" s="5">
        <v>4.3</v>
      </c>
      <c r="M105" s="5" t="s">
        <v>4</v>
      </c>
      <c r="N105" s="5" t="s">
        <v>4</v>
      </c>
      <c r="O105" s="6"/>
    </row>
    <row r="106" spans="1:15" ht="16" x14ac:dyDescent="0.2">
      <c r="A106" s="4">
        <v>45860</v>
      </c>
      <c r="B106" s="19">
        <v>25203</v>
      </c>
      <c r="C106" s="5" t="s">
        <v>13</v>
      </c>
      <c r="D106" s="5">
        <v>21</v>
      </c>
      <c r="E106" s="5" t="s">
        <v>2</v>
      </c>
      <c r="F106" s="5">
        <v>3</v>
      </c>
      <c r="G106" s="5">
        <v>9.15</v>
      </c>
      <c r="H106" s="5" t="s">
        <v>5</v>
      </c>
      <c r="I106" s="5">
        <v>0.4</v>
      </c>
      <c r="J106" s="5">
        <v>29.2</v>
      </c>
      <c r="K106" s="5">
        <v>7.7</v>
      </c>
      <c r="L106" s="5">
        <v>4.5</v>
      </c>
      <c r="M106" s="5" t="s">
        <v>4</v>
      </c>
      <c r="N106" s="5" t="s">
        <v>4</v>
      </c>
      <c r="O106" s="5" t="s">
        <v>39</v>
      </c>
    </row>
    <row r="107" spans="1:15" ht="16" x14ac:dyDescent="0.2">
      <c r="A107" s="4">
        <v>45860</v>
      </c>
      <c r="B107" s="19">
        <v>25203</v>
      </c>
      <c r="C107" s="5" t="s">
        <v>13</v>
      </c>
      <c r="D107" s="5">
        <v>22</v>
      </c>
      <c r="E107" s="5" t="s">
        <v>2</v>
      </c>
      <c r="F107" s="5">
        <v>3</v>
      </c>
      <c r="G107" s="5">
        <v>19</v>
      </c>
      <c r="H107" s="5" t="s">
        <v>5</v>
      </c>
      <c r="I107" s="5">
        <v>0.9</v>
      </c>
      <c r="J107" s="5">
        <v>36</v>
      </c>
      <c r="K107" s="5">
        <v>9.1</v>
      </c>
      <c r="L107" s="5">
        <v>5.4</v>
      </c>
      <c r="M107" s="5" t="s">
        <v>4</v>
      </c>
      <c r="N107" s="5" t="s">
        <v>4</v>
      </c>
      <c r="O107" s="6"/>
    </row>
    <row r="108" spans="1:15" ht="16" x14ac:dyDescent="0.2">
      <c r="A108" s="4">
        <v>45860</v>
      </c>
      <c r="B108" s="19">
        <v>25203</v>
      </c>
      <c r="C108" s="5" t="s">
        <v>13</v>
      </c>
      <c r="D108" s="25">
        <v>23</v>
      </c>
      <c r="E108" s="5" t="s">
        <v>2</v>
      </c>
      <c r="F108" s="5">
        <v>3</v>
      </c>
      <c r="G108" s="5">
        <v>29</v>
      </c>
      <c r="H108" s="5" t="s">
        <v>5</v>
      </c>
      <c r="I108" s="5">
        <v>0.7</v>
      </c>
      <c r="J108" s="5">
        <v>37.15</v>
      </c>
      <c r="K108" s="5">
        <v>8.65</v>
      </c>
      <c r="L108" s="5">
        <v>4.95</v>
      </c>
      <c r="M108" s="5" t="s">
        <v>4</v>
      </c>
      <c r="N108" s="5" t="s">
        <v>4</v>
      </c>
      <c r="O108" s="6"/>
    </row>
    <row r="109" spans="1:15" ht="16" x14ac:dyDescent="0.2">
      <c r="A109" s="4">
        <v>45861</v>
      </c>
      <c r="B109" s="19">
        <v>25204</v>
      </c>
      <c r="C109" s="5" t="s">
        <v>40</v>
      </c>
      <c r="D109" s="5">
        <v>25</v>
      </c>
      <c r="E109" s="5" t="s">
        <v>2</v>
      </c>
      <c r="F109" s="5">
        <v>1</v>
      </c>
      <c r="G109" s="5">
        <v>23.5</v>
      </c>
      <c r="H109" s="5" t="s">
        <v>3</v>
      </c>
      <c r="I109" s="5">
        <v>0.3</v>
      </c>
      <c r="J109" s="5">
        <v>27.15</v>
      </c>
      <c r="K109" s="5" t="s">
        <v>8</v>
      </c>
      <c r="L109" s="5" t="s">
        <v>8</v>
      </c>
      <c r="M109" s="5" t="s">
        <v>4</v>
      </c>
      <c r="N109" s="5" t="s">
        <v>9</v>
      </c>
      <c r="O109" s="6"/>
    </row>
    <row r="110" spans="1:15" ht="16" x14ac:dyDescent="0.2">
      <c r="A110" s="4">
        <v>45861</v>
      </c>
      <c r="B110" s="19">
        <v>25204</v>
      </c>
      <c r="C110" s="5" t="s">
        <v>40</v>
      </c>
      <c r="D110" s="25">
        <v>26</v>
      </c>
      <c r="E110" s="5" t="s">
        <v>2</v>
      </c>
      <c r="F110" s="5">
        <v>1</v>
      </c>
      <c r="G110" s="5">
        <v>23.5</v>
      </c>
      <c r="H110" s="5" t="s">
        <v>3</v>
      </c>
      <c r="I110" s="5">
        <v>0.65</v>
      </c>
      <c r="J110" s="5">
        <v>36.75</v>
      </c>
      <c r="K110" s="5">
        <v>8.3000000000000007</v>
      </c>
      <c r="L110" s="5">
        <v>5.0999999999999996</v>
      </c>
      <c r="M110" s="5" t="s">
        <v>4</v>
      </c>
      <c r="N110" s="5" t="s">
        <v>4</v>
      </c>
      <c r="O110" s="6"/>
    </row>
    <row r="111" spans="1:15" ht="16" x14ac:dyDescent="0.2">
      <c r="A111" s="4">
        <v>45861</v>
      </c>
      <c r="B111" s="19">
        <v>25204</v>
      </c>
      <c r="C111" s="5" t="s">
        <v>40</v>
      </c>
      <c r="D111" s="28">
        <v>27</v>
      </c>
      <c r="E111" s="5" t="s">
        <v>2</v>
      </c>
      <c r="F111" s="5">
        <v>2</v>
      </c>
      <c r="G111" s="5" t="s">
        <v>14</v>
      </c>
      <c r="H111" s="5" t="s">
        <v>6</v>
      </c>
      <c r="I111" s="5">
        <v>0.25</v>
      </c>
      <c r="J111" s="5">
        <v>27.3</v>
      </c>
      <c r="K111" s="5" t="s">
        <v>8</v>
      </c>
      <c r="L111" s="5" t="s">
        <v>8</v>
      </c>
      <c r="M111" s="5" t="s">
        <v>4</v>
      </c>
      <c r="N111" s="5" t="s">
        <v>9</v>
      </c>
      <c r="O111" s="5" t="s">
        <v>41</v>
      </c>
    </row>
    <row r="112" spans="1:15" ht="16" x14ac:dyDescent="0.2">
      <c r="A112" s="4">
        <v>45861</v>
      </c>
      <c r="B112" s="19">
        <v>25204</v>
      </c>
      <c r="C112" s="5" t="s">
        <v>40</v>
      </c>
      <c r="D112" s="5">
        <v>28</v>
      </c>
      <c r="E112" s="5" t="s">
        <v>2</v>
      </c>
      <c r="F112" s="5">
        <v>3</v>
      </c>
      <c r="G112" s="5">
        <v>1</v>
      </c>
      <c r="H112" s="5" t="s">
        <v>3</v>
      </c>
      <c r="I112" s="5">
        <v>0.75</v>
      </c>
      <c r="J112" s="5">
        <v>36.9</v>
      </c>
      <c r="K112" s="5">
        <v>8.6</v>
      </c>
      <c r="L112" s="5">
        <v>5.0999999999999996</v>
      </c>
      <c r="M112" s="5" t="s">
        <v>4</v>
      </c>
      <c r="N112" s="5" t="s">
        <v>4</v>
      </c>
      <c r="O112" s="6"/>
    </row>
    <row r="113" spans="1:15" ht="16" x14ac:dyDescent="0.2">
      <c r="A113" s="4">
        <v>45861</v>
      </c>
      <c r="B113" s="19">
        <v>25204</v>
      </c>
      <c r="C113" s="5" t="s">
        <v>40</v>
      </c>
      <c r="D113" s="5">
        <v>29</v>
      </c>
      <c r="E113" s="5" t="s">
        <v>2</v>
      </c>
      <c r="F113" s="5">
        <v>3</v>
      </c>
      <c r="G113" s="5">
        <v>15</v>
      </c>
      <c r="H113" s="5" t="s">
        <v>3</v>
      </c>
      <c r="I113" s="5">
        <v>0.25</v>
      </c>
      <c r="J113" s="5">
        <v>28.9</v>
      </c>
      <c r="K113" s="5">
        <v>7.6</v>
      </c>
      <c r="L113" s="5">
        <v>4.2</v>
      </c>
      <c r="M113" s="5" t="s">
        <v>4</v>
      </c>
      <c r="N113" s="5" t="s">
        <v>4</v>
      </c>
      <c r="O113" s="6"/>
    </row>
    <row r="114" spans="1:15" ht="16" x14ac:dyDescent="0.2">
      <c r="A114" s="4">
        <v>45861</v>
      </c>
      <c r="B114" s="19">
        <v>25204</v>
      </c>
      <c r="C114" s="5" t="s">
        <v>40</v>
      </c>
      <c r="D114" s="5">
        <v>30</v>
      </c>
      <c r="E114" s="5" t="s">
        <v>2</v>
      </c>
      <c r="F114" s="5">
        <v>3</v>
      </c>
      <c r="G114" s="5">
        <v>27.98</v>
      </c>
      <c r="H114" s="5" t="s">
        <v>5</v>
      </c>
      <c r="I114" s="5">
        <v>0.65</v>
      </c>
      <c r="J114" s="5">
        <v>34</v>
      </c>
      <c r="K114" s="5">
        <v>8.6999999999999993</v>
      </c>
      <c r="L114" s="5">
        <v>4.5999999999999996</v>
      </c>
      <c r="M114" s="5" t="s">
        <v>4</v>
      </c>
      <c r="N114" s="5" t="s">
        <v>4</v>
      </c>
      <c r="O114" s="6"/>
    </row>
    <row r="115" spans="1:15" ht="16" x14ac:dyDescent="0.2">
      <c r="A115" s="4">
        <v>45861</v>
      </c>
      <c r="B115" s="19">
        <v>25204</v>
      </c>
      <c r="C115" s="5" t="s">
        <v>40</v>
      </c>
      <c r="D115" s="5">
        <v>31</v>
      </c>
      <c r="E115" s="5" t="s">
        <v>2</v>
      </c>
      <c r="F115" s="5">
        <v>3</v>
      </c>
      <c r="G115" s="5">
        <v>24.9</v>
      </c>
      <c r="H115" s="5" t="s">
        <v>3</v>
      </c>
      <c r="I115" s="5">
        <v>0.45</v>
      </c>
      <c r="J115" s="5">
        <v>33.6</v>
      </c>
      <c r="K115" s="5">
        <v>8</v>
      </c>
      <c r="L115" s="5">
        <v>4.5999999999999996</v>
      </c>
      <c r="M115" s="5" t="s">
        <v>4</v>
      </c>
      <c r="N115" s="5" t="s">
        <v>4</v>
      </c>
      <c r="O115" s="6"/>
    </row>
    <row r="116" spans="1:15" ht="16" x14ac:dyDescent="0.2">
      <c r="A116" s="4">
        <v>45866</v>
      </c>
      <c r="B116" s="19">
        <v>25209</v>
      </c>
      <c r="C116" s="5" t="s">
        <v>42</v>
      </c>
      <c r="D116" s="5">
        <v>23</v>
      </c>
      <c r="E116" s="5" t="s">
        <v>2</v>
      </c>
      <c r="F116" s="5">
        <v>1</v>
      </c>
      <c r="G116" s="5">
        <v>25.78</v>
      </c>
      <c r="H116" s="5" t="s">
        <v>6</v>
      </c>
      <c r="I116" s="5">
        <v>0.25</v>
      </c>
      <c r="J116" s="5">
        <v>24.5</v>
      </c>
      <c r="K116" s="5" t="s">
        <v>8</v>
      </c>
      <c r="L116" s="5" t="s">
        <v>8</v>
      </c>
      <c r="M116" s="5" t="s">
        <v>4</v>
      </c>
      <c r="N116" s="5" t="s">
        <v>9</v>
      </c>
      <c r="O116" s="6"/>
    </row>
    <row r="117" spans="1:15" ht="16" x14ac:dyDescent="0.2">
      <c r="A117" s="4">
        <v>45866</v>
      </c>
      <c r="B117" s="19">
        <v>25209</v>
      </c>
      <c r="C117" s="5" t="s">
        <v>42</v>
      </c>
      <c r="D117" s="5">
        <v>24</v>
      </c>
      <c r="E117" s="5" t="s">
        <v>2</v>
      </c>
      <c r="F117" s="5">
        <v>1</v>
      </c>
      <c r="G117" s="5">
        <v>5.8</v>
      </c>
      <c r="H117" s="5" t="s">
        <v>6</v>
      </c>
      <c r="I117" s="5">
        <v>0.25</v>
      </c>
      <c r="J117" s="5">
        <v>24.05</v>
      </c>
      <c r="K117" s="5" t="s">
        <v>8</v>
      </c>
      <c r="L117" s="5" t="s">
        <v>8</v>
      </c>
      <c r="M117" s="5" t="s">
        <v>4</v>
      </c>
      <c r="N117" s="5" t="s">
        <v>9</v>
      </c>
      <c r="O117" s="6"/>
    </row>
    <row r="118" spans="1:15" ht="16" x14ac:dyDescent="0.2">
      <c r="A118" s="4">
        <v>45866</v>
      </c>
      <c r="B118" s="19">
        <v>25209</v>
      </c>
      <c r="C118" s="5" t="s">
        <v>42</v>
      </c>
      <c r="D118" s="5">
        <v>25</v>
      </c>
      <c r="E118" s="5" t="s">
        <v>2</v>
      </c>
      <c r="F118" s="5">
        <v>1</v>
      </c>
      <c r="G118" s="5">
        <v>7.2</v>
      </c>
      <c r="H118" s="5" t="s">
        <v>3</v>
      </c>
      <c r="I118" s="5">
        <v>0.9</v>
      </c>
      <c r="J118" s="5">
        <v>39.5</v>
      </c>
      <c r="K118" s="5">
        <v>9.6</v>
      </c>
      <c r="L118" s="5">
        <v>5.4</v>
      </c>
      <c r="M118" s="5" t="s">
        <v>4</v>
      </c>
      <c r="N118" s="5" t="s">
        <v>4</v>
      </c>
      <c r="O118" s="6"/>
    </row>
    <row r="119" spans="1:15" ht="16" x14ac:dyDescent="0.2">
      <c r="A119" s="4">
        <v>45866</v>
      </c>
      <c r="B119" s="19">
        <v>25209</v>
      </c>
      <c r="C119" s="5" t="s">
        <v>42</v>
      </c>
      <c r="D119" s="5">
        <v>26</v>
      </c>
      <c r="E119" s="5" t="s">
        <v>12</v>
      </c>
      <c r="F119" s="5">
        <v>1</v>
      </c>
      <c r="G119" s="5">
        <v>18.36</v>
      </c>
      <c r="H119" s="5" t="s">
        <v>6</v>
      </c>
      <c r="I119" s="5">
        <v>0.25</v>
      </c>
      <c r="J119" s="5">
        <v>23.9</v>
      </c>
      <c r="K119" s="5" t="s">
        <v>8</v>
      </c>
      <c r="L119" s="5" t="s">
        <v>8</v>
      </c>
      <c r="M119" s="5" t="s">
        <v>4</v>
      </c>
      <c r="N119" s="5" t="s">
        <v>9</v>
      </c>
      <c r="O119" s="6"/>
    </row>
    <row r="120" spans="1:15" ht="16" x14ac:dyDescent="0.2">
      <c r="A120" s="4">
        <v>45866</v>
      </c>
      <c r="B120" s="19">
        <v>25209</v>
      </c>
      <c r="C120" s="5" t="s">
        <v>42</v>
      </c>
      <c r="D120" s="5">
        <v>27</v>
      </c>
      <c r="E120" s="5" t="s">
        <v>2</v>
      </c>
      <c r="F120" s="5">
        <v>1</v>
      </c>
      <c r="G120" s="5">
        <v>22.6</v>
      </c>
      <c r="H120" s="5" t="s">
        <v>5</v>
      </c>
      <c r="I120" s="5">
        <v>0.45</v>
      </c>
      <c r="J120" s="5">
        <v>29.25</v>
      </c>
      <c r="K120" s="5">
        <v>8.15</v>
      </c>
      <c r="L120" s="5">
        <v>4.5999999999999996</v>
      </c>
      <c r="M120" s="5" t="s">
        <v>4</v>
      </c>
      <c r="N120" s="5" t="s">
        <v>4</v>
      </c>
      <c r="O120" s="6"/>
    </row>
    <row r="121" spans="1:15" ht="16" x14ac:dyDescent="0.2">
      <c r="A121" s="4">
        <v>45866</v>
      </c>
      <c r="B121" s="19">
        <v>25209</v>
      </c>
      <c r="C121" s="5" t="s">
        <v>42</v>
      </c>
      <c r="D121" s="25">
        <v>28</v>
      </c>
      <c r="E121" s="5" t="s">
        <v>2</v>
      </c>
      <c r="F121" s="5">
        <v>1</v>
      </c>
      <c r="G121" s="5">
        <v>25.3</v>
      </c>
      <c r="H121" s="5" t="s">
        <v>6</v>
      </c>
      <c r="I121" s="5">
        <v>0.2</v>
      </c>
      <c r="J121" s="5">
        <v>23.15</v>
      </c>
      <c r="K121" s="5" t="s">
        <v>8</v>
      </c>
      <c r="L121" s="5" t="s">
        <v>8</v>
      </c>
      <c r="M121" s="5" t="s">
        <v>4</v>
      </c>
      <c r="N121" s="5" t="s">
        <v>9</v>
      </c>
      <c r="O121" s="6"/>
    </row>
    <row r="122" spans="1:15" ht="16" x14ac:dyDescent="0.2">
      <c r="A122" s="4">
        <v>45866</v>
      </c>
      <c r="B122" s="19">
        <v>25209</v>
      </c>
      <c r="C122" s="5" t="s">
        <v>42</v>
      </c>
      <c r="D122" s="5">
        <v>29</v>
      </c>
      <c r="E122" s="5" t="s">
        <v>2</v>
      </c>
      <c r="F122" s="5">
        <v>1</v>
      </c>
      <c r="G122" s="5">
        <v>29</v>
      </c>
      <c r="H122" s="5" t="s">
        <v>6</v>
      </c>
      <c r="I122" s="5">
        <v>0.2</v>
      </c>
      <c r="J122" s="5">
        <v>24.1</v>
      </c>
      <c r="K122" s="5" t="s">
        <v>8</v>
      </c>
      <c r="L122" s="5" t="s">
        <v>8</v>
      </c>
      <c r="M122" s="5" t="s">
        <v>4</v>
      </c>
      <c r="N122" s="5" t="s">
        <v>9</v>
      </c>
      <c r="O122" s="6"/>
    </row>
    <row r="123" spans="1:15" ht="16" x14ac:dyDescent="0.2">
      <c r="A123" s="4">
        <v>45866</v>
      </c>
      <c r="B123" s="19">
        <v>25209</v>
      </c>
      <c r="C123" s="5" t="s">
        <v>42</v>
      </c>
      <c r="D123" s="5">
        <v>30</v>
      </c>
      <c r="E123" s="5" t="s">
        <v>2</v>
      </c>
      <c r="F123" s="5">
        <v>2</v>
      </c>
      <c r="G123" s="5">
        <v>2</v>
      </c>
      <c r="H123" s="5" t="s">
        <v>5</v>
      </c>
      <c r="I123" s="5">
        <v>0.95</v>
      </c>
      <c r="J123" s="5">
        <v>40.15</v>
      </c>
      <c r="K123" s="5">
        <v>9.6999999999999993</v>
      </c>
      <c r="L123" s="5">
        <v>5.8</v>
      </c>
      <c r="M123" s="5" t="s">
        <v>4</v>
      </c>
      <c r="N123" s="5" t="s">
        <v>4</v>
      </c>
      <c r="O123" s="6"/>
    </row>
    <row r="124" spans="1:15" ht="16" x14ac:dyDescent="0.2">
      <c r="A124" s="4">
        <v>45866</v>
      </c>
      <c r="B124" s="19">
        <v>25209</v>
      </c>
      <c r="C124" s="5" t="s">
        <v>42</v>
      </c>
      <c r="D124" s="5">
        <v>31</v>
      </c>
      <c r="E124" s="5" t="s">
        <v>2</v>
      </c>
      <c r="F124" s="5">
        <v>2</v>
      </c>
      <c r="G124" s="5">
        <v>8</v>
      </c>
      <c r="H124" s="5" t="s">
        <v>3</v>
      </c>
      <c r="I124" s="5">
        <v>0.3</v>
      </c>
      <c r="J124" s="5">
        <v>30.6</v>
      </c>
      <c r="K124" s="5">
        <v>7.9</v>
      </c>
      <c r="L124" s="5">
        <v>4.4000000000000004</v>
      </c>
      <c r="M124" s="5" t="s">
        <v>4</v>
      </c>
      <c r="N124" s="5" t="s">
        <v>4</v>
      </c>
      <c r="O124" s="6"/>
    </row>
    <row r="125" spans="1:15" ht="16" x14ac:dyDescent="0.2">
      <c r="A125" s="4">
        <v>45866</v>
      </c>
      <c r="B125" s="19">
        <v>25209</v>
      </c>
      <c r="C125" s="5" t="s">
        <v>42</v>
      </c>
      <c r="D125" s="5">
        <v>32</v>
      </c>
      <c r="E125" s="5" t="s">
        <v>12</v>
      </c>
      <c r="F125" s="5">
        <v>2</v>
      </c>
      <c r="G125" s="5">
        <v>15.43</v>
      </c>
      <c r="H125" s="5" t="s">
        <v>6</v>
      </c>
      <c r="I125" s="5">
        <v>0.3</v>
      </c>
      <c r="J125" s="5">
        <v>26.85</v>
      </c>
      <c r="K125" s="5" t="s">
        <v>8</v>
      </c>
      <c r="L125" s="5" t="s">
        <v>8</v>
      </c>
      <c r="M125" s="5" t="s">
        <v>4</v>
      </c>
      <c r="N125" s="5" t="s">
        <v>9</v>
      </c>
      <c r="O125" s="6"/>
    </row>
    <row r="126" spans="1:15" ht="16" x14ac:dyDescent="0.2">
      <c r="A126" s="4">
        <v>45866</v>
      </c>
      <c r="B126" s="19">
        <v>25209</v>
      </c>
      <c r="C126" s="5" t="s">
        <v>42</v>
      </c>
      <c r="D126" s="5">
        <v>33</v>
      </c>
      <c r="E126" s="5" t="s">
        <v>2</v>
      </c>
      <c r="F126" s="5">
        <v>2</v>
      </c>
      <c r="G126" s="5">
        <v>12.2</v>
      </c>
      <c r="H126" s="5" t="s">
        <v>3</v>
      </c>
      <c r="I126" s="5">
        <v>0.45</v>
      </c>
      <c r="J126" s="5">
        <v>31.2</v>
      </c>
      <c r="K126" s="5">
        <v>8</v>
      </c>
      <c r="L126" s="5">
        <v>4.55</v>
      </c>
      <c r="M126" s="5" t="s">
        <v>4</v>
      </c>
      <c r="N126" s="5" t="s">
        <v>4</v>
      </c>
      <c r="O126" s="6"/>
    </row>
    <row r="127" spans="1:15" ht="16" x14ac:dyDescent="0.2">
      <c r="A127" s="4">
        <v>45866</v>
      </c>
      <c r="B127" s="19">
        <v>25209</v>
      </c>
      <c r="C127" s="5" t="s">
        <v>42</v>
      </c>
      <c r="D127" s="5">
        <v>34</v>
      </c>
      <c r="E127" s="5" t="s">
        <v>2</v>
      </c>
      <c r="F127" s="5">
        <v>2</v>
      </c>
      <c r="G127" s="5">
        <v>14.66</v>
      </c>
      <c r="H127" s="5" t="s">
        <v>5</v>
      </c>
      <c r="I127" s="5">
        <v>0.75</v>
      </c>
      <c r="J127" s="5">
        <v>36.6</v>
      </c>
      <c r="K127" s="5">
        <v>9.75</v>
      </c>
      <c r="L127" s="5">
        <v>5.45</v>
      </c>
      <c r="M127" s="5" t="s">
        <v>4</v>
      </c>
      <c r="N127" s="5" t="s">
        <v>4</v>
      </c>
      <c r="O127" s="6"/>
    </row>
    <row r="128" spans="1:15" ht="16" x14ac:dyDescent="0.2">
      <c r="A128" s="4">
        <v>45866</v>
      </c>
      <c r="B128" s="19">
        <v>25209</v>
      </c>
      <c r="C128" s="5" t="s">
        <v>42</v>
      </c>
      <c r="D128" s="5">
        <v>35</v>
      </c>
      <c r="E128" s="5" t="s">
        <v>2</v>
      </c>
      <c r="F128" s="5">
        <v>2</v>
      </c>
      <c r="G128" s="5">
        <v>19.64</v>
      </c>
      <c r="H128" s="5" t="s">
        <v>6</v>
      </c>
      <c r="I128" s="5">
        <v>0.25</v>
      </c>
      <c r="J128" s="5">
        <v>26.85</v>
      </c>
      <c r="K128" s="5" t="s">
        <v>8</v>
      </c>
      <c r="L128" s="5" t="s">
        <v>8</v>
      </c>
      <c r="M128" s="5" t="s">
        <v>4</v>
      </c>
      <c r="N128" s="5" t="s">
        <v>9</v>
      </c>
      <c r="O128" s="6"/>
    </row>
    <row r="129" spans="1:15" ht="16" x14ac:dyDescent="0.2">
      <c r="A129" s="4">
        <v>45866</v>
      </c>
      <c r="B129" s="19">
        <v>25209</v>
      </c>
      <c r="C129" s="5" t="s">
        <v>42</v>
      </c>
      <c r="D129" s="5">
        <v>36</v>
      </c>
      <c r="E129" s="5" t="s">
        <v>2</v>
      </c>
      <c r="F129" s="5">
        <v>2</v>
      </c>
      <c r="G129" s="5">
        <v>20.14</v>
      </c>
      <c r="H129" s="5" t="s">
        <v>3</v>
      </c>
      <c r="I129" s="5">
        <v>0.35</v>
      </c>
      <c r="J129" s="5">
        <v>31.3</v>
      </c>
      <c r="K129" s="5">
        <v>8</v>
      </c>
      <c r="L129" s="5">
        <v>4.9000000000000004</v>
      </c>
      <c r="M129" s="5" t="s">
        <v>4</v>
      </c>
      <c r="N129" s="5" t="s">
        <v>4</v>
      </c>
      <c r="O129" s="5" t="s">
        <v>43</v>
      </c>
    </row>
    <row r="130" spans="1:15" ht="16" x14ac:dyDescent="0.2">
      <c r="A130" s="4">
        <v>45866</v>
      </c>
      <c r="B130" s="19">
        <v>25209</v>
      </c>
      <c r="C130" s="5" t="s">
        <v>42</v>
      </c>
      <c r="D130" s="5">
        <v>37</v>
      </c>
      <c r="E130" s="5" t="s">
        <v>2</v>
      </c>
      <c r="F130" s="5">
        <v>2</v>
      </c>
      <c r="G130" s="5">
        <v>20.14</v>
      </c>
      <c r="H130" s="5" t="s">
        <v>3</v>
      </c>
      <c r="I130" s="5">
        <v>0.5</v>
      </c>
      <c r="J130" s="5">
        <v>30.45</v>
      </c>
      <c r="K130" s="5">
        <v>7.85</v>
      </c>
      <c r="L130" s="5">
        <v>4.1500000000000004</v>
      </c>
      <c r="M130" s="5" t="s">
        <v>4</v>
      </c>
      <c r="N130" s="5" t="s">
        <v>4</v>
      </c>
      <c r="O130" s="6"/>
    </row>
    <row r="131" spans="1:15" ht="16" x14ac:dyDescent="0.2">
      <c r="A131" s="4">
        <v>45866</v>
      </c>
      <c r="B131" s="19">
        <v>25209</v>
      </c>
      <c r="C131" s="5" t="s">
        <v>42</v>
      </c>
      <c r="D131" s="25">
        <v>38</v>
      </c>
      <c r="E131" s="5" t="s">
        <v>2</v>
      </c>
      <c r="F131" s="5">
        <v>2</v>
      </c>
      <c r="G131" s="5">
        <v>30</v>
      </c>
      <c r="H131" s="5" t="s">
        <v>3</v>
      </c>
      <c r="I131" s="5">
        <v>0.55000000000000004</v>
      </c>
      <c r="J131" s="5">
        <v>33</v>
      </c>
      <c r="K131" s="5">
        <v>8.1999999999999993</v>
      </c>
      <c r="L131" s="5">
        <v>4.5999999999999996</v>
      </c>
      <c r="M131" s="5" t="s">
        <v>4</v>
      </c>
      <c r="N131" s="5" t="s">
        <v>4</v>
      </c>
      <c r="O131" s="6"/>
    </row>
    <row r="132" spans="1:15" ht="16" x14ac:dyDescent="0.2">
      <c r="A132" s="4">
        <v>45866</v>
      </c>
      <c r="B132" s="19">
        <v>25209</v>
      </c>
      <c r="C132" s="5" t="s">
        <v>42</v>
      </c>
      <c r="D132" s="5">
        <v>39</v>
      </c>
      <c r="E132" s="5" t="s">
        <v>2</v>
      </c>
      <c r="F132" s="5">
        <v>2</v>
      </c>
      <c r="G132" s="5">
        <v>28.69</v>
      </c>
      <c r="H132" s="5" t="s">
        <v>6</v>
      </c>
      <c r="I132" s="5">
        <v>0.3</v>
      </c>
      <c r="J132" s="5">
        <v>26.1</v>
      </c>
      <c r="K132" s="5" t="s">
        <v>8</v>
      </c>
      <c r="L132" s="5" t="s">
        <v>8</v>
      </c>
      <c r="M132" s="5" t="s">
        <v>4</v>
      </c>
      <c r="N132" s="5" t="s">
        <v>9</v>
      </c>
      <c r="O132" s="6"/>
    </row>
    <row r="133" spans="1:15" ht="16" x14ac:dyDescent="0.2">
      <c r="A133" s="4">
        <v>45866</v>
      </c>
      <c r="B133" s="19">
        <v>25209</v>
      </c>
      <c r="C133" s="5" t="s">
        <v>42</v>
      </c>
      <c r="D133" s="5">
        <v>40</v>
      </c>
      <c r="E133" s="5" t="s">
        <v>2</v>
      </c>
      <c r="F133" s="5">
        <v>3</v>
      </c>
      <c r="G133" s="5">
        <v>1</v>
      </c>
      <c r="H133" s="5" t="s">
        <v>5</v>
      </c>
      <c r="I133" s="5">
        <v>0.75</v>
      </c>
      <c r="J133" s="5">
        <v>34.450000000000003</v>
      </c>
      <c r="K133" s="5">
        <v>8.4499999999999993</v>
      </c>
      <c r="L133" s="5">
        <v>4.8</v>
      </c>
      <c r="M133" s="5" t="s">
        <v>4</v>
      </c>
      <c r="N133" s="5" t="s">
        <v>4</v>
      </c>
      <c r="O133" s="6"/>
    </row>
    <row r="134" spans="1:15" ht="16" x14ac:dyDescent="0.2">
      <c r="A134" s="4">
        <v>45866</v>
      </c>
      <c r="B134" s="19">
        <v>25209</v>
      </c>
      <c r="C134" s="5" t="s">
        <v>42</v>
      </c>
      <c r="D134" s="5">
        <v>41</v>
      </c>
      <c r="E134" s="5" t="s">
        <v>2</v>
      </c>
      <c r="F134" s="5">
        <v>3</v>
      </c>
      <c r="G134" s="5">
        <v>30</v>
      </c>
      <c r="H134" s="5" t="s">
        <v>6</v>
      </c>
      <c r="I134" s="5">
        <v>0.2</v>
      </c>
      <c r="J134" s="5">
        <v>23.35</v>
      </c>
      <c r="K134" s="5" t="s">
        <v>8</v>
      </c>
      <c r="L134" s="5" t="s">
        <v>8</v>
      </c>
      <c r="M134" s="5" t="s">
        <v>4</v>
      </c>
      <c r="N134" s="5" t="s">
        <v>9</v>
      </c>
      <c r="O134" s="6"/>
    </row>
    <row r="135" spans="1:15" ht="16" x14ac:dyDescent="0.2">
      <c r="A135" s="4">
        <v>45866</v>
      </c>
      <c r="B135" s="19">
        <v>25209</v>
      </c>
      <c r="C135" s="5" t="s">
        <v>42</v>
      </c>
      <c r="D135" s="5">
        <v>42</v>
      </c>
      <c r="E135" s="5" t="s">
        <v>2</v>
      </c>
      <c r="F135" s="5">
        <v>3</v>
      </c>
      <c r="G135" s="5">
        <v>0</v>
      </c>
      <c r="H135" s="5" t="s">
        <v>5</v>
      </c>
      <c r="I135" s="5">
        <v>0.65</v>
      </c>
      <c r="J135" s="5">
        <v>35.4</v>
      </c>
      <c r="K135" s="5">
        <v>8.9499999999999993</v>
      </c>
      <c r="L135" s="5">
        <v>4.95</v>
      </c>
      <c r="M135" s="5" t="s">
        <v>4</v>
      </c>
      <c r="N135" s="5" t="s">
        <v>4</v>
      </c>
      <c r="O135" s="6"/>
    </row>
    <row r="136" spans="1:15" ht="16" x14ac:dyDescent="0.2">
      <c r="A136" s="4">
        <v>45866</v>
      </c>
      <c r="B136" s="19">
        <v>25209</v>
      </c>
      <c r="C136" s="5" t="s">
        <v>42</v>
      </c>
      <c r="D136" s="5">
        <v>43</v>
      </c>
      <c r="E136" s="5" t="s">
        <v>2</v>
      </c>
      <c r="F136" s="5">
        <v>3</v>
      </c>
      <c r="G136" s="5">
        <v>13.5</v>
      </c>
      <c r="H136" s="5" t="s">
        <v>3</v>
      </c>
      <c r="I136" s="5">
        <v>0.8</v>
      </c>
      <c r="J136" s="5">
        <v>36.9</v>
      </c>
      <c r="K136" s="5">
        <v>8.5</v>
      </c>
      <c r="L136" s="5">
        <v>5.25</v>
      </c>
      <c r="M136" s="5" t="s">
        <v>4</v>
      </c>
      <c r="N136" s="5" t="s">
        <v>4</v>
      </c>
      <c r="O136" s="6"/>
    </row>
    <row r="137" spans="1:15" ht="16" x14ac:dyDescent="0.2">
      <c r="A137" s="4">
        <v>45866</v>
      </c>
      <c r="B137" s="19">
        <v>25209</v>
      </c>
      <c r="C137" s="5" t="s">
        <v>42</v>
      </c>
      <c r="D137" s="5">
        <v>44</v>
      </c>
      <c r="E137" s="5" t="s">
        <v>2</v>
      </c>
      <c r="F137" s="5">
        <v>3</v>
      </c>
      <c r="G137" s="5">
        <v>28</v>
      </c>
      <c r="H137" s="5" t="s">
        <v>3</v>
      </c>
      <c r="I137" s="5">
        <v>0.7</v>
      </c>
      <c r="J137" s="5">
        <v>35.4</v>
      </c>
      <c r="K137" s="5">
        <v>8.6999999999999993</v>
      </c>
      <c r="L137" s="5">
        <v>5</v>
      </c>
      <c r="M137" s="5" t="s">
        <v>4</v>
      </c>
      <c r="N137" s="5" t="s">
        <v>4</v>
      </c>
      <c r="O137" s="6"/>
    </row>
    <row r="138" spans="1:15" ht="16" x14ac:dyDescent="0.2">
      <c r="A138" s="4">
        <v>45867</v>
      </c>
      <c r="B138" s="19">
        <v>25210</v>
      </c>
      <c r="C138" s="5" t="s">
        <v>20</v>
      </c>
      <c r="D138" s="5">
        <v>25</v>
      </c>
      <c r="E138" s="5" t="s">
        <v>2</v>
      </c>
      <c r="F138" s="5">
        <v>1</v>
      </c>
      <c r="G138" s="5">
        <v>4.87</v>
      </c>
      <c r="H138" s="5" t="s">
        <v>6</v>
      </c>
      <c r="I138" s="5">
        <v>0.45</v>
      </c>
      <c r="J138" s="5">
        <v>28.6</v>
      </c>
      <c r="K138" s="5">
        <v>7.7</v>
      </c>
      <c r="L138" s="5">
        <v>3.8</v>
      </c>
      <c r="M138" s="5" t="s">
        <v>4</v>
      </c>
      <c r="N138" s="5" t="s">
        <v>4</v>
      </c>
      <c r="O138" s="6"/>
    </row>
    <row r="139" spans="1:15" ht="16" x14ac:dyDescent="0.2">
      <c r="A139" s="4">
        <v>45867</v>
      </c>
      <c r="B139" s="19">
        <v>25210</v>
      </c>
      <c r="C139" s="5" t="s">
        <v>20</v>
      </c>
      <c r="D139" s="5">
        <v>26</v>
      </c>
      <c r="E139" s="5" t="s">
        <v>2</v>
      </c>
      <c r="F139" s="5">
        <v>1</v>
      </c>
      <c r="G139" s="5">
        <v>23.77</v>
      </c>
      <c r="H139" s="5" t="s">
        <v>3</v>
      </c>
      <c r="I139" s="5">
        <v>0.55000000000000004</v>
      </c>
      <c r="J139" s="5">
        <v>31.4</v>
      </c>
      <c r="K139" s="5">
        <v>8.0500000000000007</v>
      </c>
      <c r="L139" s="5">
        <v>4.2</v>
      </c>
      <c r="M139" s="5" t="s">
        <v>4</v>
      </c>
      <c r="N139" s="5" t="s">
        <v>4</v>
      </c>
      <c r="O139" s="6"/>
    </row>
    <row r="140" spans="1:15" ht="16" x14ac:dyDescent="0.2">
      <c r="A140" s="4">
        <v>45867</v>
      </c>
      <c r="B140" s="19">
        <v>25210</v>
      </c>
      <c r="C140" s="5" t="s">
        <v>20</v>
      </c>
      <c r="D140" s="5">
        <v>27</v>
      </c>
      <c r="E140" s="5" t="s">
        <v>2</v>
      </c>
      <c r="F140" s="5">
        <v>1</v>
      </c>
      <c r="G140" s="5">
        <v>17.7</v>
      </c>
      <c r="H140" s="5" t="s">
        <v>6</v>
      </c>
      <c r="I140" s="5">
        <v>0.35</v>
      </c>
      <c r="J140" s="5">
        <v>27.7</v>
      </c>
      <c r="K140" s="5" t="s">
        <v>8</v>
      </c>
      <c r="L140" s="5" t="s">
        <v>8</v>
      </c>
      <c r="M140" s="5" t="s">
        <v>4</v>
      </c>
      <c r="N140" s="5" t="s">
        <v>9</v>
      </c>
      <c r="O140" s="6"/>
    </row>
    <row r="141" spans="1:15" ht="16" x14ac:dyDescent="0.2">
      <c r="A141" s="4">
        <v>45867</v>
      </c>
      <c r="B141" s="19">
        <v>25210</v>
      </c>
      <c r="C141" s="5" t="s">
        <v>20</v>
      </c>
      <c r="D141" s="5">
        <v>28</v>
      </c>
      <c r="E141" s="5" t="s">
        <v>2</v>
      </c>
      <c r="F141" s="5">
        <v>1</v>
      </c>
      <c r="G141" s="5">
        <v>26.6</v>
      </c>
      <c r="H141" s="5" t="s">
        <v>6</v>
      </c>
      <c r="I141" s="5">
        <v>0.35</v>
      </c>
      <c r="J141" s="5">
        <v>26.3</v>
      </c>
      <c r="K141" s="5" t="s">
        <v>8</v>
      </c>
      <c r="L141" s="5" t="s">
        <v>8</v>
      </c>
      <c r="M141" s="5" t="s">
        <v>4</v>
      </c>
      <c r="N141" s="5" t="s">
        <v>9</v>
      </c>
      <c r="O141" s="6"/>
    </row>
    <row r="142" spans="1:15" ht="16" x14ac:dyDescent="0.2">
      <c r="A142" s="4">
        <v>45867</v>
      </c>
      <c r="B142" s="19">
        <v>25210</v>
      </c>
      <c r="C142" s="5" t="s">
        <v>20</v>
      </c>
      <c r="D142" s="5">
        <v>29</v>
      </c>
      <c r="E142" s="5" t="s">
        <v>2</v>
      </c>
      <c r="F142" s="5">
        <v>2</v>
      </c>
      <c r="G142" s="5">
        <v>1.7</v>
      </c>
      <c r="H142" s="5" t="s">
        <v>6</v>
      </c>
      <c r="I142" s="5">
        <v>0.25</v>
      </c>
      <c r="J142" s="5">
        <v>22.7</v>
      </c>
      <c r="K142" s="5" t="s">
        <v>8</v>
      </c>
      <c r="L142" s="5" t="s">
        <v>8</v>
      </c>
      <c r="M142" s="5" t="s">
        <v>4</v>
      </c>
      <c r="N142" s="5" t="s">
        <v>9</v>
      </c>
      <c r="O142" s="6"/>
    </row>
    <row r="143" spans="1:15" ht="16" x14ac:dyDescent="0.2">
      <c r="A143" s="4">
        <v>45867</v>
      </c>
      <c r="B143" s="19">
        <v>25210</v>
      </c>
      <c r="C143" s="5" t="s">
        <v>20</v>
      </c>
      <c r="D143" s="5">
        <v>30</v>
      </c>
      <c r="E143" s="5" t="s">
        <v>2</v>
      </c>
      <c r="F143" s="5">
        <v>2</v>
      </c>
      <c r="G143" s="5">
        <v>1.7</v>
      </c>
      <c r="H143" s="5" t="s">
        <v>3</v>
      </c>
      <c r="I143" s="5">
        <v>0.55000000000000004</v>
      </c>
      <c r="J143" s="5">
        <v>29.6</v>
      </c>
      <c r="K143" s="5">
        <v>8</v>
      </c>
      <c r="L143" s="5">
        <v>4.0999999999999996</v>
      </c>
      <c r="M143" s="5" t="s">
        <v>4</v>
      </c>
      <c r="N143" s="5" t="s">
        <v>4</v>
      </c>
      <c r="O143" s="6"/>
    </row>
    <row r="144" spans="1:15" ht="16" x14ac:dyDescent="0.2">
      <c r="A144" s="4">
        <v>45867</v>
      </c>
      <c r="B144" s="19">
        <v>25210</v>
      </c>
      <c r="C144" s="5" t="s">
        <v>20</v>
      </c>
      <c r="D144" s="5">
        <v>31</v>
      </c>
      <c r="E144" s="5" t="s">
        <v>2</v>
      </c>
      <c r="F144" s="5">
        <v>2</v>
      </c>
      <c r="G144" s="5">
        <v>15</v>
      </c>
      <c r="H144" s="5" t="s">
        <v>3</v>
      </c>
      <c r="I144" s="5">
        <v>0.4</v>
      </c>
      <c r="J144" s="5">
        <v>29.8</v>
      </c>
      <c r="K144" s="5">
        <v>7.4</v>
      </c>
      <c r="L144" s="5">
        <v>3.85</v>
      </c>
      <c r="M144" s="5" t="s">
        <v>4</v>
      </c>
      <c r="N144" s="5" t="s">
        <v>4</v>
      </c>
      <c r="O144" s="6"/>
    </row>
    <row r="145" spans="1:17" ht="16" x14ac:dyDescent="0.2">
      <c r="A145" s="4">
        <v>45867</v>
      </c>
      <c r="B145" s="19">
        <v>25210</v>
      </c>
      <c r="C145" s="5" t="s">
        <v>20</v>
      </c>
      <c r="D145" s="25">
        <v>32</v>
      </c>
      <c r="E145" s="5" t="s">
        <v>2</v>
      </c>
      <c r="F145" s="5">
        <v>2</v>
      </c>
      <c r="G145" s="5">
        <v>19.7</v>
      </c>
      <c r="H145" s="5" t="s">
        <v>3</v>
      </c>
      <c r="I145" s="5">
        <v>0.9</v>
      </c>
      <c r="J145" s="5">
        <v>36.950000000000003</v>
      </c>
      <c r="K145" s="5" t="s">
        <v>8</v>
      </c>
      <c r="L145" s="5" t="s">
        <v>8</v>
      </c>
      <c r="M145" s="5" t="s">
        <v>4</v>
      </c>
      <c r="N145" s="5" t="s">
        <v>4</v>
      </c>
      <c r="O145" s="5" t="s">
        <v>44</v>
      </c>
    </row>
    <row r="146" spans="1:17" ht="16" x14ac:dyDescent="0.2">
      <c r="A146" s="4">
        <v>45867</v>
      </c>
      <c r="B146" s="19">
        <v>25210</v>
      </c>
      <c r="C146" s="5" t="s">
        <v>20</v>
      </c>
      <c r="D146" s="5">
        <v>33</v>
      </c>
      <c r="E146" s="5" t="s">
        <v>2</v>
      </c>
      <c r="F146" s="5">
        <v>2</v>
      </c>
      <c r="G146" s="5">
        <v>19.7</v>
      </c>
      <c r="H146" s="5" t="s">
        <v>3</v>
      </c>
      <c r="I146" s="5">
        <v>0.95</v>
      </c>
      <c r="J146" s="5">
        <v>34.6</v>
      </c>
      <c r="K146" s="5">
        <v>8.4499999999999993</v>
      </c>
      <c r="L146" s="5">
        <v>4.45</v>
      </c>
      <c r="M146" s="5" t="s">
        <v>4</v>
      </c>
      <c r="N146" s="5" t="s">
        <v>4</v>
      </c>
      <c r="O146" s="6"/>
    </row>
    <row r="147" spans="1:17" ht="16" x14ac:dyDescent="0.2">
      <c r="A147" s="4">
        <v>45867</v>
      </c>
      <c r="B147" s="19">
        <v>25210</v>
      </c>
      <c r="C147" s="5" t="s">
        <v>20</v>
      </c>
      <c r="D147" s="5">
        <v>34</v>
      </c>
      <c r="E147" s="5" t="s">
        <v>2</v>
      </c>
      <c r="F147" s="5">
        <v>2</v>
      </c>
      <c r="G147" s="5">
        <v>11</v>
      </c>
      <c r="H147" s="5" t="s">
        <v>5</v>
      </c>
      <c r="I147" s="5">
        <v>1</v>
      </c>
      <c r="J147" s="5">
        <v>36.4</v>
      </c>
      <c r="K147" s="5">
        <v>9</v>
      </c>
      <c r="L147" s="5">
        <v>5</v>
      </c>
      <c r="M147" s="5" t="s">
        <v>4</v>
      </c>
      <c r="N147" s="5" t="s">
        <v>4</v>
      </c>
      <c r="O147" s="6"/>
    </row>
    <row r="148" spans="1:17" ht="16" x14ac:dyDescent="0.2">
      <c r="A148" s="4">
        <v>45867</v>
      </c>
      <c r="B148" s="19">
        <v>25210</v>
      </c>
      <c r="C148" s="5" t="s">
        <v>20</v>
      </c>
      <c r="D148" s="5">
        <v>35</v>
      </c>
      <c r="E148" s="5" t="s">
        <v>2</v>
      </c>
      <c r="F148" s="5">
        <v>2</v>
      </c>
      <c r="G148" s="5">
        <v>24.8</v>
      </c>
      <c r="H148" s="5" t="s">
        <v>3</v>
      </c>
      <c r="I148" s="5">
        <v>0.5</v>
      </c>
      <c r="J148" s="5">
        <v>30.2</v>
      </c>
      <c r="K148" s="5">
        <v>7.4</v>
      </c>
      <c r="L148" s="5">
        <v>4.3</v>
      </c>
      <c r="M148" s="5" t="s">
        <v>4</v>
      </c>
      <c r="N148" s="5" t="s">
        <v>4</v>
      </c>
      <c r="O148" s="13"/>
      <c r="P148" s="13"/>
      <c r="Q148" s="13"/>
    </row>
    <row r="149" spans="1:17" ht="16" x14ac:dyDescent="0.2">
      <c r="A149" s="4">
        <v>45867</v>
      </c>
      <c r="B149" s="19">
        <v>25210</v>
      </c>
      <c r="C149" s="5" t="s">
        <v>20</v>
      </c>
      <c r="D149" s="25">
        <v>36</v>
      </c>
      <c r="E149" s="5" t="s">
        <v>2</v>
      </c>
      <c r="F149" s="5">
        <v>2</v>
      </c>
      <c r="G149" s="5">
        <v>24.8</v>
      </c>
      <c r="H149" s="5" t="s">
        <v>3</v>
      </c>
      <c r="I149" s="5">
        <v>0.3</v>
      </c>
      <c r="J149" s="5" t="s">
        <v>8</v>
      </c>
      <c r="K149" s="5" t="s">
        <v>8</v>
      </c>
      <c r="L149" s="5" t="s">
        <v>8</v>
      </c>
      <c r="M149" s="5" t="s">
        <v>4</v>
      </c>
      <c r="N149" s="5" t="s">
        <v>9</v>
      </c>
      <c r="O149" s="6" t="s">
        <v>45</v>
      </c>
      <c r="P149" s="6"/>
      <c r="Q149" s="6"/>
    </row>
    <row r="150" spans="1:17" ht="16" x14ac:dyDescent="0.2">
      <c r="A150" s="4">
        <v>45867</v>
      </c>
      <c r="B150" s="19">
        <v>25210</v>
      </c>
      <c r="C150" s="5" t="s">
        <v>20</v>
      </c>
      <c r="D150" s="25">
        <v>37</v>
      </c>
      <c r="E150" s="5" t="s">
        <v>2</v>
      </c>
      <c r="F150" s="5">
        <v>2</v>
      </c>
      <c r="G150" s="5">
        <v>12.4</v>
      </c>
      <c r="H150" s="5" t="s">
        <v>3</v>
      </c>
      <c r="I150" s="5">
        <v>0.5</v>
      </c>
      <c r="J150" s="5">
        <v>30.9</v>
      </c>
      <c r="K150" s="5">
        <v>7.2</v>
      </c>
      <c r="L150" s="5">
        <v>4.0999999999999996</v>
      </c>
      <c r="M150" s="5" t="s">
        <v>4</v>
      </c>
      <c r="N150" s="5" t="s">
        <v>4</v>
      </c>
      <c r="O150" s="13"/>
      <c r="P150" s="13"/>
      <c r="Q150" s="13"/>
    </row>
    <row r="151" spans="1:17" ht="16" x14ac:dyDescent="0.2">
      <c r="A151" s="4">
        <v>45867</v>
      </c>
      <c r="B151" s="19">
        <v>25210</v>
      </c>
      <c r="C151" s="5" t="s">
        <v>20</v>
      </c>
      <c r="D151" s="5">
        <v>38</v>
      </c>
      <c r="E151" s="5" t="s">
        <v>2</v>
      </c>
      <c r="F151" s="5">
        <v>2</v>
      </c>
      <c r="G151" s="5">
        <v>30</v>
      </c>
      <c r="H151" s="5" t="s">
        <v>6</v>
      </c>
      <c r="I151" s="5">
        <v>0.35</v>
      </c>
      <c r="J151" s="5">
        <v>25.75</v>
      </c>
      <c r="K151" s="5" t="s">
        <v>8</v>
      </c>
      <c r="L151" s="5" t="s">
        <v>8</v>
      </c>
      <c r="M151" s="5" t="s">
        <v>4</v>
      </c>
      <c r="N151" s="5" t="s">
        <v>9</v>
      </c>
      <c r="O151" s="13"/>
      <c r="P151" s="13"/>
      <c r="Q151" s="13"/>
    </row>
    <row r="152" spans="1:17" ht="16" x14ac:dyDescent="0.2">
      <c r="A152" s="4">
        <v>45867</v>
      </c>
      <c r="B152" s="19">
        <v>25210</v>
      </c>
      <c r="C152" s="5" t="s">
        <v>20</v>
      </c>
      <c r="D152" s="5">
        <v>39</v>
      </c>
      <c r="E152" s="5" t="s">
        <v>2</v>
      </c>
      <c r="F152" s="5">
        <v>3</v>
      </c>
      <c r="G152" s="5">
        <v>2</v>
      </c>
      <c r="H152" s="5" t="s">
        <v>6</v>
      </c>
      <c r="I152" s="5">
        <v>0.25</v>
      </c>
      <c r="J152" s="5">
        <v>25.5</v>
      </c>
      <c r="K152" s="5" t="s">
        <v>8</v>
      </c>
      <c r="L152" s="5" t="s">
        <v>8</v>
      </c>
      <c r="M152" s="5" t="s">
        <v>4</v>
      </c>
      <c r="N152" s="5" t="s">
        <v>9</v>
      </c>
      <c r="O152" s="6"/>
    </row>
    <row r="153" spans="1:17" ht="16" x14ac:dyDescent="0.2">
      <c r="A153" s="4">
        <v>45867</v>
      </c>
      <c r="B153" s="19">
        <v>25210</v>
      </c>
      <c r="C153" s="5" t="s">
        <v>20</v>
      </c>
      <c r="D153" s="5">
        <v>40</v>
      </c>
      <c r="E153" s="5" t="s">
        <v>2</v>
      </c>
      <c r="F153" s="5">
        <v>3</v>
      </c>
      <c r="G153" s="5">
        <v>3.9</v>
      </c>
      <c r="H153" s="5" t="s">
        <v>3</v>
      </c>
      <c r="I153" s="5">
        <v>1.05</v>
      </c>
      <c r="J153" s="5">
        <v>36.200000000000003</v>
      </c>
      <c r="K153" s="5">
        <v>8.9499999999999993</v>
      </c>
      <c r="L153" s="5">
        <v>5.35</v>
      </c>
      <c r="M153" s="5" t="s">
        <v>4</v>
      </c>
      <c r="N153" s="5" t="s">
        <v>4</v>
      </c>
      <c r="O153" s="6"/>
    </row>
    <row r="154" spans="1:17" ht="16" x14ac:dyDescent="0.2">
      <c r="A154" s="4">
        <v>45867</v>
      </c>
      <c r="B154" s="19">
        <v>25210</v>
      </c>
      <c r="C154" s="5" t="s">
        <v>20</v>
      </c>
      <c r="D154" s="5">
        <v>41</v>
      </c>
      <c r="E154" s="5" t="s">
        <v>2</v>
      </c>
      <c r="F154" s="5">
        <v>3</v>
      </c>
      <c r="G154" s="5">
        <v>9.1999999999999993</v>
      </c>
      <c r="H154" s="5" t="s">
        <v>3</v>
      </c>
      <c r="I154" s="5">
        <v>0.35</v>
      </c>
      <c r="J154" s="5">
        <v>28.9</v>
      </c>
      <c r="K154" s="5">
        <v>7.7</v>
      </c>
      <c r="L154" s="5">
        <v>4.05</v>
      </c>
      <c r="M154" s="5" t="s">
        <v>4</v>
      </c>
      <c r="N154" s="5" t="s">
        <v>4</v>
      </c>
      <c r="O154" s="6"/>
    </row>
    <row r="155" spans="1:17" ht="16" x14ac:dyDescent="0.2">
      <c r="A155" s="4">
        <v>45867</v>
      </c>
      <c r="B155" s="19">
        <v>25210</v>
      </c>
      <c r="C155" s="5" t="s">
        <v>20</v>
      </c>
      <c r="D155" s="25">
        <v>42</v>
      </c>
      <c r="E155" s="5" t="s">
        <v>2</v>
      </c>
      <c r="F155" s="5">
        <v>3</v>
      </c>
      <c r="G155" s="5">
        <v>24.3</v>
      </c>
      <c r="H155" s="5" t="s">
        <v>3</v>
      </c>
      <c r="I155" s="5">
        <v>1.1000000000000001</v>
      </c>
      <c r="J155" s="5">
        <v>37.35</v>
      </c>
      <c r="K155" s="5">
        <v>8.8000000000000007</v>
      </c>
      <c r="L155" s="5">
        <v>5.05</v>
      </c>
      <c r="M155" s="5" t="s">
        <v>4</v>
      </c>
      <c r="N155" s="5" t="s">
        <v>4</v>
      </c>
      <c r="O155" s="6"/>
    </row>
    <row r="156" spans="1:17" ht="16" x14ac:dyDescent="0.2">
      <c r="A156" s="4">
        <v>45874</v>
      </c>
      <c r="B156" s="19">
        <v>25217</v>
      </c>
      <c r="C156" s="5" t="s">
        <v>46</v>
      </c>
      <c r="D156" s="5">
        <v>4</v>
      </c>
      <c r="E156" s="5" t="s">
        <v>2</v>
      </c>
      <c r="F156" s="5">
        <v>1</v>
      </c>
      <c r="G156" s="5">
        <v>30.2</v>
      </c>
      <c r="H156" s="5" t="s">
        <v>5</v>
      </c>
      <c r="I156" s="5">
        <v>1.1000000000000001</v>
      </c>
      <c r="J156" s="5">
        <v>39.6</v>
      </c>
      <c r="K156" s="5">
        <v>9.75</v>
      </c>
      <c r="L156" s="5">
        <v>5.9</v>
      </c>
      <c r="M156" s="5" t="s">
        <v>4</v>
      </c>
      <c r="N156" s="5" t="s">
        <v>4</v>
      </c>
      <c r="O156" s="6"/>
    </row>
    <row r="157" spans="1:17" ht="16" x14ac:dyDescent="0.2">
      <c r="A157" s="4">
        <v>45874</v>
      </c>
      <c r="B157" s="19">
        <v>25217</v>
      </c>
      <c r="C157" s="5" t="s">
        <v>46</v>
      </c>
      <c r="D157" s="5">
        <v>5</v>
      </c>
      <c r="E157" s="5" t="s">
        <v>2</v>
      </c>
      <c r="F157" s="5">
        <v>1</v>
      </c>
      <c r="G157" s="5">
        <v>5.0999999999999996</v>
      </c>
      <c r="H157" s="5" t="s">
        <v>6</v>
      </c>
      <c r="I157" s="5">
        <v>0.35</v>
      </c>
      <c r="J157" s="5">
        <v>24.55</v>
      </c>
      <c r="K157" s="5" t="s">
        <v>8</v>
      </c>
      <c r="L157" s="5" t="s">
        <v>8</v>
      </c>
      <c r="M157" s="5" t="s">
        <v>4</v>
      </c>
      <c r="N157" s="5" t="s">
        <v>9</v>
      </c>
      <c r="O157" s="6"/>
    </row>
    <row r="158" spans="1:17" ht="16" x14ac:dyDescent="0.2">
      <c r="A158" s="4">
        <v>45874</v>
      </c>
      <c r="B158" s="19">
        <v>25217</v>
      </c>
      <c r="C158" s="5" t="s">
        <v>46</v>
      </c>
      <c r="D158" s="5">
        <v>6</v>
      </c>
      <c r="E158" s="5" t="s">
        <v>2</v>
      </c>
      <c r="F158" s="5">
        <v>1</v>
      </c>
      <c r="G158" s="5">
        <v>23.14</v>
      </c>
      <c r="H158" s="5" t="s">
        <v>6</v>
      </c>
      <c r="I158" s="5">
        <v>0.2</v>
      </c>
      <c r="J158" s="5">
        <v>22.7</v>
      </c>
      <c r="K158" s="5" t="s">
        <v>8</v>
      </c>
      <c r="L158" s="5" t="s">
        <v>8</v>
      </c>
      <c r="M158" s="5" t="s">
        <v>4</v>
      </c>
      <c r="N158" s="5" t="s">
        <v>9</v>
      </c>
      <c r="O158" s="6"/>
    </row>
    <row r="159" spans="1:17" ht="16" x14ac:dyDescent="0.2">
      <c r="A159" s="4">
        <v>45874</v>
      </c>
      <c r="B159" s="19">
        <v>25217</v>
      </c>
      <c r="C159" s="5" t="s">
        <v>46</v>
      </c>
      <c r="D159" s="5">
        <v>7</v>
      </c>
      <c r="E159" s="5" t="s">
        <v>2</v>
      </c>
      <c r="F159" s="5">
        <v>1</v>
      </c>
      <c r="G159" s="5">
        <v>30</v>
      </c>
      <c r="H159" s="5" t="s">
        <v>3</v>
      </c>
      <c r="I159" s="5">
        <v>0.6</v>
      </c>
      <c r="J159" s="5">
        <v>35.5</v>
      </c>
      <c r="K159" s="5">
        <v>7.75</v>
      </c>
      <c r="L159" s="5">
        <v>4.95</v>
      </c>
      <c r="M159" s="5" t="s">
        <v>4</v>
      </c>
      <c r="N159" s="5" t="s">
        <v>4</v>
      </c>
      <c r="O159" s="6"/>
    </row>
    <row r="160" spans="1:17" ht="16" x14ac:dyDescent="0.2">
      <c r="A160" s="4">
        <v>45874</v>
      </c>
      <c r="B160" s="19">
        <v>25217</v>
      </c>
      <c r="C160" s="5" t="s">
        <v>46</v>
      </c>
      <c r="D160" s="5">
        <v>8</v>
      </c>
      <c r="E160" s="5" t="s">
        <v>2</v>
      </c>
      <c r="F160" s="5">
        <v>2</v>
      </c>
      <c r="G160" s="5">
        <v>14.4</v>
      </c>
      <c r="H160" s="5" t="s">
        <v>6</v>
      </c>
      <c r="I160" s="5">
        <v>0.15</v>
      </c>
      <c r="J160" s="5">
        <v>19.399999999999999</v>
      </c>
      <c r="K160" s="5" t="s">
        <v>8</v>
      </c>
      <c r="L160" s="5" t="s">
        <v>8</v>
      </c>
      <c r="M160" s="5" t="s">
        <v>4</v>
      </c>
      <c r="N160" s="5" t="s">
        <v>9</v>
      </c>
      <c r="O160" s="6"/>
    </row>
    <row r="161" spans="1:15" ht="16" x14ac:dyDescent="0.2">
      <c r="A161" s="4">
        <v>45874</v>
      </c>
      <c r="B161" s="19">
        <v>25217</v>
      </c>
      <c r="C161" s="5" t="s">
        <v>46</v>
      </c>
      <c r="D161" s="5">
        <v>9</v>
      </c>
      <c r="E161" s="5" t="s">
        <v>2</v>
      </c>
      <c r="F161" s="5">
        <v>2</v>
      </c>
      <c r="G161" s="5">
        <v>16.2</v>
      </c>
      <c r="H161" s="5" t="s">
        <v>3</v>
      </c>
      <c r="I161" s="5">
        <v>1.05</v>
      </c>
      <c r="J161" s="5">
        <v>39.6</v>
      </c>
      <c r="K161" s="5">
        <v>10.1</v>
      </c>
      <c r="L161" s="5">
        <v>5.6</v>
      </c>
      <c r="M161" s="5" t="s">
        <v>4</v>
      </c>
      <c r="N161" s="5" t="s">
        <v>4</v>
      </c>
      <c r="O161" s="6"/>
    </row>
    <row r="162" spans="1:15" ht="16" x14ac:dyDescent="0.2">
      <c r="A162" s="4">
        <v>45874</v>
      </c>
      <c r="B162" s="19">
        <v>25217</v>
      </c>
      <c r="C162" s="5" t="s">
        <v>46</v>
      </c>
      <c r="D162" s="5">
        <v>10</v>
      </c>
      <c r="E162" s="5" t="s">
        <v>2</v>
      </c>
      <c r="F162" s="5">
        <v>2</v>
      </c>
      <c r="G162" s="5">
        <v>14.3</v>
      </c>
      <c r="H162" s="5" t="s">
        <v>6</v>
      </c>
      <c r="I162" s="5">
        <v>0.25</v>
      </c>
      <c r="J162" s="5">
        <v>22.45</v>
      </c>
      <c r="K162" s="5" t="s">
        <v>8</v>
      </c>
      <c r="L162" s="5" t="s">
        <v>8</v>
      </c>
      <c r="M162" s="5" t="s">
        <v>4</v>
      </c>
      <c r="N162" s="5" t="s">
        <v>9</v>
      </c>
      <c r="O162" s="5" t="s">
        <v>47</v>
      </c>
    </row>
    <row r="163" spans="1:15" ht="16" x14ac:dyDescent="0.2">
      <c r="A163" s="4">
        <v>45874</v>
      </c>
      <c r="B163" s="19">
        <v>25217</v>
      </c>
      <c r="C163" s="5" t="s">
        <v>46</v>
      </c>
      <c r="D163" s="5">
        <v>11</v>
      </c>
      <c r="E163" s="5" t="s">
        <v>2</v>
      </c>
      <c r="F163" s="5">
        <v>2</v>
      </c>
      <c r="G163" s="5">
        <v>14.3</v>
      </c>
      <c r="H163" s="5" t="s">
        <v>6</v>
      </c>
      <c r="I163" s="5">
        <v>0.35</v>
      </c>
      <c r="J163" s="5">
        <v>27.5</v>
      </c>
      <c r="K163" s="5" t="s">
        <v>8</v>
      </c>
      <c r="L163" s="5" t="s">
        <v>8</v>
      </c>
      <c r="M163" s="5" t="s">
        <v>4</v>
      </c>
      <c r="N163" s="5" t="s">
        <v>9</v>
      </c>
      <c r="O163" s="6"/>
    </row>
    <row r="164" spans="1:15" ht="16" x14ac:dyDescent="0.2">
      <c r="A164" s="4">
        <v>45874</v>
      </c>
      <c r="B164" s="19">
        <v>25217</v>
      </c>
      <c r="C164" s="5" t="s">
        <v>46</v>
      </c>
      <c r="D164" s="5">
        <v>12</v>
      </c>
      <c r="E164" s="5" t="s">
        <v>2</v>
      </c>
      <c r="F164" s="5">
        <v>2</v>
      </c>
      <c r="G164" s="5">
        <v>13.5</v>
      </c>
      <c r="H164" s="5" t="s">
        <v>3</v>
      </c>
      <c r="I164" s="5">
        <v>0.45</v>
      </c>
      <c r="J164" s="5">
        <v>30.5</v>
      </c>
      <c r="K164" s="5">
        <v>8</v>
      </c>
      <c r="L164" s="5">
        <v>4.55</v>
      </c>
      <c r="M164" s="5" t="s">
        <v>4</v>
      </c>
      <c r="N164" s="5" t="s">
        <v>4</v>
      </c>
      <c r="O164" s="6"/>
    </row>
    <row r="165" spans="1:15" ht="16" x14ac:dyDescent="0.2">
      <c r="A165" s="4">
        <v>45874</v>
      </c>
      <c r="B165" s="19">
        <v>25217</v>
      </c>
      <c r="C165" s="5" t="s">
        <v>46</v>
      </c>
      <c r="D165" s="5">
        <v>13</v>
      </c>
      <c r="E165" s="5" t="s">
        <v>2</v>
      </c>
      <c r="F165" s="5">
        <v>2</v>
      </c>
      <c r="G165" s="5">
        <v>29.5</v>
      </c>
      <c r="H165" s="5" t="s">
        <v>6</v>
      </c>
      <c r="I165" s="5">
        <v>0.25</v>
      </c>
      <c r="J165" s="5">
        <v>22.95</v>
      </c>
      <c r="K165" s="5" t="s">
        <v>8</v>
      </c>
      <c r="L165" s="5" t="s">
        <v>8</v>
      </c>
      <c r="M165" s="5" t="s">
        <v>4</v>
      </c>
      <c r="N165" s="5" t="s">
        <v>9</v>
      </c>
      <c r="O165" s="6"/>
    </row>
    <row r="166" spans="1:15" ht="16" x14ac:dyDescent="0.2">
      <c r="A166" s="4">
        <v>45874</v>
      </c>
      <c r="B166" s="19">
        <v>25217</v>
      </c>
      <c r="C166" s="5" t="s">
        <v>46</v>
      </c>
      <c r="D166" s="5">
        <v>14</v>
      </c>
      <c r="E166" s="5" t="s">
        <v>2</v>
      </c>
      <c r="F166" s="5">
        <v>3</v>
      </c>
      <c r="G166" s="5">
        <v>25.89</v>
      </c>
      <c r="H166" s="5" t="s">
        <v>6</v>
      </c>
      <c r="I166" s="5">
        <v>0.15</v>
      </c>
      <c r="J166" s="5">
        <v>22.8</v>
      </c>
      <c r="K166" s="5" t="s">
        <v>8</v>
      </c>
      <c r="L166" s="5" t="s">
        <v>8</v>
      </c>
      <c r="M166" s="5" t="s">
        <v>4</v>
      </c>
      <c r="N166" s="5" t="s">
        <v>9</v>
      </c>
      <c r="O166" s="6"/>
    </row>
    <row r="167" spans="1:15" ht="16" x14ac:dyDescent="0.2">
      <c r="A167" s="4">
        <v>45874</v>
      </c>
      <c r="B167" s="19">
        <v>25217</v>
      </c>
      <c r="C167" s="5" t="s">
        <v>46</v>
      </c>
      <c r="D167" s="5">
        <v>15</v>
      </c>
      <c r="E167" s="5" t="s">
        <v>2</v>
      </c>
      <c r="F167" s="5">
        <v>3</v>
      </c>
      <c r="G167" s="5">
        <v>3.3</v>
      </c>
      <c r="H167" s="5" t="s">
        <v>3</v>
      </c>
      <c r="I167" s="5">
        <v>1.1499999999999999</v>
      </c>
      <c r="J167" s="5">
        <v>41.2</v>
      </c>
      <c r="K167" s="5">
        <v>9.9</v>
      </c>
      <c r="L167" s="5">
        <v>5.8</v>
      </c>
      <c r="M167" s="5" t="s">
        <v>4</v>
      </c>
      <c r="N167" s="5" t="s">
        <v>4</v>
      </c>
      <c r="O167" s="6"/>
    </row>
    <row r="168" spans="1:15" ht="16" x14ac:dyDescent="0.2">
      <c r="A168" s="4">
        <v>45874</v>
      </c>
      <c r="B168" s="19">
        <v>25217</v>
      </c>
      <c r="C168" s="5" t="s">
        <v>46</v>
      </c>
      <c r="D168" s="5">
        <v>16</v>
      </c>
      <c r="E168" s="5" t="s">
        <v>12</v>
      </c>
      <c r="F168" s="5">
        <v>3</v>
      </c>
      <c r="G168" s="5">
        <v>5.5</v>
      </c>
      <c r="H168" s="5" t="s">
        <v>6</v>
      </c>
      <c r="I168" s="5">
        <v>0.35</v>
      </c>
      <c r="J168" s="5">
        <v>26.2</v>
      </c>
      <c r="K168" s="5" t="s">
        <v>8</v>
      </c>
      <c r="L168" s="5" t="s">
        <v>8</v>
      </c>
      <c r="M168" s="5" t="s">
        <v>4</v>
      </c>
      <c r="N168" s="5" t="s">
        <v>9</v>
      </c>
      <c r="O168" s="6"/>
    </row>
    <row r="169" spans="1:15" ht="16" x14ac:dyDescent="0.2">
      <c r="A169" s="4">
        <v>45874</v>
      </c>
      <c r="B169" s="19">
        <v>25217</v>
      </c>
      <c r="C169" s="5" t="s">
        <v>46</v>
      </c>
      <c r="D169" s="5">
        <v>17</v>
      </c>
      <c r="E169" s="5" t="s">
        <v>2</v>
      </c>
      <c r="F169" s="5">
        <v>3</v>
      </c>
      <c r="G169" s="5">
        <v>12.3</v>
      </c>
      <c r="H169" s="5" t="s">
        <v>3</v>
      </c>
      <c r="I169" s="5">
        <v>0.45</v>
      </c>
      <c r="J169" s="5">
        <v>29.9</v>
      </c>
      <c r="K169" s="5">
        <v>8.1</v>
      </c>
      <c r="L169" s="5">
        <v>4.75</v>
      </c>
      <c r="M169" s="5" t="s">
        <v>4</v>
      </c>
      <c r="N169" s="5" t="s">
        <v>4</v>
      </c>
      <c r="O169" s="6"/>
    </row>
    <row r="170" spans="1:15" ht="16" x14ac:dyDescent="0.2">
      <c r="A170" s="4">
        <v>45874</v>
      </c>
      <c r="B170" s="19">
        <v>25217</v>
      </c>
      <c r="C170" s="5" t="s">
        <v>46</v>
      </c>
      <c r="D170" s="5">
        <v>18</v>
      </c>
      <c r="E170" s="5" t="s">
        <v>2</v>
      </c>
      <c r="F170" s="5">
        <v>3</v>
      </c>
      <c r="G170" s="5">
        <v>13</v>
      </c>
      <c r="H170" s="5" t="s">
        <v>6</v>
      </c>
      <c r="I170" s="5">
        <v>0.15</v>
      </c>
      <c r="J170" s="5">
        <v>17.100000000000001</v>
      </c>
      <c r="K170" s="5" t="s">
        <v>8</v>
      </c>
      <c r="L170" s="5" t="s">
        <v>8</v>
      </c>
      <c r="M170" s="5" t="s">
        <v>4</v>
      </c>
      <c r="N170" s="5" t="s">
        <v>9</v>
      </c>
      <c r="O170" s="6"/>
    </row>
    <row r="171" spans="1:15" ht="16" x14ac:dyDescent="0.2">
      <c r="A171" s="4">
        <v>45874</v>
      </c>
      <c r="B171" s="19">
        <v>25217</v>
      </c>
      <c r="C171" s="30" t="s">
        <v>46</v>
      </c>
      <c r="D171" s="5">
        <v>19</v>
      </c>
      <c r="E171" s="5" t="s">
        <v>2</v>
      </c>
      <c r="F171" s="5">
        <v>3</v>
      </c>
      <c r="G171" s="5">
        <v>16.600000000000001</v>
      </c>
      <c r="H171" s="5" t="s">
        <v>6</v>
      </c>
      <c r="I171" s="5">
        <v>0.15</v>
      </c>
      <c r="J171" s="5">
        <v>17.95</v>
      </c>
      <c r="K171" s="5" t="s">
        <v>8</v>
      </c>
      <c r="L171" s="5" t="s">
        <v>8</v>
      </c>
      <c r="M171" s="5" t="s">
        <v>4</v>
      </c>
      <c r="N171" s="5" t="s">
        <v>9</v>
      </c>
      <c r="O171" s="5" t="s">
        <v>48</v>
      </c>
    </row>
    <row r="172" spans="1:15" ht="16" x14ac:dyDescent="0.2">
      <c r="A172" s="4">
        <v>45874</v>
      </c>
      <c r="B172" s="19">
        <v>25217</v>
      </c>
      <c r="C172" s="5" t="s">
        <v>46</v>
      </c>
      <c r="D172" s="5">
        <v>20</v>
      </c>
      <c r="E172" s="5" t="s">
        <v>2</v>
      </c>
      <c r="F172" s="5">
        <v>3</v>
      </c>
      <c r="G172" s="5">
        <v>25.8</v>
      </c>
      <c r="H172" s="5" t="s">
        <v>6</v>
      </c>
      <c r="I172" s="5">
        <v>0.15</v>
      </c>
      <c r="J172" s="5">
        <v>23.9</v>
      </c>
      <c r="K172" s="5" t="s">
        <v>8</v>
      </c>
      <c r="L172" s="5" t="s">
        <v>8</v>
      </c>
      <c r="M172" s="5" t="s">
        <v>4</v>
      </c>
      <c r="N172" s="5" t="s">
        <v>9</v>
      </c>
      <c r="O172" s="6"/>
    </row>
    <row r="173" spans="1:15" ht="16" x14ac:dyDescent="0.2">
      <c r="A173" s="4">
        <v>45875</v>
      </c>
      <c r="B173" s="19">
        <v>25218</v>
      </c>
      <c r="C173" s="5" t="s">
        <v>49</v>
      </c>
      <c r="D173" s="5">
        <v>41</v>
      </c>
      <c r="E173" s="5" t="s">
        <v>2</v>
      </c>
      <c r="F173" s="5">
        <v>1</v>
      </c>
      <c r="G173" s="5">
        <v>4.2</v>
      </c>
      <c r="H173" s="5" t="s">
        <v>3</v>
      </c>
      <c r="I173" s="5">
        <v>0.75</v>
      </c>
      <c r="J173" s="5">
        <v>36</v>
      </c>
      <c r="K173" s="5">
        <v>8.1</v>
      </c>
      <c r="L173" s="5">
        <v>4.6500000000000004</v>
      </c>
      <c r="M173" s="5" t="s">
        <v>4</v>
      </c>
      <c r="N173" s="5" t="s">
        <v>4</v>
      </c>
      <c r="O173" s="6"/>
    </row>
    <row r="174" spans="1:15" ht="16" x14ac:dyDescent="0.2">
      <c r="A174" s="4">
        <v>45875</v>
      </c>
      <c r="B174" s="19">
        <v>25218</v>
      </c>
      <c r="C174" s="5" t="s">
        <v>49</v>
      </c>
      <c r="D174" s="5">
        <v>42</v>
      </c>
      <c r="E174" s="5" t="s">
        <v>2</v>
      </c>
      <c r="F174" s="5">
        <v>1</v>
      </c>
      <c r="G174" s="5">
        <v>0.74</v>
      </c>
      <c r="H174" s="5" t="s">
        <v>5</v>
      </c>
      <c r="I174" s="5">
        <v>1.05</v>
      </c>
      <c r="J174" s="5">
        <v>39.35</v>
      </c>
      <c r="K174" s="5">
        <v>9.5</v>
      </c>
      <c r="L174" s="5">
        <v>5.4</v>
      </c>
      <c r="M174" s="5" t="s">
        <v>4</v>
      </c>
      <c r="N174" s="5" t="s">
        <v>4</v>
      </c>
      <c r="O174" s="6"/>
    </row>
    <row r="175" spans="1:15" ht="16" x14ac:dyDescent="0.2">
      <c r="A175" s="4">
        <v>45875</v>
      </c>
      <c r="B175" s="19">
        <v>25218</v>
      </c>
      <c r="C175" s="5" t="s">
        <v>49</v>
      </c>
      <c r="D175" s="5">
        <v>43</v>
      </c>
      <c r="E175" s="5" t="s">
        <v>2</v>
      </c>
      <c r="F175" s="5">
        <v>1</v>
      </c>
      <c r="G175" s="5">
        <v>8</v>
      </c>
      <c r="H175" s="5" t="s">
        <v>3</v>
      </c>
      <c r="I175" s="5">
        <v>0.55000000000000004</v>
      </c>
      <c r="J175" s="5">
        <v>31</v>
      </c>
      <c r="K175" s="5">
        <v>7.9</v>
      </c>
      <c r="L175" s="5">
        <v>4.9000000000000004</v>
      </c>
      <c r="M175" s="5" t="s">
        <v>4</v>
      </c>
      <c r="N175" s="5" t="s">
        <v>4</v>
      </c>
      <c r="O175" s="6"/>
    </row>
    <row r="176" spans="1:15" ht="16" x14ac:dyDescent="0.2">
      <c r="A176" s="4">
        <v>45875</v>
      </c>
      <c r="B176" s="19">
        <v>25218</v>
      </c>
      <c r="C176" s="5" t="s">
        <v>49</v>
      </c>
      <c r="D176" s="5">
        <v>44</v>
      </c>
      <c r="E176" s="5" t="s">
        <v>12</v>
      </c>
      <c r="F176" s="5">
        <v>1</v>
      </c>
      <c r="G176" s="5">
        <v>6.9</v>
      </c>
      <c r="H176" s="5" t="s">
        <v>6</v>
      </c>
      <c r="I176" s="5">
        <v>0.2</v>
      </c>
      <c r="J176" s="5">
        <v>25.8</v>
      </c>
      <c r="K176" s="5" t="s">
        <v>8</v>
      </c>
      <c r="L176" s="5" t="s">
        <v>8</v>
      </c>
      <c r="M176" s="5" t="s">
        <v>4</v>
      </c>
      <c r="N176" s="5" t="s">
        <v>4</v>
      </c>
      <c r="O176" s="6"/>
    </row>
    <row r="177" spans="1:15" ht="16" x14ac:dyDescent="0.2">
      <c r="A177" s="4">
        <v>45875</v>
      </c>
      <c r="B177" s="19">
        <v>25218</v>
      </c>
      <c r="C177" s="5" t="s">
        <v>49</v>
      </c>
      <c r="D177" s="5">
        <v>45</v>
      </c>
      <c r="E177" s="5" t="s">
        <v>2</v>
      </c>
      <c r="F177" s="5">
        <v>1</v>
      </c>
      <c r="G177" s="5">
        <v>6.5</v>
      </c>
      <c r="H177" s="5" t="s">
        <v>6</v>
      </c>
      <c r="I177" s="5">
        <v>0.35</v>
      </c>
      <c r="J177" s="5">
        <v>27.5</v>
      </c>
      <c r="K177" s="5" t="s">
        <v>8</v>
      </c>
      <c r="L177" s="5" t="s">
        <v>8</v>
      </c>
      <c r="M177" s="5" t="s">
        <v>4</v>
      </c>
      <c r="N177" s="5" t="s">
        <v>9</v>
      </c>
      <c r="O177" s="5" t="s">
        <v>50</v>
      </c>
    </row>
    <row r="178" spans="1:15" ht="16" x14ac:dyDescent="0.2">
      <c r="A178" s="4">
        <v>45875</v>
      </c>
      <c r="B178" s="19">
        <v>25218</v>
      </c>
      <c r="C178" s="5" t="s">
        <v>49</v>
      </c>
      <c r="D178" s="5">
        <v>46</v>
      </c>
      <c r="E178" s="5" t="s">
        <v>2</v>
      </c>
      <c r="F178" s="5">
        <v>1</v>
      </c>
      <c r="G178" s="5">
        <v>6.5</v>
      </c>
      <c r="H178" s="5" t="s">
        <v>3</v>
      </c>
      <c r="I178" s="5">
        <v>0.85</v>
      </c>
      <c r="J178" s="5">
        <v>36.450000000000003</v>
      </c>
      <c r="K178" s="5">
        <v>8.85</v>
      </c>
      <c r="L178" s="5">
        <v>4.8</v>
      </c>
      <c r="M178" s="5" t="s">
        <v>4</v>
      </c>
      <c r="N178" s="5" t="s">
        <v>4</v>
      </c>
      <c r="O178" s="6"/>
    </row>
    <row r="179" spans="1:15" ht="16" x14ac:dyDescent="0.2">
      <c r="A179" s="4">
        <v>45875</v>
      </c>
      <c r="B179" s="19">
        <v>25218</v>
      </c>
      <c r="C179" s="5" t="s">
        <v>49</v>
      </c>
      <c r="D179" s="5">
        <v>47</v>
      </c>
      <c r="E179" s="5" t="s">
        <v>2</v>
      </c>
      <c r="F179" s="5">
        <v>1</v>
      </c>
      <c r="G179" s="5">
        <v>10.4</v>
      </c>
      <c r="H179" s="5" t="s">
        <v>6</v>
      </c>
      <c r="I179" s="5">
        <v>0.25</v>
      </c>
      <c r="J179" s="5">
        <v>26.05</v>
      </c>
      <c r="K179" s="5" t="s">
        <v>8</v>
      </c>
      <c r="L179" s="5" t="s">
        <v>8</v>
      </c>
      <c r="M179" s="5" t="s">
        <v>4</v>
      </c>
      <c r="N179" s="5" t="s">
        <v>9</v>
      </c>
      <c r="O179" s="6"/>
    </row>
    <row r="180" spans="1:15" ht="16" x14ac:dyDescent="0.2">
      <c r="A180" s="4">
        <v>45875</v>
      </c>
      <c r="B180" s="19">
        <v>25218</v>
      </c>
      <c r="C180" s="5" t="s">
        <v>49</v>
      </c>
      <c r="D180" s="5">
        <v>48</v>
      </c>
      <c r="E180" s="5" t="s">
        <v>2</v>
      </c>
      <c r="F180" s="5">
        <v>1</v>
      </c>
      <c r="G180" s="5">
        <v>12.2</v>
      </c>
      <c r="H180" s="5" t="s">
        <v>6</v>
      </c>
      <c r="I180" s="5">
        <v>0.4</v>
      </c>
      <c r="J180" s="5">
        <v>27.5</v>
      </c>
      <c r="K180" s="5" t="s">
        <v>8</v>
      </c>
      <c r="L180" s="5" t="s">
        <v>8</v>
      </c>
      <c r="M180" s="5" t="s">
        <v>4</v>
      </c>
      <c r="N180" s="5" t="s">
        <v>9</v>
      </c>
      <c r="O180" s="6"/>
    </row>
    <row r="181" spans="1:15" ht="16" x14ac:dyDescent="0.2">
      <c r="A181" s="4">
        <v>45875</v>
      </c>
      <c r="B181" s="19">
        <v>25218</v>
      </c>
      <c r="C181" s="5" t="s">
        <v>49</v>
      </c>
      <c r="D181" s="5">
        <v>49</v>
      </c>
      <c r="E181" s="5" t="s">
        <v>2</v>
      </c>
      <c r="F181" s="5">
        <v>1</v>
      </c>
      <c r="G181" s="5">
        <v>16.8</v>
      </c>
      <c r="H181" s="5" t="s">
        <v>6</v>
      </c>
      <c r="I181" s="5">
        <v>0.3</v>
      </c>
      <c r="J181" s="5">
        <v>22.8</v>
      </c>
      <c r="K181" s="5" t="s">
        <v>8</v>
      </c>
      <c r="L181" s="5" t="s">
        <v>8</v>
      </c>
      <c r="M181" s="5" t="s">
        <v>4</v>
      </c>
      <c r="N181" s="5" t="s">
        <v>9</v>
      </c>
      <c r="O181" s="6"/>
    </row>
    <row r="182" spans="1:15" ht="16" x14ac:dyDescent="0.2">
      <c r="A182" s="4">
        <v>45875</v>
      </c>
      <c r="B182" s="19">
        <v>25218</v>
      </c>
      <c r="C182" s="5" t="s">
        <v>49</v>
      </c>
      <c r="D182" s="5">
        <v>50</v>
      </c>
      <c r="E182" s="5" t="s">
        <v>2</v>
      </c>
      <c r="F182" s="5">
        <v>1</v>
      </c>
      <c r="G182" s="5">
        <v>21.68</v>
      </c>
      <c r="H182" s="5" t="s">
        <v>6</v>
      </c>
      <c r="I182" s="5">
        <v>0.3</v>
      </c>
      <c r="J182" s="5">
        <v>25.4</v>
      </c>
      <c r="K182" s="5" t="s">
        <v>8</v>
      </c>
      <c r="L182" s="5" t="s">
        <v>8</v>
      </c>
      <c r="M182" s="5" t="s">
        <v>4</v>
      </c>
      <c r="N182" s="5" t="s">
        <v>9</v>
      </c>
      <c r="O182" s="6"/>
    </row>
    <row r="183" spans="1:15" ht="16" x14ac:dyDescent="0.2">
      <c r="A183" s="4">
        <v>45875</v>
      </c>
      <c r="B183" s="19">
        <v>25218</v>
      </c>
      <c r="C183" s="5" t="s">
        <v>49</v>
      </c>
      <c r="D183" s="5">
        <v>51</v>
      </c>
      <c r="E183" s="5" t="s">
        <v>2</v>
      </c>
      <c r="F183" s="5">
        <v>1</v>
      </c>
      <c r="G183" s="5">
        <v>23.4</v>
      </c>
      <c r="H183" s="5" t="s">
        <v>3</v>
      </c>
      <c r="I183" s="5">
        <v>1</v>
      </c>
      <c r="J183" s="5">
        <v>35.85</v>
      </c>
      <c r="K183" s="5">
        <v>9.1</v>
      </c>
      <c r="L183" s="5">
        <v>5.3</v>
      </c>
      <c r="M183" s="5" t="s">
        <v>4</v>
      </c>
      <c r="N183" s="5" t="s">
        <v>4</v>
      </c>
      <c r="O183" s="6"/>
    </row>
    <row r="184" spans="1:15" ht="16" x14ac:dyDescent="0.2">
      <c r="A184" s="4">
        <v>45875</v>
      </c>
      <c r="B184" s="19">
        <v>25218</v>
      </c>
      <c r="C184" s="5" t="s">
        <v>49</v>
      </c>
      <c r="D184" s="26">
        <v>52</v>
      </c>
      <c r="E184" s="5" t="s">
        <v>2</v>
      </c>
      <c r="F184" s="5">
        <v>2</v>
      </c>
      <c r="G184" s="5">
        <v>14</v>
      </c>
      <c r="H184" s="5" t="s">
        <v>3</v>
      </c>
      <c r="I184" s="5">
        <v>0.3</v>
      </c>
      <c r="J184" s="5">
        <v>28.7</v>
      </c>
      <c r="K184" s="5">
        <v>7.6</v>
      </c>
      <c r="L184" s="5">
        <v>4.3</v>
      </c>
      <c r="M184" s="5" t="s">
        <v>4</v>
      </c>
      <c r="N184" s="5" t="s">
        <v>4</v>
      </c>
      <c r="O184" s="5" t="s">
        <v>51</v>
      </c>
    </row>
    <row r="185" spans="1:15" ht="16" x14ac:dyDescent="0.2">
      <c r="A185" s="4">
        <v>45875</v>
      </c>
      <c r="B185" s="19">
        <v>25218</v>
      </c>
      <c r="C185" s="5" t="s">
        <v>49</v>
      </c>
      <c r="D185" s="5">
        <v>53</v>
      </c>
      <c r="E185" s="5" t="s">
        <v>2</v>
      </c>
      <c r="F185" s="5">
        <v>2</v>
      </c>
      <c r="G185" s="5">
        <v>14</v>
      </c>
      <c r="H185" s="5" t="s">
        <v>5</v>
      </c>
      <c r="I185" s="5">
        <v>0.85</v>
      </c>
      <c r="J185" s="5">
        <v>39.1</v>
      </c>
      <c r="K185" s="5">
        <v>9.3000000000000007</v>
      </c>
      <c r="L185" s="5">
        <v>5.6</v>
      </c>
      <c r="M185" s="5" t="s">
        <v>4</v>
      </c>
      <c r="N185" s="5" t="s">
        <v>4</v>
      </c>
      <c r="O185" s="6"/>
    </row>
    <row r="186" spans="1:15" ht="16" x14ac:dyDescent="0.2">
      <c r="A186" s="4">
        <v>45875</v>
      </c>
      <c r="B186" s="19">
        <v>25218</v>
      </c>
      <c r="C186" s="5" t="s">
        <v>49</v>
      </c>
      <c r="D186" s="26">
        <v>54</v>
      </c>
      <c r="E186" s="5" t="s">
        <v>2</v>
      </c>
      <c r="F186" s="5">
        <v>2</v>
      </c>
      <c r="G186" s="5">
        <v>7</v>
      </c>
      <c r="H186" s="5" t="s">
        <v>5</v>
      </c>
      <c r="I186" s="5">
        <v>1.2</v>
      </c>
      <c r="J186" s="5">
        <v>41.75</v>
      </c>
      <c r="K186" s="5">
        <v>9.9</v>
      </c>
      <c r="L186" s="5">
        <v>5.6</v>
      </c>
      <c r="M186" s="5" t="s">
        <v>4</v>
      </c>
      <c r="N186" s="5" t="s">
        <v>4</v>
      </c>
      <c r="O186" s="6"/>
    </row>
    <row r="187" spans="1:15" ht="16" x14ac:dyDescent="0.2">
      <c r="A187" s="4">
        <v>45875</v>
      </c>
      <c r="B187" s="19">
        <v>25218</v>
      </c>
      <c r="C187" s="5" t="s">
        <v>49</v>
      </c>
      <c r="D187" s="5">
        <v>55</v>
      </c>
      <c r="E187" s="5" t="s">
        <v>2</v>
      </c>
      <c r="F187" s="5">
        <v>2</v>
      </c>
      <c r="G187" s="5">
        <v>12.1</v>
      </c>
      <c r="H187" s="5" t="s">
        <v>6</v>
      </c>
      <c r="I187" s="5">
        <v>0.25</v>
      </c>
      <c r="J187" s="5">
        <v>24.45</v>
      </c>
      <c r="K187" s="5" t="s">
        <v>8</v>
      </c>
      <c r="L187" s="5" t="s">
        <v>8</v>
      </c>
      <c r="M187" s="5" t="s">
        <v>4</v>
      </c>
      <c r="N187" s="5" t="s">
        <v>9</v>
      </c>
      <c r="O187" s="6"/>
    </row>
    <row r="188" spans="1:15" ht="16" x14ac:dyDescent="0.2">
      <c r="A188" s="4">
        <v>45875</v>
      </c>
      <c r="B188" s="19">
        <v>25218</v>
      </c>
      <c r="C188" s="5" t="s">
        <v>49</v>
      </c>
      <c r="D188" s="5">
        <v>56</v>
      </c>
      <c r="E188" s="5" t="s">
        <v>2</v>
      </c>
      <c r="F188" s="5">
        <v>2</v>
      </c>
      <c r="G188" s="5">
        <v>25.5</v>
      </c>
      <c r="H188" s="5" t="s">
        <v>6</v>
      </c>
      <c r="I188" s="5">
        <v>0.3</v>
      </c>
      <c r="J188" s="5">
        <v>27.5</v>
      </c>
      <c r="K188" s="5" t="s">
        <v>8</v>
      </c>
      <c r="L188" s="5" t="s">
        <v>8</v>
      </c>
      <c r="M188" s="5" t="s">
        <v>4</v>
      </c>
      <c r="N188" s="5" t="s">
        <v>9</v>
      </c>
      <c r="O188" s="6"/>
    </row>
    <row r="189" spans="1:15" ht="16" x14ac:dyDescent="0.2">
      <c r="A189" s="4">
        <v>45875</v>
      </c>
      <c r="B189" s="19">
        <v>25218</v>
      </c>
      <c r="C189" s="5" t="s">
        <v>49</v>
      </c>
      <c r="D189" s="26">
        <v>57</v>
      </c>
      <c r="E189" s="5" t="s">
        <v>2</v>
      </c>
      <c r="F189" s="5">
        <v>2</v>
      </c>
      <c r="G189" s="5">
        <v>19.3</v>
      </c>
      <c r="H189" s="5" t="s">
        <v>3</v>
      </c>
      <c r="I189" s="5">
        <v>1</v>
      </c>
      <c r="J189" s="5">
        <v>38.85</v>
      </c>
      <c r="K189" s="5">
        <v>9.25</v>
      </c>
      <c r="L189" s="5">
        <v>5</v>
      </c>
      <c r="M189" s="5" t="s">
        <v>4</v>
      </c>
      <c r="N189" s="5" t="s">
        <v>4</v>
      </c>
      <c r="O189" s="6"/>
    </row>
    <row r="190" spans="1:15" ht="16" x14ac:dyDescent="0.2">
      <c r="A190" s="4">
        <v>45875</v>
      </c>
      <c r="B190" s="19">
        <v>25218</v>
      </c>
      <c r="C190" s="5" t="s">
        <v>49</v>
      </c>
      <c r="D190" s="25">
        <v>58</v>
      </c>
      <c r="E190" s="5" t="s">
        <v>2</v>
      </c>
      <c r="F190" s="5">
        <v>2</v>
      </c>
      <c r="G190" s="5">
        <v>29.4</v>
      </c>
      <c r="H190" s="5" t="s">
        <v>3</v>
      </c>
      <c r="I190" s="5">
        <v>0.65</v>
      </c>
      <c r="J190" s="5">
        <v>39.4</v>
      </c>
      <c r="K190" s="5">
        <v>8.6</v>
      </c>
      <c r="L190" s="5">
        <v>5</v>
      </c>
      <c r="M190" s="5" t="s">
        <v>4</v>
      </c>
      <c r="N190" s="5" t="s">
        <v>4</v>
      </c>
      <c r="O190" s="6"/>
    </row>
    <row r="191" spans="1:15" ht="16" x14ac:dyDescent="0.2">
      <c r="A191" s="4">
        <v>45875</v>
      </c>
      <c r="B191" s="19">
        <v>25218</v>
      </c>
      <c r="C191" s="5" t="s">
        <v>49</v>
      </c>
      <c r="D191" s="5">
        <v>59</v>
      </c>
      <c r="E191" s="5" t="s">
        <v>2</v>
      </c>
      <c r="F191" s="5">
        <v>3</v>
      </c>
      <c r="G191" s="5">
        <v>0</v>
      </c>
      <c r="H191" s="5" t="s">
        <v>6</v>
      </c>
      <c r="I191" s="5">
        <v>0.3</v>
      </c>
      <c r="J191" s="5">
        <v>27.35</v>
      </c>
      <c r="K191" s="5" t="s">
        <v>8</v>
      </c>
      <c r="L191" s="5" t="s">
        <v>8</v>
      </c>
      <c r="M191" s="5" t="s">
        <v>4</v>
      </c>
      <c r="N191" s="5" t="s">
        <v>9</v>
      </c>
      <c r="O191" s="6"/>
    </row>
    <row r="192" spans="1:15" ht="16" x14ac:dyDescent="0.2">
      <c r="A192" s="4">
        <v>45875</v>
      </c>
      <c r="B192" s="19">
        <v>25218</v>
      </c>
      <c r="C192" s="5" t="s">
        <v>49</v>
      </c>
      <c r="D192" s="5">
        <v>60</v>
      </c>
      <c r="E192" s="5" t="s">
        <v>2</v>
      </c>
      <c r="F192" s="5">
        <v>3</v>
      </c>
      <c r="G192" s="5">
        <v>1</v>
      </c>
      <c r="H192" s="5" t="s">
        <v>3</v>
      </c>
      <c r="I192" s="5">
        <v>0.6</v>
      </c>
      <c r="J192" s="5">
        <v>34.9</v>
      </c>
      <c r="K192" s="5">
        <v>8.9</v>
      </c>
      <c r="L192" s="5">
        <v>4.8499999999999996</v>
      </c>
      <c r="M192" s="5" t="s">
        <v>4</v>
      </c>
      <c r="N192" s="5" t="s">
        <v>4</v>
      </c>
      <c r="O192" s="6"/>
    </row>
    <row r="193" spans="1:15" ht="16" x14ac:dyDescent="0.2">
      <c r="A193" s="4">
        <v>45875</v>
      </c>
      <c r="B193" s="19">
        <v>25218</v>
      </c>
      <c r="C193" s="5" t="s">
        <v>49</v>
      </c>
      <c r="D193" s="5">
        <v>61</v>
      </c>
      <c r="E193" s="5" t="s">
        <v>2</v>
      </c>
      <c r="F193" s="5">
        <v>3</v>
      </c>
      <c r="G193" s="5">
        <v>16.8</v>
      </c>
      <c r="H193" s="5" t="s">
        <v>6</v>
      </c>
      <c r="I193" s="5">
        <v>0.3</v>
      </c>
      <c r="J193" s="5">
        <v>25.6</v>
      </c>
      <c r="K193" s="5" t="s">
        <v>8</v>
      </c>
      <c r="L193" s="5" t="s">
        <v>8</v>
      </c>
      <c r="M193" s="5" t="s">
        <v>4</v>
      </c>
      <c r="N193" s="5" t="s">
        <v>9</v>
      </c>
      <c r="O193" s="6"/>
    </row>
    <row r="194" spans="1:15" ht="16" x14ac:dyDescent="0.2">
      <c r="A194" s="4">
        <v>45875</v>
      </c>
      <c r="B194" s="19">
        <v>25218</v>
      </c>
      <c r="C194" s="5" t="s">
        <v>49</v>
      </c>
      <c r="D194" s="5">
        <v>62</v>
      </c>
      <c r="E194" s="5" t="s">
        <v>2</v>
      </c>
      <c r="F194" s="5">
        <v>3</v>
      </c>
      <c r="G194" s="5">
        <v>18.3</v>
      </c>
      <c r="H194" s="5" t="s">
        <v>6</v>
      </c>
      <c r="I194" s="5">
        <v>0.25</v>
      </c>
      <c r="J194" s="5">
        <v>25.7</v>
      </c>
      <c r="K194" s="5" t="s">
        <v>8</v>
      </c>
      <c r="L194" s="5" t="s">
        <v>8</v>
      </c>
      <c r="M194" s="5" t="s">
        <v>4</v>
      </c>
      <c r="N194" s="5" t="s">
        <v>9</v>
      </c>
      <c r="O194" s="6"/>
    </row>
    <row r="195" spans="1:15" ht="16" x14ac:dyDescent="0.2">
      <c r="A195" s="4">
        <v>45875</v>
      </c>
      <c r="B195" s="19">
        <v>25218</v>
      </c>
      <c r="C195" s="5" t="s">
        <v>49</v>
      </c>
      <c r="D195" s="5">
        <v>63</v>
      </c>
      <c r="E195" s="5" t="s">
        <v>2</v>
      </c>
      <c r="F195" s="5">
        <v>3</v>
      </c>
      <c r="G195" s="5">
        <v>16.760000000000002</v>
      </c>
      <c r="H195" s="5" t="s">
        <v>3</v>
      </c>
      <c r="I195" s="5">
        <v>0.85</v>
      </c>
      <c r="J195" s="5">
        <v>34.5</v>
      </c>
      <c r="K195" s="5">
        <v>8</v>
      </c>
      <c r="L195" s="5">
        <v>4.9000000000000004</v>
      </c>
      <c r="M195" s="5" t="s">
        <v>4</v>
      </c>
      <c r="N195" s="5" t="s">
        <v>4</v>
      </c>
      <c r="O195" s="6"/>
    </row>
    <row r="196" spans="1:15" ht="16" x14ac:dyDescent="0.2">
      <c r="A196" s="4">
        <v>45875</v>
      </c>
      <c r="B196" s="19">
        <v>25218</v>
      </c>
      <c r="C196" s="5" t="s">
        <v>49</v>
      </c>
      <c r="D196" s="5">
        <v>64</v>
      </c>
      <c r="E196" s="5" t="s">
        <v>2</v>
      </c>
      <c r="F196" s="5">
        <v>3</v>
      </c>
      <c r="G196" s="5">
        <v>29.5</v>
      </c>
      <c r="H196" s="5" t="s">
        <v>6</v>
      </c>
      <c r="I196" s="5">
        <v>0.4</v>
      </c>
      <c r="J196" s="5">
        <v>25.85</v>
      </c>
      <c r="K196" s="5" t="s">
        <v>8</v>
      </c>
      <c r="L196" s="5" t="s">
        <v>8</v>
      </c>
      <c r="M196" s="5" t="s">
        <v>4</v>
      </c>
      <c r="N196" s="5" t="s">
        <v>9</v>
      </c>
      <c r="O196" s="6"/>
    </row>
    <row r="197" spans="1:15" ht="16" x14ac:dyDescent="0.2">
      <c r="A197" s="4">
        <v>45875</v>
      </c>
      <c r="B197" s="19">
        <v>25218</v>
      </c>
      <c r="C197" s="5" t="s">
        <v>49</v>
      </c>
      <c r="D197" s="28">
        <v>65</v>
      </c>
      <c r="E197" s="5" t="s">
        <v>2</v>
      </c>
      <c r="F197" s="5">
        <v>3</v>
      </c>
      <c r="G197" s="5">
        <v>28.14</v>
      </c>
      <c r="H197" s="5" t="s">
        <v>6</v>
      </c>
      <c r="I197" s="5">
        <v>0.1</v>
      </c>
      <c r="J197" s="5">
        <v>31.9</v>
      </c>
      <c r="K197" s="5">
        <v>8.1</v>
      </c>
      <c r="L197" s="5">
        <v>4.3</v>
      </c>
      <c r="M197" s="5" t="s">
        <v>4</v>
      </c>
      <c r="N197" s="5" t="s">
        <v>4</v>
      </c>
      <c r="O197" s="6" t="s">
        <v>355</v>
      </c>
    </row>
    <row r="198" spans="1:15" ht="16" x14ac:dyDescent="0.2">
      <c r="A198" s="4">
        <v>45875</v>
      </c>
      <c r="B198" s="19">
        <v>25218</v>
      </c>
      <c r="C198" s="5" t="s">
        <v>49</v>
      </c>
      <c r="D198" s="5">
        <v>66</v>
      </c>
      <c r="E198" s="5" t="s">
        <v>12</v>
      </c>
      <c r="F198" s="5">
        <v>3</v>
      </c>
      <c r="G198" s="5">
        <v>29</v>
      </c>
      <c r="H198" s="5" t="s">
        <v>6</v>
      </c>
      <c r="I198" s="5">
        <v>0.3</v>
      </c>
      <c r="J198" s="5">
        <v>25.2</v>
      </c>
      <c r="K198" s="5" t="s">
        <v>8</v>
      </c>
      <c r="L198" s="5" t="s">
        <v>8</v>
      </c>
      <c r="M198" s="5" t="s">
        <v>4</v>
      </c>
      <c r="N198" s="5" t="s">
        <v>9</v>
      </c>
      <c r="O198" s="6"/>
    </row>
    <row r="199" spans="1:15" ht="16" x14ac:dyDescent="0.2">
      <c r="A199" s="4">
        <v>45880</v>
      </c>
      <c r="B199" s="20">
        <v>25223</v>
      </c>
      <c r="C199" s="5" t="s">
        <v>52</v>
      </c>
      <c r="D199" s="5">
        <v>22</v>
      </c>
      <c r="E199" s="5" t="s">
        <v>2</v>
      </c>
      <c r="F199" s="5">
        <v>1</v>
      </c>
      <c r="G199" s="5">
        <v>3.53</v>
      </c>
      <c r="H199" s="5" t="s">
        <v>6</v>
      </c>
      <c r="I199" s="5">
        <v>0.3</v>
      </c>
      <c r="J199" s="5">
        <v>25</v>
      </c>
      <c r="K199" s="5" t="s">
        <v>8</v>
      </c>
      <c r="L199" s="5" t="s">
        <v>8</v>
      </c>
      <c r="M199" s="5" t="s">
        <v>4</v>
      </c>
      <c r="N199" s="5" t="s">
        <v>9</v>
      </c>
      <c r="O199" s="6"/>
    </row>
    <row r="200" spans="1:15" ht="16" x14ac:dyDescent="0.2">
      <c r="A200" s="4">
        <v>45880</v>
      </c>
      <c r="B200" s="20">
        <v>25223</v>
      </c>
      <c r="C200" s="5" t="s">
        <v>52</v>
      </c>
      <c r="D200" s="5">
        <v>23</v>
      </c>
      <c r="E200" s="5" t="s">
        <v>2</v>
      </c>
      <c r="F200" s="5">
        <v>1</v>
      </c>
      <c r="G200" s="5">
        <v>0</v>
      </c>
      <c r="H200" s="5" t="s">
        <v>6</v>
      </c>
      <c r="I200" s="5">
        <v>0.35</v>
      </c>
      <c r="J200" s="5">
        <v>28.3</v>
      </c>
      <c r="K200" s="5">
        <v>7.45</v>
      </c>
      <c r="L200" s="5">
        <v>4.05</v>
      </c>
      <c r="M200" s="5" t="s">
        <v>4</v>
      </c>
      <c r="N200" s="5" t="s">
        <v>4</v>
      </c>
      <c r="O200" s="6"/>
    </row>
    <row r="201" spans="1:15" ht="16" x14ac:dyDescent="0.2">
      <c r="A201" s="4">
        <v>45880</v>
      </c>
      <c r="B201" s="20">
        <v>25223</v>
      </c>
      <c r="C201" s="5" t="s">
        <v>52</v>
      </c>
      <c r="D201" s="5">
        <v>24</v>
      </c>
      <c r="E201" s="5" t="s">
        <v>2</v>
      </c>
      <c r="F201" s="5">
        <v>1</v>
      </c>
      <c r="G201" s="5">
        <v>20.3</v>
      </c>
      <c r="H201" s="5" t="s">
        <v>5</v>
      </c>
      <c r="I201" s="5">
        <v>0.65</v>
      </c>
      <c r="J201" s="5">
        <v>33.5</v>
      </c>
      <c r="K201" s="5">
        <v>7.95</v>
      </c>
      <c r="L201" s="5">
        <v>4.8</v>
      </c>
      <c r="M201" s="5" t="s">
        <v>4</v>
      </c>
      <c r="N201" s="5" t="s">
        <v>4</v>
      </c>
      <c r="O201" s="6"/>
    </row>
    <row r="202" spans="1:15" ht="16" x14ac:dyDescent="0.2">
      <c r="A202" s="4">
        <v>45880</v>
      </c>
      <c r="B202" s="20">
        <v>25223</v>
      </c>
      <c r="C202" s="5" t="s">
        <v>52</v>
      </c>
      <c r="D202" s="5">
        <v>25</v>
      </c>
      <c r="E202" s="5" t="s">
        <v>2</v>
      </c>
      <c r="F202" s="5">
        <v>1</v>
      </c>
      <c r="G202" s="5">
        <v>28.2</v>
      </c>
      <c r="H202" s="5" t="s">
        <v>6</v>
      </c>
      <c r="I202" s="5">
        <v>0.25</v>
      </c>
      <c r="J202" s="5">
        <v>23.1</v>
      </c>
      <c r="K202" s="5" t="s">
        <v>8</v>
      </c>
      <c r="L202" s="5" t="s">
        <v>8</v>
      </c>
      <c r="M202" s="5" t="s">
        <v>4</v>
      </c>
      <c r="N202" s="5" t="s">
        <v>9</v>
      </c>
      <c r="O202" s="6"/>
    </row>
    <row r="203" spans="1:15" ht="16" x14ac:dyDescent="0.2">
      <c r="A203" s="4">
        <v>45880</v>
      </c>
      <c r="B203" s="20">
        <v>25223</v>
      </c>
      <c r="C203" s="5" t="s">
        <v>52</v>
      </c>
      <c r="D203" s="5">
        <v>26</v>
      </c>
      <c r="E203" s="5" t="s">
        <v>2</v>
      </c>
      <c r="F203" s="5">
        <v>2</v>
      </c>
      <c r="G203" s="5">
        <v>5</v>
      </c>
      <c r="H203" s="5" t="s">
        <v>6</v>
      </c>
      <c r="I203" s="5">
        <v>0.35</v>
      </c>
      <c r="J203" s="5">
        <v>27</v>
      </c>
      <c r="K203" s="5" t="s">
        <v>8</v>
      </c>
      <c r="L203" s="5" t="s">
        <v>8</v>
      </c>
      <c r="M203" s="5" t="s">
        <v>4</v>
      </c>
      <c r="N203" s="5" t="s">
        <v>9</v>
      </c>
      <c r="O203" s="6"/>
    </row>
    <row r="204" spans="1:15" ht="16" x14ac:dyDescent="0.2">
      <c r="A204" s="4">
        <v>45880</v>
      </c>
      <c r="B204" s="20">
        <v>25223</v>
      </c>
      <c r="C204" s="5" t="s">
        <v>52</v>
      </c>
      <c r="D204" s="5">
        <v>27</v>
      </c>
      <c r="E204" s="5" t="s">
        <v>2</v>
      </c>
      <c r="F204" s="5">
        <v>2</v>
      </c>
      <c r="G204" s="5">
        <v>5</v>
      </c>
      <c r="H204" s="5" t="s">
        <v>6</v>
      </c>
      <c r="I204" s="5">
        <v>0.15</v>
      </c>
      <c r="J204" s="5">
        <v>26</v>
      </c>
      <c r="K204" s="5" t="s">
        <v>8</v>
      </c>
      <c r="L204" s="5" t="s">
        <v>8</v>
      </c>
      <c r="M204" s="5" t="s">
        <v>4</v>
      </c>
      <c r="N204" s="5" t="s">
        <v>9</v>
      </c>
      <c r="O204" s="6"/>
    </row>
    <row r="205" spans="1:15" ht="16" x14ac:dyDescent="0.2">
      <c r="A205" s="4">
        <v>45880</v>
      </c>
      <c r="B205" s="20">
        <v>25223</v>
      </c>
      <c r="C205" s="5" t="s">
        <v>52</v>
      </c>
      <c r="D205" s="5">
        <v>28</v>
      </c>
      <c r="E205" s="5" t="s">
        <v>2</v>
      </c>
      <c r="F205" s="5">
        <v>2</v>
      </c>
      <c r="G205" s="5">
        <v>30</v>
      </c>
      <c r="H205" s="5" t="s">
        <v>6</v>
      </c>
      <c r="I205" s="5">
        <v>0.35</v>
      </c>
      <c r="J205" s="5">
        <v>24.5</v>
      </c>
      <c r="K205" s="5" t="s">
        <v>8</v>
      </c>
      <c r="L205" s="5" t="s">
        <v>8</v>
      </c>
      <c r="M205" s="5" t="s">
        <v>4</v>
      </c>
      <c r="N205" s="5" t="s">
        <v>9</v>
      </c>
      <c r="O205" s="6"/>
    </row>
    <row r="206" spans="1:15" ht="16" x14ac:dyDescent="0.2">
      <c r="A206" s="4">
        <v>45880</v>
      </c>
      <c r="B206" s="20">
        <v>25223</v>
      </c>
      <c r="C206" s="5" t="s">
        <v>52</v>
      </c>
      <c r="D206" s="5">
        <v>29</v>
      </c>
      <c r="E206" s="5" t="s">
        <v>2</v>
      </c>
      <c r="F206" s="5">
        <v>2</v>
      </c>
      <c r="G206" s="5">
        <v>30</v>
      </c>
      <c r="H206" s="5" t="s">
        <v>3</v>
      </c>
      <c r="I206" s="5">
        <v>1</v>
      </c>
      <c r="J206" s="5">
        <v>38.25</v>
      </c>
      <c r="K206" s="5">
        <v>9.8000000000000007</v>
      </c>
      <c r="L206" s="5">
        <v>5.05</v>
      </c>
      <c r="M206" s="5" t="s">
        <v>4</v>
      </c>
      <c r="N206" s="5" t="s">
        <v>4</v>
      </c>
      <c r="O206" s="6"/>
    </row>
    <row r="207" spans="1:15" ht="16" x14ac:dyDescent="0.2">
      <c r="A207" s="4">
        <v>45880</v>
      </c>
      <c r="B207" s="20">
        <v>25223</v>
      </c>
      <c r="C207" s="5" t="s">
        <v>52</v>
      </c>
      <c r="D207" s="5">
        <v>30</v>
      </c>
      <c r="E207" s="5" t="s">
        <v>2</v>
      </c>
      <c r="F207" s="5">
        <v>2</v>
      </c>
      <c r="G207" s="5">
        <v>2.15</v>
      </c>
      <c r="H207" s="5" t="s">
        <v>6</v>
      </c>
      <c r="I207" s="5">
        <v>0.25</v>
      </c>
      <c r="J207" s="5">
        <v>26.45</v>
      </c>
      <c r="K207" s="5" t="s">
        <v>8</v>
      </c>
      <c r="L207" s="5" t="s">
        <v>8</v>
      </c>
      <c r="M207" s="5" t="s">
        <v>4</v>
      </c>
      <c r="N207" s="5" t="s">
        <v>9</v>
      </c>
      <c r="O207" s="6"/>
    </row>
    <row r="208" spans="1:15" ht="16" x14ac:dyDescent="0.2">
      <c r="A208" s="4">
        <v>45880</v>
      </c>
      <c r="B208" s="20">
        <v>25223</v>
      </c>
      <c r="C208" s="5" t="s">
        <v>52</v>
      </c>
      <c r="D208" s="5">
        <v>31</v>
      </c>
      <c r="E208" s="5" t="s">
        <v>2</v>
      </c>
      <c r="F208" s="5">
        <v>2</v>
      </c>
      <c r="G208" s="5">
        <v>10.9</v>
      </c>
      <c r="H208" s="5" t="s">
        <v>6</v>
      </c>
      <c r="I208" s="5">
        <v>0.25</v>
      </c>
      <c r="J208" s="5">
        <v>25</v>
      </c>
      <c r="K208" s="5" t="s">
        <v>8</v>
      </c>
      <c r="L208" s="5" t="s">
        <v>8</v>
      </c>
      <c r="M208" s="5" t="s">
        <v>4</v>
      </c>
      <c r="N208" s="5" t="s">
        <v>9</v>
      </c>
      <c r="O208" s="6"/>
    </row>
    <row r="209" spans="1:15" ht="16" x14ac:dyDescent="0.2">
      <c r="A209" s="4">
        <v>45880</v>
      </c>
      <c r="B209" s="20">
        <v>25223</v>
      </c>
      <c r="C209" s="5" t="s">
        <v>52</v>
      </c>
      <c r="D209" s="5">
        <v>32</v>
      </c>
      <c r="E209" s="5" t="s">
        <v>2</v>
      </c>
      <c r="F209" s="5">
        <v>2</v>
      </c>
      <c r="G209" s="5">
        <v>12</v>
      </c>
      <c r="H209" s="5" t="s">
        <v>6</v>
      </c>
      <c r="I209" s="5">
        <v>0.3</v>
      </c>
      <c r="J209" s="5">
        <v>27.55</v>
      </c>
      <c r="K209" s="5" t="s">
        <v>8</v>
      </c>
      <c r="L209" s="5" t="s">
        <v>8</v>
      </c>
      <c r="M209" s="5" t="s">
        <v>4</v>
      </c>
      <c r="N209" s="5" t="s">
        <v>9</v>
      </c>
      <c r="O209" s="6"/>
    </row>
    <row r="210" spans="1:15" ht="16" x14ac:dyDescent="0.2">
      <c r="A210" s="4">
        <v>45880</v>
      </c>
      <c r="B210" s="20">
        <v>25223</v>
      </c>
      <c r="C210" s="5" t="s">
        <v>52</v>
      </c>
      <c r="D210" s="5">
        <v>33</v>
      </c>
      <c r="E210" s="5" t="s">
        <v>2</v>
      </c>
      <c r="F210" s="5">
        <v>2</v>
      </c>
      <c r="G210" s="5">
        <v>20.9</v>
      </c>
      <c r="H210" s="5" t="s">
        <v>6</v>
      </c>
      <c r="I210" s="5">
        <v>0.2</v>
      </c>
      <c r="J210" s="5">
        <v>25.85</v>
      </c>
      <c r="K210" s="5" t="s">
        <v>8</v>
      </c>
      <c r="L210" s="5" t="s">
        <v>8</v>
      </c>
      <c r="M210" s="5" t="s">
        <v>4</v>
      </c>
      <c r="N210" s="5" t="s">
        <v>9</v>
      </c>
      <c r="O210" s="6"/>
    </row>
    <row r="211" spans="1:15" ht="16" x14ac:dyDescent="0.2">
      <c r="A211" s="4">
        <v>45880</v>
      </c>
      <c r="B211" s="20">
        <v>25223</v>
      </c>
      <c r="C211" s="5" t="s">
        <v>52</v>
      </c>
      <c r="D211" s="29">
        <v>34</v>
      </c>
      <c r="E211" s="5" t="s">
        <v>2</v>
      </c>
      <c r="F211" s="5">
        <v>2</v>
      </c>
      <c r="G211" s="5">
        <v>33</v>
      </c>
      <c r="H211" s="5" t="s">
        <v>6</v>
      </c>
      <c r="I211" s="5">
        <v>0.2</v>
      </c>
      <c r="J211" s="5">
        <v>25.95</v>
      </c>
      <c r="K211" s="5" t="s">
        <v>8</v>
      </c>
      <c r="L211" s="5" t="s">
        <v>8</v>
      </c>
      <c r="M211" s="5" t="s">
        <v>4</v>
      </c>
      <c r="N211" s="5" t="s">
        <v>9</v>
      </c>
      <c r="O211" s="6" t="s">
        <v>358</v>
      </c>
    </row>
    <row r="212" spans="1:15" ht="16" x14ac:dyDescent="0.2">
      <c r="A212" s="4">
        <v>45880</v>
      </c>
      <c r="B212" s="20">
        <v>25223</v>
      </c>
      <c r="C212" s="5" t="s">
        <v>52</v>
      </c>
      <c r="D212" s="5">
        <v>35</v>
      </c>
      <c r="E212" s="5" t="s">
        <v>2</v>
      </c>
      <c r="F212" s="5">
        <v>3</v>
      </c>
      <c r="G212" s="5">
        <v>30</v>
      </c>
      <c r="H212" s="5" t="s">
        <v>6</v>
      </c>
      <c r="I212" s="5">
        <v>0.2</v>
      </c>
      <c r="J212" s="5">
        <v>27.35</v>
      </c>
      <c r="K212" s="5" t="s">
        <v>8</v>
      </c>
      <c r="L212" s="5" t="s">
        <v>8</v>
      </c>
      <c r="M212" s="5" t="s">
        <v>4</v>
      </c>
      <c r="N212" s="5" t="s">
        <v>9</v>
      </c>
      <c r="O212" s="6"/>
    </row>
    <row r="213" spans="1:15" ht="16" x14ac:dyDescent="0.2">
      <c r="A213" s="4">
        <v>45881</v>
      </c>
      <c r="B213" s="20">
        <v>25224</v>
      </c>
      <c r="C213" s="5" t="s">
        <v>53</v>
      </c>
      <c r="D213" s="5">
        <v>13</v>
      </c>
      <c r="E213" s="5" t="s">
        <v>2</v>
      </c>
      <c r="F213" s="5">
        <v>1</v>
      </c>
      <c r="G213" s="5">
        <v>6.7</v>
      </c>
      <c r="H213" s="5" t="s">
        <v>6</v>
      </c>
      <c r="I213" s="5">
        <v>0.35</v>
      </c>
      <c r="J213" s="5">
        <v>27.95</v>
      </c>
      <c r="K213" s="5" t="s">
        <v>8</v>
      </c>
      <c r="L213" s="5" t="s">
        <v>8</v>
      </c>
      <c r="M213" s="5" t="s">
        <v>4</v>
      </c>
      <c r="N213" s="5" t="s">
        <v>9</v>
      </c>
      <c r="O213" s="6"/>
    </row>
    <row r="214" spans="1:15" ht="16" x14ac:dyDescent="0.2">
      <c r="A214" s="4">
        <v>45881</v>
      </c>
      <c r="B214" s="20">
        <v>25224</v>
      </c>
      <c r="C214" s="5" t="s">
        <v>53</v>
      </c>
      <c r="D214" s="5">
        <v>14</v>
      </c>
      <c r="E214" s="5" t="s">
        <v>2</v>
      </c>
      <c r="F214" s="5">
        <v>1</v>
      </c>
      <c r="G214" s="5">
        <v>13.2</v>
      </c>
      <c r="H214" s="5" t="s">
        <v>5</v>
      </c>
      <c r="I214" s="5">
        <v>0.55000000000000004</v>
      </c>
      <c r="J214" s="5">
        <v>31.35</v>
      </c>
      <c r="K214" s="5">
        <v>8.15</v>
      </c>
      <c r="L214" s="5">
        <v>4.4000000000000004</v>
      </c>
      <c r="M214" s="5" t="s">
        <v>4</v>
      </c>
      <c r="N214" s="5" t="s">
        <v>4</v>
      </c>
      <c r="O214" s="6"/>
    </row>
    <row r="215" spans="1:15" ht="16" x14ac:dyDescent="0.2">
      <c r="A215" s="4">
        <v>45881</v>
      </c>
      <c r="B215" s="20">
        <v>25224</v>
      </c>
      <c r="C215" s="5" t="s">
        <v>53</v>
      </c>
      <c r="D215" s="5">
        <v>15</v>
      </c>
      <c r="E215" s="5" t="s">
        <v>2</v>
      </c>
      <c r="F215" s="5">
        <v>1</v>
      </c>
      <c r="G215" s="5">
        <v>17.399999999999999</v>
      </c>
      <c r="H215" s="5" t="s">
        <v>6</v>
      </c>
      <c r="I215" s="5">
        <v>0.3</v>
      </c>
      <c r="J215" s="5">
        <v>26.1</v>
      </c>
      <c r="K215" s="5" t="s">
        <v>8</v>
      </c>
      <c r="L215" s="5" t="s">
        <v>8</v>
      </c>
      <c r="M215" s="5" t="s">
        <v>4</v>
      </c>
      <c r="N215" s="5" t="s">
        <v>9</v>
      </c>
      <c r="O215" s="6"/>
    </row>
    <row r="216" spans="1:15" ht="16" x14ac:dyDescent="0.2">
      <c r="A216" s="4">
        <v>45881</v>
      </c>
      <c r="B216" s="20">
        <v>25224</v>
      </c>
      <c r="C216" s="5" t="s">
        <v>53</v>
      </c>
      <c r="D216" s="5">
        <v>16</v>
      </c>
      <c r="E216" s="5" t="s">
        <v>2</v>
      </c>
      <c r="F216" s="5">
        <v>2</v>
      </c>
      <c r="G216" s="5">
        <v>1.7</v>
      </c>
      <c r="H216" s="5" t="s">
        <v>6</v>
      </c>
      <c r="I216" s="5">
        <v>0.35</v>
      </c>
      <c r="J216" s="5">
        <v>26.55</v>
      </c>
      <c r="K216" s="5" t="s">
        <v>8</v>
      </c>
      <c r="L216" s="5" t="s">
        <v>8</v>
      </c>
      <c r="M216" s="5" t="s">
        <v>4</v>
      </c>
      <c r="N216" s="5" t="s">
        <v>9</v>
      </c>
      <c r="O216" s="6"/>
    </row>
    <row r="217" spans="1:15" ht="16" x14ac:dyDescent="0.2">
      <c r="A217" s="4">
        <v>45881</v>
      </c>
      <c r="B217" s="20">
        <v>25224</v>
      </c>
      <c r="C217" s="5" t="s">
        <v>53</v>
      </c>
      <c r="D217" s="5">
        <v>17</v>
      </c>
      <c r="E217" s="5" t="s">
        <v>2</v>
      </c>
      <c r="F217" s="5">
        <v>2</v>
      </c>
      <c r="G217" s="5">
        <v>9.3699999999999992</v>
      </c>
      <c r="H217" s="5" t="s">
        <v>5</v>
      </c>
      <c r="I217" s="5">
        <v>1.2</v>
      </c>
      <c r="J217" s="5">
        <v>40.700000000000003</v>
      </c>
      <c r="K217" s="5">
        <v>9.5</v>
      </c>
      <c r="L217" s="5">
        <v>5.8</v>
      </c>
      <c r="M217" s="5" t="s">
        <v>4</v>
      </c>
      <c r="N217" s="5" t="s">
        <v>4</v>
      </c>
      <c r="O217" s="6"/>
    </row>
    <row r="218" spans="1:15" ht="16" x14ac:dyDescent="0.2">
      <c r="A218" s="4">
        <v>45881</v>
      </c>
      <c r="B218" s="20">
        <v>25224</v>
      </c>
      <c r="C218" s="5" t="s">
        <v>53</v>
      </c>
      <c r="D218" s="26">
        <v>18</v>
      </c>
      <c r="E218" s="5" t="s">
        <v>2</v>
      </c>
      <c r="F218" s="5">
        <v>2</v>
      </c>
      <c r="G218" s="5">
        <v>29.6</v>
      </c>
      <c r="H218" s="5" t="s">
        <v>6</v>
      </c>
      <c r="I218" s="5">
        <v>0.25</v>
      </c>
      <c r="J218" s="5">
        <v>23.45</v>
      </c>
      <c r="K218" s="5" t="s">
        <v>8</v>
      </c>
      <c r="L218" s="5" t="s">
        <v>8</v>
      </c>
      <c r="M218" s="5" t="s">
        <v>4</v>
      </c>
      <c r="N218" s="5" t="s">
        <v>9</v>
      </c>
      <c r="O218" s="6"/>
    </row>
    <row r="219" spans="1:15" ht="16" x14ac:dyDescent="0.2">
      <c r="A219" s="4">
        <v>45881</v>
      </c>
      <c r="B219" s="20">
        <v>25224</v>
      </c>
      <c r="C219" s="5" t="s">
        <v>53</v>
      </c>
      <c r="D219" s="5">
        <v>19</v>
      </c>
      <c r="E219" s="5" t="s">
        <v>2</v>
      </c>
      <c r="F219" s="5">
        <v>3</v>
      </c>
      <c r="G219" s="5">
        <v>2.9</v>
      </c>
      <c r="H219" s="5" t="s">
        <v>6</v>
      </c>
      <c r="I219" s="5">
        <v>0.3</v>
      </c>
      <c r="J219" s="5">
        <v>24.7</v>
      </c>
      <c r="K219" s="5" t="s">
        <v>8</v>
      </c>
      <c r="L219" s="5" t="s">
        <v>8</v>
      </c>
      <c r="M219" s="5" t="s">
        <v>4</v>
      </c>
      <c r="N219" s="5" t="s">
        <v>9</v>
      </c>
      <c r="O219" s="6"/>
    </row>
    <row r="220" spans="1:15" ht="16" x14ac:dyDescent="0.2">
      <c r="A220" s="4">
        <v>45881</v>
      </c>
      <c r="B220" s="20">
        <v>25224</v>
      </c>
      <c r="C220" s="5" t="s">
        <v>53</v>
      </c>
      <c r="D220" s="25">
        <v>20</v>
      </c>
      <c r="E220" s="5" t="s">
        <v>2</v>
      </c>
      <c r="F220" s="5">
        <v>3</v>
      </c>
      <c r="G220" s="5">
        <v>9.1999999999999993</v>
      </c>
      <c r="H220" s="5" t="s">
        <v>5</v>
      </c>
      <c r="I220" s="5">
        <v>0.6</v>
      </c>
      <c r="J220" s="5">
        <v>32.700000000000003</v>
      </c>
      <c r="K220" s="5">
        <v>8.3000000000000007</v>
      </c>
      <c r="L220" s="5">
        <v>4.5999999999999996</v>
      </c>
      <c r="M220" s="5" t="s">
        <v>4</v>
      </c>
      <c r="N220" s="5" t="s">
        <v>4</v>
      </c>
      <c r="O220" s="6"/>
    </row>
    <row r="221" spans="1:15" ht="16" x14ac:dyDescent="0.2">
      <c r="A221" s="4">
        <v>45881</v>
      </c>
      <c r="B221" s="20">
        <v>25224</v>
      </c>
      <c r="C221" s="5" t="s">
        <v>53</v>
      </c>
      <c r="D221" s="25">
        <v>21</v>
      </c>
      <c r="E221" s="5" t="s">
        <v>2</v>
      </c>
      <c r="F221" s="5">
        <v>3</v>
      </c>
      <c r="G221" s="5">
        <v>9.1999999999999993</v>
      </c>
      <c r="H221" s="5" t="s">
        <v>5</v>
      </c>
      <c r="I221" s="5">
        <v>1.1000000000000001</v>
      </c>
      <c r="J221" s="5">
        <v>40</v>
      </c>
      <c r="K221" s="5">
        <v>10</v>
      </c>
      <c r="L221" s="5">
        <v>5.4</v>
      </c>
      <c r="M221" s="5" t="s">
        <v>4</v>
      </c>
      <c r="N221" s="5" t="s">
        <v>4</v>
      </c>
      <c r="O221" s="6"/>
    </row>
    <row r="222" spans="1:15" ht="16" x14ac:dyDescent="0.2">
      <c r="A222" s="4">
        <v>45881</v>
      </c>
      <c r="B222" s="20">
        <v>25224</v>
      </c>
      <c r="C222" s="5" t="s">
        <v>53</v>
      </c>
      <c r="D222" s="5">
        <v>22</v>
      </c>
      <c r="E222" s="5" t="s">
        <v>2</v>
      </c>
      <c r="F222" s="5">
        <v>3</v>
      </c>
      <c r="G222" s="5">
        <v>11.7</v>
      </c>
      <c r="H222" s="5" t="s">
        <v>6</v>
      </c>
      <c r="I222" s="5">
        <v>0.25</v>
      </c>
      <c r="J222" s="5">
        <v>23</v>
      </c>
      <c r="K222" s="5" t="s">
        <v>8</v>
      </c>
      <c r="L222" s="5" t="s">
        <v>8</v>
      </c>
      <c r="M222" s="5" t="s">
        <v>4</v>
      </c>
      <c r="N222" s="5" t="s">
        <v>9</v>
      </c>
      <c r="O222" s="6"/>
    </row>
    <row r="223" spans="1:15" ht="16" x14ac:dyDescent="0.2">
      <c r="A223" s="4">
        <v>45881</v>
      </c>
      <c r="B223" s="20">
        <v>25224</v>
      </c>
      <c r="C223" s="5" t="s">
        <v>53</v>
      </c>
      <c r="D223" s="26">
        <v>23</v>
      </c>
      <c r="E223" s="5" t="s">
        <v>2</v>
      </c>
      <c r="F223" s="5">
        <v>3</v>
      </c>
      <c r="G223" s="5">
        <v>11.3</v>
      </c>
      <c r="H223" s="5" t="s">
        <v>3</v>
      </c>
      <c r="I223" s="5">
        <v>0.8</v>
      </c>
      <c r="J223" s="5">
        <v>34.75</v>
      </c>
      <c r="K223" s="5">
        <v>8.9</v>
      </c>
      <c r="L223" s="5">
        <v>5</v>
      </c>
      <c r="M223" s="5" t="s">
        <v>4</v>
      </c>
      <c r="N223" s="5" t="s">
        <v>4</v>
      </c>
      <c r="O223" s="6"/>
    </row>
    <row r="224" spans="1:15" ht="16" x14ac:dyDescent="0.2">
      <c r="A224" s="4">
        <v>45881</v>
      </c>
      <c r="B224" s="20">
        <v>25224</v>
      </c>
      <c r="C224" s="5" t="s">
        <v>53</v>
      </c>
      <c r="D224" s="5">
        <v>24</v>
      </c>
      <c r="E224" s="5" t="s">
        <v>2</v>
      </c>
      <c r="F224" s="5">
        <v>3</v>
      </c>
      <c r="G224" s="5">
        <v>11.3</v>
      </c>
      <c r="H224" s="5" t="s">
        <v>5</v>
      </c>
      <c r="I224" s="5">
        <v>0.7</v>
      </c>
      <c r="J224" s="5">
        <v>40.200000000000003</v>
      </c>
      <c r="K224" s="5">
        <v>9.85</v>
      </c>
      <c r="L224" s="5">
        <v>5</v>
      </c>
      <c r="M224" s="5" t="s">
        <v>4</v>
      </c>
      <c r="N224" s="5" t="s">
        <v>4</v>
      </c>
      <c r="O224" s="6"/>
    </row>
    <row r="225" spans="1:15" ht="16" x14ac:dyDescent="0.2">
      <c r="A225" s="4">
        <v>45881</v>
      </c>
      <c r="B225" s="20">
        <v>25224</v>
      </c>
      <c r="C225" s="5" t="s">
        <v>53</v>
      </c>
      <c r="D225" s="5">
        <v>25</v>
      </c>
      <c r="E225" s="5" t="s">
        <v>2</v>
      </c>
      <c r="F225" s="5">
        <v>3</v>
      </c>
      <c r="G225" s="5">
        <v>18.8</v>
      </c>
      <c r="H225" s="5" t="s">
        <v>5</v>
      </c>
      <c r="I225" s="5">
        <v>0.65</v>
      </c>
      <c r="J225" s="5">
        <v>32.9</v>
      </c>
      <c r="K225" s="5">
        <v>8</v>
      </c>
      <c r="L225" s="5">
        <v>5</v>
      </c>
      <c r="M225" s="5" t="s">
        <v>4</v>
      </c>
      <c r="N225" s="5" t="s">
        <v>4</v>
      </c>
      <c r="O225" s="6"/>
    </row>
    <row r="226" spans="1:15" ht="16" x14ac:dyDescent="0.2">
      <c r="A226" s="4">
        <v>45881</v>
      </c>
      <c r="B226" s="20">
        <v>25224</v>
      </c>
      <c r="C226" s="5" t="s">
        <v>53</v>
      </c>
      <c r="D226" s="5">
        <v>26</v>
      </c>
      <c r="E226" s="5" t="s">
        <v>2</v>
      </c>
      <c r="F226" s="5">
        <v>3</v>
      </c>
      <c r="G226" s="5">
        <v>21.8</v>
      </c>
      <c r="H226" s="5" t="s">
        <v>3</v>
      </c>
      <c r="I226" s="5">
        <v>0.45</v>
      </c>
      <c r="J226" s="5">
        <v>33.35</v>
      </c>
      <c r="K226" s="5">
        <v>8.15</v>
      </c>
      <c r="L226" s="5">
        <v>4.6500000000000004</v>
      </c>
      <c r="M226" s="5" t="s">
        <v>4</v>
      </c>
      <c r="N226" s="5" t="s">
        <v>4</v>
      </c>
      <c r="O226" s="6"/>
    </row>
    <row r="227" spans="1:15" ht="16" x14ac:dyDescent="0.2">
      <c r="A227" s="4">
        <v>45881</v>
      </c>
      <c r="B227" s="20">
        <v>25224</v>
      </c>
      <c r="C227" s="5" t="s">
        <v>53</v>
      </c>
      <c r="D227" s="5">
        <v>27</v>
      </c>
      <c r="E227" s="5" t="s">
        <v>2</v>
      </c>
      <c r="F227" s="5">
        <v>3</v>
      </c>
      <c r="G227" s="5">
        <v>30</v>
      </c>
      <c r="H227" s="5" t="s">
        <v>6</v>
      </c>
      <c r="I227" s="5">
        <v>0.25</v>
      </c>
      <c r="J227" s="5">
        <v>22.45</v>
      </c>
      <c r="K227" s="5" t="s">
        <v>8</v>
      </c>
      <c r="L227" s="5" t="s">
        <v>8</v>
      </c>
      <c r="M227" s="5" t="s">
        <v>4</v>
      </c>
      <c r="N227" s="5" t="s">
        <v>9</v>
      </c>
      <c r="O227" s="6"/>
    </row>
    <row r="228" spans="1:15" ht="15.75" customHeight="1" x14ac:dyDescent="0.2">
      <c r="A228" s="6"/>
      <c r="B228" s="6"/>
      <c r="C228" s="6"/>
      <c r="D228" s="6"/>
      <c r="E228" s="6"/>
      <c r="F228" s="6"/>
      <c r="G228" s="6"/>
      <c r="H228" s="6"/>
      <c r="I228" s="6"/>
      <c r="J228" s="6"/>
      <c r="K228" s="6"/>
      <c r="L228" s="6"/>
      <c r="M228" s="6"/>
      <c r="N228" s="6"/>
      <c r="O228" s="6"/>
    </row>
    <row r="229" spans="1:15" ht="15.75" customHeight="1" x14ac:dyDescent="0.2">
      <c r="A229" s="6"/>
      <c r="B229" s="6"/>
      <c r="C229" s="6"/>
      <c r="D229" s="6"/>
      <c r="E229" s="6"/>
      <c r="F229" s="6"/>
      <c r="G229" s="6"/>
      <c r="H229" s="6"/>
      <c r="I229" s="6"/>
      <c r="J229" s="6"/>
      <c r="K229" s="6"/>
      <c r="L229" s="6"/>
      <c r="M229" s="6"/>
      <c r="N229" s="6"/>
      <c r="O229" s="6"/>
    </row>
    <row r="230" spans="1:15" ht="15.75" customHeight="1" x14ac:dyDescent="0.2">
      <c r="A230" s="6"/>
      <c r="B230" s="6"/>
      <c r="C230" s="6"/>
      <c r="D230" s="6"/>
      <c r="E230" s="6"/>
      <c r="F230" s="6"/>
      <c r="G230" s="6"/>
      <c r="H230" s="6"/>
      <c r="I230" s="6"/>
      <c r="J230" s="6"/>
      <c r="K230" s="6"/>
      <c r="L230" s="6"/>
      <c r="M230" s="6"/>
      <c r="N230" s="6"/>
      <c r="O230" s="6"/>
    </row>
    <row r="231" spans="1:15" ht="15.75" customHeight="1" x14ac:dyDescent="0.2">
      <c r="A231" s="6"/>
      <c r="B231" s="6"/>
      <c r="C231" s="6"/>
      <c r="D231" s="6"/>
      <c r="E231" s="6"/>
      <c r="F231" s="6"/>
      <c r="G231" s="6"/>
      <c r="H231" s="6"/>
      <c r="I231" s="6"/>
      <c r="J231" s="6"/>
      <c r="K231" s="6"/>
      <c r="L231" s="6"/>
      <c r="M231" s="6"/>
      <c r="N231" s="6"/>
      <c r="O231" s="6"/>
    </row>
    <row r="232" spans="1:15" ht="15.75" customHeight="1" x14ac:dyDescent="0.2">
      <c r="A232" s="6"/>
      <c r="B232" s="6"/>
      <c r="C232" s="6"/>
      <c r="D232" s="6"/>
      <c r="E232" s="6"/>
      <c r="F232" s="6"/>
      <c r="G232" s="6"/>
      <c r="H232" s="6"/>
      <c r="I232" s="6"/>
      <c r="J232" s="6"/>
      <c r="K232" s="6"/>
      <c r="L232" s="6"/>
      <c r="M232" s="6"/>
      <c r="N232" s="6"/>
      <c r="O232" s="6"/>
    </row>
    <row r="233" spans="1:15" ht="15.75" customHeight="1" x14ac:dyDescent="0.2">
      <c r="A233" s="6"/>
      <c r="B233" s="6"/>
      <c r="C233" s="6"/>
      <c r="D233" s="6"/>
      <c r="E233" s="6"/>
      <c r="F233" s="6"/>
      <c r="G233" s="6"/>
      <c r="H233" s="6"/>
      <c r="I233" s="6"/>
      <c r="J233" s="6"/>
      <c r="K233" s="6"/>
      <c r="L233" s="6"/>
      <c r="M233" s="6"/>
      <c r="N233" s="6"/>
      <c r="O233" s="6"/>
    </row>
    <row r="234" spans="1:15" ht="15.75" customHeight="1" x14ac:dyDescent="0.2">
      <c r="A234" s="6"/>
      <c r="B234" s="6"/>
      <c r="C234" s="6"/>
      <c r="D234" s="6"/>
      <c r="E234" s="6"/>
      <c r="F234" s="6"/>
      <c r="G234" s="6"/>
      <c r="H234" s="6"/>
      <c r="I234" s="6"/>
      <c r="J234" s="6"/>
      <c r="K234" s="6"/>
      <c r="L234" s="6"/>
      <c r="M234" s="6"/>
      <c r="N234" s="6"/>
      <c r="O234" s="6"/>
    </row>
    <row r="235" spans="1:15" ht="15.75" customHeight="1" x14ac:dyDescent="0.2">
      <c r="A235" s="6"/>
      <c r="B235" s="6"/>
      <c r="C235" s="6"/>
      <c r="D235" s="6"/>
      <c r="E235" s="6"/>
      <c r="F235" s="6"/>
      <c r="G235" s="6"/>
      <c r="H235" s="6"/>
      <c r="I235" s="6"/>
      <c r="J235" s="6"/>
      <c r="K235" s="6"/>
      <c r="L235" s="6"/>
      <c r="M235" s="6"/>
      <c r="N235" s="6"/>
      <c r="O235" s="6"/>
    </row>
    <row r="236" spans="1:15" ht="15.75" customHeight="1" x14ac:dyDescent="0.2">
      <c r="A236" s="6"/>
      <c r="B236" s="6"/>
      <c r="C236" s="6"/>
      <c r="D236" s="6"/>
      <c r="E236" s="6"/>
      <c r="F236" s="6"/>
      <c r="G236" s="6"/>
      <c r="H236" s="6"/>
      <c r="I236" s="6"/>
      <c r="J236" s="6"/>
      <c r="K236" s="6"/>
      <c r="L236" s="6"/>
      <c r="M236" s="6"/>
      <c r="N236" s="6"/>
      <c r="O236" s="6"/>
    </row>
    <row r="237" spans="1:15" ht="15.75" customHeight="1" x14ac:dyDescent="0.2">
      <c r="A237" s="6"/>
      <c r="B237" s="6"/>
      <c r="C237" s="6"/>
      <c r="D237" s="6"/>
      <c r="E237" s="6"/>
      <c r="F237" s="6"/>
      <c r="G237" s="6"/>
      <c r="H237" s="6"/>
      <c r="I237" s="6"/>
      <c r="J237" s="6"/>
      <c r="K237" s="6"/>
      <c r="L237" s="6"/>
      <c r="M237" s="6"/>
      <c r="N237" s="6"/>
      <c r="O237" s="6"/>
    </row>
    <row r="238" spans="1:15" ht="15.75" customHeight="1" x14ac:dyDescent="0.2">
      <c r="A238" s="6"/>
      <c r="B238" s="6"/>
      <c r="C238" s="6"/>
      <c r="D238" s="6"/>
      <c r="E238" s="6"/>
      <c r="F238" s="6"/>
      <c r="G238" s="6"/>
      <c r="H238" s="6"/>
      <c r="I238" s="6"/>
      <c r="J238" s="6"/>
      <c r="K238" s="6"/>
      <c r="L238" s="6"/>
      <c r="M238" s="6"/>
      <c r="N238" s="6"/>
      <c r="O238" s="6"/>
    </row>
    <row r="239" spans="1:15" ht="15.75" customHeight="1" x14ac:dyDescent="0.2">
      <c r="A239" s="6"/>
      <c r="B239" s="6"/>
      <c r="C239" s="6"/>
      <c r="D239" s="6"/>
      <c r="E239" s="6"/>
      <c r="F239" s="6"/>
      <c r="G239" s="6"/>
      <c r="H239" s="6"/>
      <c r="I239" s="6"/>
      <c r="J239" s="6"/>
      <c r="K239" s="6"/>
      <c r="L239" s="6"/>
      <c r="M239" s="6"/>
      <c r="N239" s="6"/>
      <c r="O239" s="6"/>
    </row>
    <row r="240" spans="1:15" ht="15.75" customHeight="1" x14ac:dyDescent="0.2">
      <c r="A240" s="6"/>
      <c r="B240" s="6"/>
      <c r="C240" s="6"/>
      <c r="D240" s="6"/>
      <c r="E240" s="6"/>
      <c r="F240" s="6"/>
      <c r="G240" s="6"/>
      <c r="H240" s="6"/>
      <c r="I240" s="6"/>
      <c r="J240" s="6"/>
      <c r="K240" s="6"/>
      <c r="L240" s="6"/>
      <c r="M240" s="6"/>
      <c r="N240" s="6"/>
      <c r="O240" s="6"/>
    </row>
    <row r="241" spans="1:15" ht="15.75" customHeight="1" x14ac:dyDescent="0.2">
      <c r="A241" s="6"/>
      <c r="B241" s="6"/>
      <c r="C241" s="6"/>
      <c r="D241" s="6"/>
      <c r="E241" s="6"/>
      <c r="F241" s="6"/>
      <c r="G241" s="6"/>
      <c r="H241" s="6"/>
      <c r="I241" s="6"/>
      <c r="J241" s="6"/>
      <c r="K241" s="6"/>
      <c r="L241" s="6"/>
      <c r="M241" s="6"/>
      <c r="N241" s="6"/>
      <c r="O241" s="6"/>
    </row>
    <row r="242" spans="1:15" ht="15.75" customHeight="1" x14ac:dyDescent="0.2">
      <c r="A242" s="6"/>
      <c r="B242" s="6"/>
      <c r="C242" s="6"/>
      <c r="D242" s="6"/>
      <c r="E242" s="6"/>
      <c r="F242" s="6"/>
      <c r="G242" s="6"/>
      <c r="H242" s="6"/>
      <c r="I242" s="6"/>
      <c r="J242" s="6"/>
      <c r="K242" s="6"/>
      <c r="L242" s="6"/>
      <c r="M242" s="6"/>
      <c r="N242" s="6"/>
      <c r="O242" s="6"/>
    </row>
    <row r="243" spans="1:15" ht="15.75" customHeight="1" x14ac:dyDescent="0.2">
      <c r="A243" s="6"/>
      <c r="B243" s="6"/>
      <c r="C243" s="6"/>
      <c r="D243" s="6"/>
      <c r="E243" s="6"/>
      <c r="F243" s="6"/>
      <c r="G243" s="6"/>
      <c r="H243" s="6"/>
      <c r="I243" s="6"/>
      <c r="J243" s="6"/>
      <c r="K243" s="6"/>
      <c r="L243" s="6"/>
      <c r="M243" s="6"/>
      <c r="N243" s="6"/>
      <c r="O243" s="6"/>
    </row>
    <row r="244" spans="1:15" ht="15.75" customHeight="1" x14ac:dyDescent="0.2">
      <c r="A244" s="6"/>
      <c r="B244" s="6"/>
      <c r="C244" s="6"/>
      <c r="D244" s="6"/>
      <c r="E244" s="6"/>
      <c r="F244" s="6"/>
      <c r="G244" s="6"/>
      <c r="H244" s="6"/>
      <c r="I244" s="6"/>
      <c r="J244" s="6"/>
      <c r="K244" s="6"/>
      <c r="L244" s="6"/>
      <c r="M244" s="6"/>
      <c r="N244" s="6"/>
      <c r="O244" s="6"/>
    </row>
    <row r="245" spans="1:15" ht="15.75" customHeight="1" x14ac:dyDescent="0.2">
      <c r="A245" s="6"/>
      <c r="B245" s="6"/>
      <c r="C245" s="6"/>
      <c r="D245" s="6"/>
      <c r="E245" s="6"/>
      <c r="F245" s="6"/>
      <c r="G245" s="6"/>
      <c r="H245" s="6"/>
      <c r="I245" s="6"/>
      <c r="J245" s="6"/>
      <c r="K245" s="6"/>
      <c r="L245" s="6"/>
      <c r="M245" s="6"/>
      <c r="N245" s="6"/>
      <c r="O245" s="6"/>
    </row>
    <row r="246" spans="1:15" ht="15.75" customHeight="1" x14ac:dyDescent="0.2">
      <c r="A246" s="6"/>
      <c r="B246" s="6"/>
      <c r="C246" s="6"/>
      <c r="D246" s="6"/>
      <c r="E246" s="6"/>
      <c r="F246" s="6"/>
      <c r="G246" s="6"/>
      <c r="H246" s="6"/>
      <c r="I246" s="6"/>
      <c r="J246" s="6"/>
      <c r="K246" s="6"/>
      <c r="L246" s="6"/>
      <c r="M246" s="6"/>
      <c r="N246" s="6"/>
      <c r="O246" s="6"/>
    </row>
    <row r="247" spans="1:15" ht="15.75" customHeight="1" x14ac:dyDescent="0.2">
      <c r="A247" s="6"/>
      <c r="B247" s="6"/>
      <c r="C247" s="6"/>
      <c r="D247" s="6"/>
      <c r="E247" s="6"/>
      <c r="F247" s="6"/>
      <c r="G247" s="6"/>
      <c r="H247" s="6"/>
      <c r="I247" s="6"/>
      <c r="J247" s="6"/>
      <c r="K247" s="6"/>
      <c r="L247" s="6"/>
      <c r="M247" s="6"/>
      <c r="N247" s="6"/>
      <c r="O247" s="6"/>
    </row>
    <row r="248" spans="1:15" ht="15.75" customHeight="1" x14ac:dyDescent="0.2">
      <c r="A248" s="6"/>
      <c r="B248" s="6"/>
      <c r="C248" s="6"/>
      <c r="D248" s="6"/>
      <c r="E248" s="6"/>
      <c r="F248" s="6"/>
      <c r="G248" s="6"/>
      <c r="H248" s="6"/>
      <c r="I248" s="6"/>
      <c r="J248" s="6"/>
      <c r="K248" s="6"/>
      <c r="L248" s="6"/>
      <c r="M248" s="6"/>
      <c r="N248" s="6"/>
      <c r="O248" s="6"/>
    </row>
    <row r="249" spans="1:15" ht="15.75" customHeight="1" x14ac:dyDescent="0.2">
      <c r="A249" s="6"/>
      <c r="B249" s="6"/>
      <c r="C249" s="6"/>
      <c r="D249" s="6"/>
      <c r="E249" s="6"/>
      <c r="F249" s="6"/>
      <c r="G249" s="6"/>
      <c r="H249" s="6"/>
      <c r="I249" s="6"/>
      <c r="J249" s="6"/>
      <c r="K249" s="6"/>
      <c r="L249" s="6"/>
      <c r="M249" s="6"/>
      <c r="N249" s="6"/>
      <c r="O249" s="6"/>
    </row>
    <row r="250" spans="1:15" ht="15.75" customHeight="1" x14ac:dyDescent="0.2">
      <c r="A250" s="6"/>
      <c r="B250" s="6"/>
      <c r="C250" s="6"/>
      <c r="D250" s="6"/>
      <c r="E250" s="6"/>
      <c r="F250" s="6"/>
      <c r="G250" s="6"/>
      <c r="H250" s="6"/>
      <c r="I250" s="6"/>
      <c r="J250" s="6"/>
      <c r="K250" s="6"/>
      <c r="L250" s="6"/>
      <c r="M250" s="6"/>
      <c r="N250" s="6"/>
      <c r="O250" s="6"/>
    </row>
    <row r="251" spans="1:15" ht="15.75" customHeight="1" x14ac:dyDescent="0.2">
      <c r="A251" s="6"/>
      <c r="B251" s="6"/>
      <c r="C251" s="6"/>
      <c r="D251" s="6"/>
      <c r="E251" s="6"/>
      <c r="F251" s="6"/>
      <c r="G251" s="6"/>
      <c r="H251" s="6"/>
      <c r="I251" s="6"/>
      <c r="J251" s="6"/>
      <c r="K251" s="6"/>
      <c r="L251" s="6"/>
      <c r="M251" s="6"/>
      <c r="N251" s="6"/>
      <c r="O251" s="6"/>
    </row>
    <row r="252" spans="1:15" ht="15.75" customHeight="1" x14ac:dyDescent="0.2">
      <c r="A252" s="6"/>
      <c r="B252" s="6"/>
      <c r="C252" s="6"/>
      <c r="D252" s="6"/>
      <c r="E252" s="6"/>
      <c r="F252" s="6"/>
      <c r="G252" s="6"/>
      <c r="H252" s="6"/>
      <c r="I252" s="6"/>
      <c r="J252" s="6"/>
      <c r="K252" s="6"/>
      <c r="L252" s="6"/>
      <c r="M252" s="6"/>
      <c r="N252" s="6"/>
      <c r="O252" s="6"/>
    </row>
    <row r="253" spans="1:15" ht="15.75" customHeight="1" x14ac:dyDescent="0.2">
      <c r="A253" s="6"/>
      <c r="B253" s="6"/>
      <c r="C253" s="6"/>
      <c r="D253" s="6"/>
      <c r="E253" s="6"/>
      <c r="F253" s="6"/>
      <c r="G253" s="6"/>
      <c r="H253" s="6"/>
      <c r="I253" s="6"/>
      <c r="J253" s="6"/>
      <c r="K253" s="6"/>
      <c r="L253" s="6"/>
      <c r="M253" s="6"/>
      <c r="N253" s="6"/>
      <c r="O253" s="6"/>
    </row>
    <row r="254" spans="1:15" ht="15.75" customHeight="1" x14ac:dyDescent="0.2">
      <c r="A254" s="6"/>
      <c r="B254" s="6"/>
      <c r="C254" s="6"/>
      <c r="D254" s="6"/>
      <c r="E254" s="6"/>
      <c r="F254" s="6"/>
      <c r="G254" s="6"/>
      <c r="H254" s="6"/>
      <c r="I254" s="6"/>
      <c r="J254" s="6"/>
      <c r="K254" s="6"/>
      <c r="L254" s="6"/>
      <c r="M254" s="6"/>
      <c r="N254" s="6"/>
      <c r="O254" s="6"/>
    </row>
    <row r="255" spans="1:15" ht="15.75" customHeight="1" x14ac:dyDescent="0.2">
      <c r="A255" s="6"/>
      <c r="B255" s="6"/>
      <c r="C255" s="6"/>
      <c r="D255" s="6"/>
      <c r="E255" s="6"/>
      <c r="F255" s="6"/>
      <c r="G255" s="6"/>
      <c r="H255" s="6"/>
      <c r="I255" s="6"/>
      <c r="J255" s="6"/>
      <c r="K255" s="6"/>
      <c r="L255" s="6"/>
      <c r="M255" s="6"/>
      <c r="N255" s="6"/>
      <c r="O255" s="6"/>
    </row>
    <row r="256" spans="1:15" ht="15.75" customHeight="1" x14ac:dyDescent="0.2">
      <c r="A256" s="6"/>
      <c r="B256" s="6"/>
      <c r="C256" s="6"/>
      <c r="D256" s="6"/>
      <c r="E256" s="6"/>
      <c r="F256" s="6"/>
      <c r="G256" s="6"/>
      <c r="H256" s="6"/>
      <c r="I256" s="6"/>
      <c r="J256" s="6"/>
      <c r="K256" s="6"/>
      <c r="L256" s="6"/>
      <c r="M256" s="6"/>
      <c r="N256" s="6"/>
      <c r="O256" s="6"/>
    </row>
  </sheetData>
  <autoFilter ref="A1:O227" xr:uid="{00000000-0001-0000-0000-000000000000}"/>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593"/>
  <sheetViews>
    <sheetView workbookViewId="0">
      <pane xSplit="3" ySplit="1" topLeftCell="P559" activePane="bottomRight" state="frozen"/>
      <selection pane="topRight" activeCell="C1" sqref="C1"/>
      <selection pane="bottomLeft" activeCell="A2" sqref="A2"/>
      <selection pane="bottomRight" activeCell="V595" sqref="V595"/>
    </sheetView>
  </sheetViews>
  <sheetFormatPr baseColWidth="10" defaultColWidth="12.6640625" defaultRowHeight="15.75" customHeight="1" x14ac:dyDescent="0.15"/>
  <cols>
    <col min="3" max="3" width="26.1640625" bestFit="1" customWidth="1"/>
    <col min="4" max="4" width="29.5" bestFit="1" customWidth="1"/>
    <col min="5" max="6" width="23.5" customWidth="1"/>
    <col min="8" max="8" width="11.5" customWidth="1"/>
    <col min="9" max="9" width="9.5" customWidth="1"/>
    <col min="12" max="12" width="10.6640625" customWidth="1"/>
    <col min="13" max="13" width="10.1640625" customWidth="1"/>
    <col min="18" max="18" width="16.33203125" customWidth="1"/>
    <col min="19" max="19" width="17.83203125" customWidth="1"/>
    <col min="22" max="22" width="13.33203125" customWidth="1"/>
    <col min="23" max="23" width="7.83203125" customWidth="1"/>
    <col min="24" max="24" width="9.33203125" customWidth="1"/>
    <col min="26" max="26" width="17" customWidth="1"/>
  </cols>
  <sheetData>
    <row r="1" spans="1:28" ht="36" x14ac:dyDescent="0.2">
      <c r="A1" s="1" t="s">
        <v>298</v>
      </c>
      <c r="B1" s="1" t="s">
        <v>341</v>
      </c>
      <c r="C1" s="1" t="s">
        <v>299</v>
      </c>
      <c r="D1" s="1" t="s">
        <v>311</v>
      </c>
      <c r="E1" s="1" t="s">
        <v>333</v>
      </c>
      <c r="F1" s="1" t="s">
        <v>334</v>
      </c>
      <c r="G1" s="1" t="s">
        <v>312</v>
      </c>
      <c r="H1" s="1" t="s">
        <v>313</v>
      </c>
      <c r="I1" s="1" t="s">
        <v>314</v>
      </c>
      <c r="J1" s="1" t="s">
        <v>315</v>
      </c>
      <c r="K1" s="1" t="s">
        <v>316</v>
      </c>
      <c r="L1" s="1" t="s">
        <v>317</v>
      </c>
      <c r="M1" s="1" t="s">
        <v>318</v>
      </c>
      <c r="N1" s="1" t="s">
        <v>319</v>
      </c>
      <c r="O1" s="1" t="s">
        <v>320</v>
      </c>
      <c r="P1" s="1" t="s">
        <v>321</v>
      </c>
      <c r="Q1" s="1" t="s">
        <v>322</v>
      </c>
      <c r="R1" s="1" t="s">
        <v>302</v>
      </c>
      <c r="S1" s="1" t="s">
        <v>303</v>
      </c>
      <c r="T1" s="1" t="s">
        <v>323</v>
      </c>
      <c r="U1" s="1" t="s">
        <v>324</v>
      </c>
      <c r="V1" s="1" t="s">
        <v>325</v>
      </c>
      <c r="W1" s="1" t="s">
        <v>326</v>
      </c>
      <c r="X1" s="1" t="s">
        <v>327</v>
      </c>
      <c r="Y1" s="1" t="s">
        <v>328</v>
      </c>
      <c r="Z1" s="1" t="s">
        <v>329</v>
      </c>
      <c r="AA1" s="1" t="s">
        <v>0</v>
      </c>
    </row>
    <row r="2" spans="1:28" ht="15.75" customHeight="1" x14ac:dyDescent="0.2">
      <c r="A2" s="4">
        <v>45792</v>
      </c>
      <c r="B2" s="19">
        <v>25135</v>
      </c>
      <c r="C2" s="5" t="s">
        <v>1</v>
      </c>
      <c r="D2" s="5" t="s">
        <v>54</v>
      </c>
      <c r="E2" s="15">
        <v>42.079966666700003</v>
      </c>
      <c r="F2" s="15">
        <v>-75.972461111100003</v>
      </c>
      <c r="G2" s="5" t="s">
        <v>335</v>
      </c>
      <c r="H2" s="5">
        <v>63.9</v>
      </c>
      <c r="I2" s="5">
        <v>83.2</v>
      </c>
      <c r="J2" s="5">
        <v>73.099999999999994</v>
      </c>
      <c r="K2" s="5">
        <v>83.1</v>
      </c>
      <c r="L2" s="10">
        <v>0.33333333333333331</v>
      </c>
      <c r="M2" s="10">
        <v>0.6430555555555556</v>
      </c>
      <c r="N2" s="11">
        <f t="shared" ref="N2:N26" si="0">AVERAGE(96,96,96,96)*1.04</f>
        <v>99.84</v>
      </c>
      <c r="O2" s="11">
        <f>AVERAGE(96,96,95,96)*1.04</f>
        <v>99.58</v>
      </c>
      <c r="P2" s="11">
        <f>AVERAGE(96,96,96,96)*1.04</f>
        <v>99.84</v>
      </c>
      <c r="Q2" s="11">
        <f t="shared" ref="Q2:Q256" si="1">AVERAGE(N2,O2,P2)</f>
        <v>99.75333333333333</v>
      </c>
      <c r="R2" s="5">
        <v>1</v>
      </c>
      <c r="S2" s="6"/>
      <c r="T2" s="5" t="s">
        <v>9</v>
      </c>
      <c r="U2" s="5" t="s">
        <v>55</v>
      </c>
      <c r="V2" s="5">
        <v>60.6</v>
      </c>
      <c r="W2" s="5">
        <v>6</v>
      </c>
      <c r="X2" s="5">
        <v>55</v>
      </c>
      <c r="Y2" s="5">
        <v>3</v>
      </c>
      <c r="Z2" s="6"/>
      <c r="AA2" s="6"/>
      <c r="AB2" s="6"/>
    </row>
    <row r="3" spans="1:28" ht="15.75" customHeight="1" x14ac:dyDescent="0.2">
      <c r="A3" s="4">
        <v>45792</v>
      </c>
      <c r="B3" s="19">
        <v>25135</v>
      </c>
      <c r="C3" s="5" t="s">
        <v>1</v>
      </c>
      <c r="D3" s="6"/>
      <c r="E3" s="15">
        <v>42.079966666700003</v>
      </c>
      <c r="F3" s="15">
        <v>-75.972461111100003</v>
      </c>
      <c r="G3" s="5" t="s">
        <v>335</v>
      </c>
      <c r="H3" s="5">
        <v>63.9</v>
      </c>
      <c r="I3" s="5">
        <v>83.2</v>
      </c>
      <c r="J3" s="5">
        <v>73.099999999999994</v>
      </c>
      <c r="K3" s="5">
        <v>83.1</v>
      </c>
      <c r="L3" s="10">
        <v>0.33333333333333331</v>
      </c>
      <c r="M3" s="10">
        <v>0.6430555555555556</v>
      </c>
      <c r="N3" s="11">
        <f t="shared" si="0"/>
        <v>99.84</v>
      </c>
      <c r="O3" s="11">
        <f t="shared" ref="O3:P3" si="2">AVERAGE(96,96,96,96)*1.04</f>
        <v>99.84</v>
      </c>
      <c r="P3" s="11">
        <f t="shared" si="2"/>
        <v>99.84</v>
      </c>
      <c r="Q3" s="11">
        <f t="shared" si="1"/>
        <v>99.839999999999989</v>
      </c>
      <c r="R3" s="5">
        <v>1</v>
      </c>
      <c r="S3" s="6"/>
      <c r="T3" s="5" t="s">
        <v>9</v>
      </c>
      <c r="U3" s="5" t="s">
        <v>56</v>
      </c>
      <c r="V3" s="5">
        <v>61.5</v>
      </c>
      <c r="W3" s="5" t="s">
        <v>8</v>
      </c>
      <c r="X3" s="5" t="s">
        <v>8</v>
      </c>
      <c r="Y3" s="5">
        <v>2</v>
      </c>
      <c r="Z3" s="5"/>
      <c r="AA3" s="5" t="s">
        <v>57</v>
      </c>
      <c r="AB3" s="6"/>
    </row>
    <row r="4" spans="1:28" ht="15.75" customHeight="1" x14ac:dyDescent="0.2">
      <c r="A4" s="4">
        <v>45792</v>
      </c>
      <c r="B4" s="19">
        <v>25135</v>
      </c>
      <c r="C4" s="5" t="s">
        <v>1</v>
      </c>
      <c r="D4" s="6"/>
      <c r="E4" s="15">
        <v>42.079966666700003</v>
      </c>
      <c r="F4" s="15">
        <v>-75.972461111100003</v>
      </c>
      <c r="G4" s="5" t="s">
        <v>335</v>
      </c>
      <c r="H4" s="5">
        <v>63.9</v>
      </c>
      <c r="I4" s="5">
        <v>83.2</v>
      </c>
      <c r="J4" s="5">
        <v>73.099999999999994</v>
      </c>
      <c r="K4" s="5">
        <v>83.1</v>
      </c>
      <c r="L4" s="10">
        <v>0.33333333333333331</v>
      </c>
      <c r="M4" s="10">
        <v>0.6430555555555556</v>
      </c>
      <c r="N4" s="11">
        <f t="shared" si="0"/>
        <v>99.84</v>
      </c>
      <c r="O4" s="11">
        <f t="shared" ref="O4:P4" si="3">AVERAGE(96,96,96,96)*1.04</f>
        <v>99.84</v>
      </c>
      <c r="P4" s="11">
        <f t="shared" si="3"/>
        <v>99.84</v>
      </c>
      <c r="Q4" s="11">
        <f t="shared" si="1"/>
        <v>99.839999999999989</v>
      </c>
      <c r="R4" s="5">
        <v>1</v>
      </c>
      <c r="S4" s="6"/>
      <c r="T4" s="5" t="s">
        <v>9</v>
      </c>
      <c r="U4" s="5" t="s">
        <v>56</v>
      </c>
      <c r="V4" s="5">
        <v>64</v>
      </c>
      <c r="W4" s="5">
        <v>6</v>
      </c>
      <c r="X4" s="5">
        <v>41</v>
      </c>
      <c r="Y4" s="5" t="s">
        <v>8</v>
      </c>
      <c r="Z4" s="6"/>
      <c r="AA4" s="6"/>
      <c r="AB4" s="6"/>
    </row>
    <row r="5" spans="1:28" ht="15.75" customHeight="1" x14ac:dyDescent="0.2">
      <c r="A5" s="4">
        <v>45792</v>
      </c>
      <c r="B5" s="19">
        <v>25135</v>
      </c>
      <c r="C5" s="5" t="s">
        <v>1</v>
      </c>
      <c r="D5" s="6"/>
      <c r="E5" s="15">
        <v>42.079966666700003</v>
      </c>
      <c r="F5" s="15">
        <v>-75.972461111100003</v>
      </c>
      <c r="G5" s="5" t="s">
        <v>335</v>
      </c>
      <c r="H5" s="5">
        <v>63.9</v>
      </c>
      <c r="I5" s="5">
        <v>83.2</v>
      </c>
      <c r="J5" s="5">
        <v>73.099999999999994</v>
      </c>
      <c r="K5" s="5">
        <v>83.1</v>
      </c>
      <c r="L5" s="10">
        <v>0.33333333333333331</v>
      </c>
      <c r="M5" s="10">
        <v>0.6430555555555556</v>
      </c>
      <c r="N5" s="11">
        <f t="shared" si="0"/>
        <v>99.84</v>
      </c>
      <c r="O5" s="11">
        <f t="shared" ref="O5:P5" si="4">AVERAGE(96,96,96,96)*1.04</f>
        <v>99.84</v>
      </c>
      <c r="P5" s="11">
        <f t="shared" si="4"/>
        <v>99.84</v>
      </c>
      <c r="Q5" s="11">
        <f t="shared" si="1"/>
        <v>99.839999999999989</v>
      </c>
      <c r="R5" s="5">
        <v>1</v>
      </c>
      <c r="S5" s="6"/>
      <c r="T5" s="5" t="s">
        <v>9</v>
      </c>
      <c r="U5" s="5" t="s">
        <v>56</v>
      </c>
      <c r="V5" s="5">
        <v>66.5</v>
      </c>
      <c r="W5" s="5">
        <v>6</v>
      </c>
      <c r="X5" s="5">
        <v>49</v>
      </c>
      <c r="Y5" s="5">
        <v>1</v>
      </c>
      <c r="Z5" s="6"/>
      <c r="AA5" s="6"/>
      <c r="AB5" s="6"/>
    </row>
    <row r="6" spans="1:28" ht="15.75" customHeight="1" x14ac:dyDescent="0.2">
      <c r="A6" s="4">
        <v>45792</v>
      </c>
      <c r="B6" s="19">
        <v>25135</v>
      </c>
      <c r="C6" s="5" t="s">
        <v>1</v>
      </c>
      <c r="D6" s="6"/>
      <c r="E6" s="15">
        <v>42.079966666700003</v>
      </c>
      <c r="F6" s="15">
        <v>-75.972461111100003</v>
      </c>
      <c r="G6" s="5" t="s">
        <v>335</v>
      </c>
      <c r="H6" s="5">
        <v>63.9</v>
      </c>
      <c r="I6" s="5">
        <v>83.2</v>
      </c>
      <c r="J6" s="5">
        <v>73.099999999999994</v>
      </c>
      <c r="K6" s="5">
        <v>83.1</v>
      </c>
      <c r="L6" s="10">
        <v>0.33333333333333331</v>
      </c>
      <c r="M6" s="10">
        <v>0.6430555555555556</v>
      </c>
      <c r="N6" s="11">
        <f t="shared" si="0"/>
        <v>99.84</v>
      </c>
      <c r="O6" s="11">
        <f t="shared" ref="O6:P6" si="5">AVERAGE(96,96,96,96)*1.04</f>
        <v>99.84</v>
      </c>
      <c r="P6" s="11">
        <f t="shared" si="5"/>
        <v>99.84</v>
      </c>
      <c r="Q6" s="11">
        <f t="shared" si="1"/>
        <v>99.839999999999989</v>
      </c>
      <c r="R6" s="5">
        <v>1</v>
      </c>
      <c r="S6" s="6"/>
      <c r="T6" s="5" t="s">
        <v>4</v>
      </c>
      <c r="U6" s="5" t="s">
        <v>56</v>
      </c>
      <c r="V6" s="5">
        <v>64.2</v>
      </c>
      <c r="W6" s="5">
        <v>6</v>
      </c>
      <c r="X6" s="5">
        <v>55</v>
      </c>
      <c r="Y6" s="5">
        <v>2</v>
      </c>
      <c r="Z6" s="6"/>
      <c r="AA6" s="6"/>
      <c r="AB6" s="6"/>
    </row>
    <row r="7" spans="1:28" ht="15.75" customHeight="1" x14ac:dyDescent="0.2">
      <c r="A7" s="4">
        <v>45792</v>
      </c>
      <c r="B7" s="19">
        <v>25135</v>
      </c>
      <c r="C7" s="5" t="s">
        <v>1</v>
      </c>
      <c r="D7" s="6"/>
      <c r="E7" s="15">
        <v>42.079966666700003</v>
      </c>
      <c r="F7" s="15">
        <v>-75.972461111100003</v>
      </c>
      <c r="G7" s="5" t="s">
        <v>335</v>
      </c>
      <c r="H7" s="5">
        <v>63.9</v>
      </c>
      <c r="I7" s="5">
        <v>83.2</v>
      </c>
      <c r="J7" s="5">
        <v>73.099999999999994</v>
      </c>
      <c r="K7" s="5">
        <v>83.1</v>
      </c>
      <c r="L7" s="10">
        <v>0.33333333333333331</v>
      </c>
      <c r="M7" s="10">
        <v>0.6430555555555556</v>
      </c>
      <c r="N7" s="11">
        <f t="shared" si="0"/>
        <v>99.84</v>
      </c>
      <c r="O7" s="11">
        <f t="shared" ref="O7:P7" si="6">AVERAGE(96,96,96,96)*1.04</f>
        <v>99.84</v>
      </c>
      <c r="P7" s="11">
        <f t="shared" si="6"/>
        <v>99.84</v>
      </c>
      <c r="Q7" s="11">
        <f t="shared" si="1"/>
        <v>99.839999999999989</v>
      </c>
      <c r="R7" s="5">
        <v>1</v>
      </c>
      <c r="S7" s="6"/>
      <c r="T7" s="5" t="s">
        <v>9</v>
      </c>
      <c r="U7" s="5" t="s">
        <v>56</v>
      </c>
      <c r="V7" s="5">
        <v>65.099999999999994</v>
      </c>
      <c r="W7" s="5">
        <v>6.1</v>
      </c>
      <c r="X7" s="5">
        <v>52</v>
      </c>
      <c r="Y7" s="5">
        <v>1</v>
      </c>
      <c r="Z7" s="6"/>
      <c r="AA7" s="6"/>
      <c r="AB7" s="6"/>
    </row>
    <row r="8" spans="1:28" ht="15.75" customHeight="1" x14ac:dyDescent="0.2">
      <c r="A8" s="4">
        <v>45792</v>
      </c>
      <c r="B8" s="19">
        <v>25135</v>
      </c>
      <c r="C8" s="5" t="s">
        <v>1</v>
      </c>
      <c r="D8" s="6"/>
      <c r="E8" s="15">
        <v>42.079966666700003</v>
      </c>
      <c r="F8" s="15">
        <v>-75.972461111100003</v>
      </c>
      <c r="G8" s="5" t="s">
        <v>335</v>
      </c>
      <c r="H8" s="5">
        <v>63.9</v>
      </c>
      <c r="I8" s="5">
        <v>83.2</v>
      </c>
      <c r="J8" s="5">
        <v>73.099999999999994</v>
      </c>
      <c r="K8" s="5">
        <v>83.1</v>
      </c>
      <c r="L8" s="10">
        <v>0.33333333333333331</v>
      </c>
      <c r="M8" s="10">
        <v>0.6430555555555556</v>
      </c>
      <c r="N8" s="11">
        <f t="shared" si="0"/>
        <v>99.84</v>
      </c>
      <c r="O8" s="11">
        <f t="shared" ref="O8:P8" si="7">AVERAGE(96,96,96,96)*1.04</f>
        <v>99.84</v>
      </c>
      <c r="P8" s="11">
        <f t="shared" si="7"/>
        <v>99.84</v>
      </c>
      <c r="Q8" s="11">
        <f t="shared" si="1"/>
        <v>99.839999999999989</v>
      </c>
      <c r="R8" s="5">
        <v>1</v>
      </c>
      <c r="S8" s="6"/>
      <c r="T8" s="5" t="s">
        <v>9</v>
      </c>
      <c r="U8" s="5" t="s">
        <v>56</v>
      </c>
      <c r="V8" s="5">
        <v>63.6</v>
      </c>
      <c r="W8" s="5">
        <v>6.2</v>
      </c>
      <c r="X8" s="5">
        <v>62</v>
      </c>
      <c r="Y8" s="5">
        <v>3</v>
      </c>
      <c r="Z8" s="6"/>
      <c r="AA8" s="6"/>
      <c r="AB8" s="6"/>
    </row>
    <row r="9" spans="1:28" ht="15.75" customHeight="1" x14ac:dyDescent="0.2">
      <c r="A9" s="4">
        <v>45792</v>
      </c>
      <c r="B9" s="19">
        <v>25135</v>
      </c>
      <c r="C9" s="5" t="s">
        <v>1</v>
      </c>
      <c r="D9" s="6"/>
      <c r="E9" s="15">
        <v>42.079966666700003</v>
      </c>
      <c r="F9" s="15">
        <v>-75.972461111100003</v>
      </c>
      <c r="G9" s="5" t="s">
        <v>335</v>
      </c>
      <c r="H9" s="5">
        <v>63.9</v>
      </c>
      <c r="I9" s="5">
        <v>83.2</v>
      </c>
      <c r="J9" s="5">
        <v>73.099999999999994</v>
      </c>
      <c r="K9" s="5">
        <v>83.1</v>
      </c>
      <c r="L9" s="10">
        <v>0.33333333333333331</v>
      </c>
      <c r="M9" s="10">
        <v>0.6430555555555556</v>
      </c>
      <c r="N9" s="11">
        <f t="shared" si="0"/>
        <v>99.84</v>
      </c>
      <c r="O9" s="11">
        <f t="shared" ref="O9:P9" si="8">AVERAGE(96,96,96,96)*1.04</f>
        <v>99.84</v>
      </c>
      <c r="P9" s="11">
        <f t="shared" si="8"/>
        <v>99.84</v>
      </c>
      <c r="Q9" s="11">
        <f t="shared" si="1"/>
        <v>99.839999999999989</v>
      </c>
      <c r="R9" s="5">
        <v>1</v>
      </c>
      <c r="S9" s="6"/>
      <c r="T9" s="5" t="s">
        <v>4</v>
      </c>
      <c r="U9" s="5" t="s">
        <v>56</v>
      </c>
      <c r="V9" s="5">
        <v>62.2</v>
      </c>
      <c r="W9" s="5" t="s">
        <v>8</v>
      </c>
      <c r="X9" s="5" t="s">
        <v>8</v>
      </c>
      <c r="Y9" s="5">
        <v>3</v>
      </c>
      <c r="Z9" s="5"/>
      <c r="AA9" s="5" t="s">
        <v>58</v>
      </c>
      <c r="AB9" s="6"/>
    </row>
    <row r="10" spans="1:28" ht="15.75" customHeight="1" x14ac:dyDescent="0.2">
      <c r="A10" s="4">
        <v>45792</v>
      </c>
      <c r="B10" s="19">
        <v>25135</v>
      </c>
      <c r="C10" s="5" t="s">
        <v>1</v>
      </c>
      <c r="D10" s="6"/>
      <c r="E10" s="15">
        <v>42.079966666700003</v>
      </c>
      <c r="F10" s="15">
        <v>-75.972461111100003</v>
      </c>
      <c r="G10" s="5" t="s">
        <v>335</v>
      </c>
      <c r="H10" s="5">
        <v>63.9</v>
      </c>
      <c r="I10" s="5">
        <v>83.2</v>
      </c>
      <c r="J10" s="5">
        <v>73.099999999999994</v>
      </c>
      <c r="K10" s="5">
        <v>83.1</v>
      </c>
      <c r="L10" s="10">
        <v>0.33333333333333331</v>
      </c>
      <c r="M10" s="10">
        <v>0.6430555555555556</v>
      </c>
      <c r="N10" s="11">
        <f t="shared" si="0"/>
        <v>99.84</v>
      </c>
      <c r="O10" s="11">
        <f t="shared" ref="O10:P10" si="9">AVERAGE(96,96,96,96)*1.04</f>
        <v>99.84</v>
      </c>
      <c r="P10" s="11">
        <f t="shared" si="9"/>
        <v>99.84</v>
      </c>
      <c r="Q10" s="11">
        <f t="shared" si="1"/>
        <v>99.839999999999989</v>
      </c>
      <c r="R10" s="5">
        <v>1</v>
      </c>
      <c r="S10" s="6"/>
      <c r="T10" s="5" t="s">
        <v>9</v>
      </c>
      <c r="U10" s="5" t="s">
        <v>56</v>
      </c>
      <c r="V10" s="5">
        <v>62.3</v>
      </c>
      <c r="W10" s="5">
        <v>6</v>
      </c>
      <c r="X10" s="5">
        <v>50</v>
      </c>
      <c r="Y10" s="5">
        <v>3</v>
      </c>
      <c r="Z10" s="6"/>
      <c r="AA10" s="6"/>
      <c r="AB10" s="6"/>
    </row>
    <row r="11" spans="1:28" ht="15.75" customHeight="1" x14ac:dyDescent="0.2">
      <c r="A11" s="4">
        <v>45792</v>
      </c>
      <c r="B11" s="19">
        <v>25135</v>
      </c>
      <c r="C11" s="5" t="s">
        <v>1</v>
      </c>
      <c r="D11" s="6"/>
      <c r="E11" s="15">
        <v>42.079966666700003</v>
      </c>
      <c r="F11" s="15">
        <v>-75.972461111100003</v>
      </c>
      <c r="G11" s="5" t="s">
        <v>335</v>
      </c>
      <c r="H11" s="5">
        <v>63.9</v>
      </c>
      <c r="I11" s="5">
        <v>83.2</v>
      </c>
      <c r="J11" s="5">
        <v>73.099999999999994</v>
      </c>
      <c r="K11" s="5">
        <v>83.1</v>
      </c>
      <c r="L11" s="10">
        <v>0.33333333333333331</v>
      </c>
      <c r="M11" s="10">
        <v>0.6430555555555556</v>
      </c>
      <c r="N11" s="11">
        <f t="shared" si="0"/>
        <v>99.84</v>
      </c>
      <c r="O11" s="11">
        <f t="shared" ref="O11:P11" si="10">AVERAGE(96,96,96,96)*1.04</f>
        <v>99.84</v>
      </c>
      <c r="P11" s="11">
        <f t="shared" si="10"/>
        <v>99.84</v>
      </c>
      <c r="Q11" s="11">
        <f t="shared" si="1"/>
        <v>99.839999999999989</v>
      </c>
      <c r="R11" s="5">
        <v>2</v>
      </c>
      <c r="S11" s="5" t="s">
        <v>15</v>
      </c>
      <c r="T11" s="5" t="s">
        <v>9</v>
      </c>
      <c r="U11" s="5" t="s">
        <v>56</v>
      </c>
      <c r="V11" s="5">
        <v>64.3</v>
      </c>
      <c r="W11" s="5">
        <v>6.3</v>
      </c>
      <c r="X11" s="5">
        <v>68</v>
      </c>
      <c r="Y11" s="5">
        <v>2.5</v>
      </c>
      <c r="Z11" s="5"/>
      <c r="AA11" s="5" t="s">
        <v>15</v>
      </c>
      <c r="AB11" s="6"/>
    </row>
    <row r="12" spans="1:28" ht="15.75" customHeight="1" x14ac:dyDescent="0.2">
      <c r="A12" s="4">
        <v>45792</v>
      </c>
      <c r="B12" s="19">
        <v>25135</v>
      </c>
      <c r="C12" s="5" t="s">
        <v>1</v>
      </c>
      <c r="D12" s="6"/>
      <c r="E12" s="15">
        <v>42.079966666700003</v>
      </c>
      <c r="F12" s="15">
        <v>-75.972461111100003</v>
      </c>
      <c r="G12" s="5" t="s">
        <v>335</v>
      </c>
      <c r="H12" s="5">
        <v>63.9</v>
      </c>
      <c r="I12" s="5">
        <v>83.2</v>
      </c>
      <c r="J12" s="5">
        <v>73.099999999999994</v>
      </c>
      <c r="K12" s="5">
        <v>83.1</v>
      </c>
      <c r="L12" s="10">
        <v>0.33333333333333331</v>
      </c>
      <c r="M12" s="10">
        <v>0.6430555555555556</v>
      </c>
      <c r="N12" s="11">
        <f t="shared" si="0"/>
        <v>99.84</v>
      </c>
      <c r="O12" s="11">
        <f t="shared" ref="O12:P12" si="11">AVERAGE(96,96,96,96)*1.04</f>
        <v>99.84</v>
      </c>
      <c r="P12" s="11">
        <f t="shared" si="11"/>
        <v>99.84</v>
      </c>
      <c r="Q12" s="11">
        <f t="shared" si="1"/>
        <v>99.839999999999989</v>
      </c>
      <c r="R12" s="5">
        <v>2</v>
      </c>
      <c r="S12" s="5" t="s">
        <v>15</v>
      </c>
      <c r="T12" s="5" t="s">
        <v>9</v>
      </c>
      <c r="U12" s="5" t="s">
        <v>55</v>
      </c>
      <c r="V12" s="5">
        <v>65.7</v>
      </c>
      <c r="W12" s="5">
        <v>5.7</v>
      </c>
      <c r="X12" s="5">
        <v>50</v>
      </c>
      <c r="Y12" s="5">
        <v>4</v>
      </c>
      <c r="Z12" s="5"/>
      <c r="AA12" s="5" t="s">
        <v>15</v>
      </c>
      <c r="AB12" s="6"/>
    </row>
    <row r="13" spans="1:28" ht="15.75" customHeight="1" x14ac:dyDescent="0.2">
      <c r="A13" s="4">
        <v>45792</v>
      </c>
      <c r="B13" s="19">
        <v>25135</v>
      </c>
      <c r="C13" s="5" t="s">
        <v>1</v>
      </c>
      <c r="D13" s="6"/>
      <c r="E13" s="15">
        <v>42.079966666700003</v>
      </c>
      <c r="F13" s="15">
        <v>-75.972461111100003</v>
      </c>
      <c r="G13" s="5" t="s">
        <v>335</v>
      </c>
      <c r="H13" s="5">
        <v>63.9</v>
      </c>
      <c r="I13" s="5">
        <v>83.2</v>
      </c>
      <c r="J13" s="5">
        <v>73.099999999999994</v>
      </c>
      <c r="K13" s="5">
        <v>83.1</v>
      </c>
      <c r="L13" s="10">
        <v>0.33333333333333331</v>
      </c>
      <c r="M13" s="10">
        <v>0.6430555555555556</v>
      </c>
      <c r="N13" s="11">
        <f t="shared" si="0"/>
        <v>99.84</v>
      </c>
      <c r="O13" s="11">
        <f t="shared" ref="O13:P13" si="12">AVERAGE(96,96,96,96)*1.04</f>
        <v>99.84</v>
      </c>
      <c r="P13" s="11">
        <f t="shared" si="12"/>
        <v>99.84</v>
      </c>
      <c r="Q13" s="11">
        <f t="shared" si="1"/>
        <v>99.839999999999989</v>
      </c>
      <c r="R13" s="5">
        <v>2</v>
      </c>
      <c r="S13" s="5" t="s">
        <v>15</v>
      </c>
      <c r="T13" s="5" t="s">
        <v>9</v>
      </c>
      <c r="U13" s="5" t="s">
        <v>56</v>
      </c>
      <c r="V13" s="5">
        <v>69.099999999999994</v>
      </c>
      <c r="W13" s="5">
        <v>5.6</v>
      </c>
      <c r="X13" s="5">
        <v>43</v>
      </c>
      <c r="Y13" s="5">
        <v>1</v>
      </c>
      <c r="Z13" s="5"/>
      <c r="AA13" s="5" t="s">
        <v>15</v>
      </c>
      <c r="AB13" s="6"/>
    </row>
    <row r="14" spans="1:28" ht="15.75" customHeight="1" x14ac:dyDescent="0.2">
      <c r="A14" s="4">
        <v>45792</v>
      </c>
      <c r="B14" s="19">
        <v>25135</v>
      </c>
      <c r="C14" s="5" t="s">
        <v>1</v>
      </c>
      <c r="D14" s="6"/>
      <c r="E14" s="15">
        <v>42.079966666700003</v>
      </c>
      <c r="F14" s="15">
        <v>-75.972461111100003</v>
      </c>
      <c r="G14" s="5" t="s">
        <v>335</v>
      </c>
      <c r="H14" s="5">
        <v>63.9</v>
      </c>
      <c r="I14" s="5">
        <v>83.2</v>
      </c>
      <c r="J14" s="5">
        <v>73.099999999999994</v>
      </c>
      <c r="K14" s="5">
        <v>83.1</v>
      </c>
      <c r="L14" s="10">
        <v>0.33333333333333331</v>
      </c>
      <c r="M14" s="10">
        <v>0.6430555555555556</v>
      </c>
      <c r="N14" s="11">
        <f t="shared" si="0"/>
        <v>99.84</v>
      </c>
      <c r="O14" s="11">
        <f t="shared" ref="O14:P14" si="13">AVERAGE(96,96,96,96)*1.04</f>
        <v>99.84</v>
      </c>
      <c r="P14" s="11">
        <f t="shared" si="13"/>
        <v>99.84</v>
      </c>
      <c r="Q14" s="11">
        <f t="shared" si="1"/>
        <v>99.839999999999989</v>
      </c>
      <c r="R14" s="5">
        <v>2</v>
      </c>
      <c r="S14" s="6"/>
      <c r="T14" s="5" t="s">
        <v>4</v>
      </c>
      <c r="U14" s="5" t="s">
        <v>56</v>
      </c>
      <c r="V14" s="5">
        <v>68.400000000000006</v>
      </c>
      <c r="W14" s="5">
        <v>5.8</v>
      </c>
      <c r="X14" s="5">
        <v>57</v>
      </c>
      <c r="Y14" s="5">
        <v>2</v>
      </c>
      <c r="Z14" s="6"/>
      <c r="AA14" s="6"/>
      <c r="AB14" s="6"/>
    </row>
    <row r="15" spans="1:28" ht="15.75" customHeight="1" x14ac:dyDescent="0.2">
      <c r="A15" s="4">
        <v>45792</v>
      </c>
      <c r="B15" s="19">
        <v>25135</v>
      </c>
      <c r="C15" s="5" t="s">
        <v>1</v>
      </c>
      <c r="D15" s="6"/>
      <c r="E15" s="15">
        <v>42.079966666700003</v>
      </c>
      <c r="F15" s="15">
        <v>-75.972461111100003</v>
      </c>
      <c r="G15" s="5" t="s">
        <v>335</v>
      </c>
      <c r="H15" s="5">
        <v>63.9</v>
      </c>
      <c r="I15" s="5">
        <v>83.2</v>
      </c>
      <c r="J15" s="5">
        <v>73.099999999999994</v>
      </c>
      <c r="K15" s="5">
        <v>83.1</v>
      </c>
      <c r="L15" s="10">
        <v>0.33333333333333331</v>
      </c>
      <c r="M15" s="10">
        <v>0.6430555555555556</v>
      </c>
      <c r="N15" s="11">
        <f t="shared" si="0"/>
        <v>99.84</v>
      </c>
      <c r="O15" s="11">
        <f t="shared" ref="O15:P15" si="14">AVERAGE(96,96,96,96)*1.04</f>
        <v>99.84</v>
      </c>
      <c r="P15" s="11">
        <f t="shared" si="14"/>
        <v>99.84</v>
      </c>
      <c r="Q15" s="11">
        <f t="shared" si="1"/>
        <v>99.839999999999989</v>
      </c>
      <c r="R15" s="5">
        <v>2</v>
      </c>
      <c r="S15" s="6" t="s">
        <v>16</v>
      </c>
      <c r="T15" s="5" t="s">
        <v>9</v>
      </c>
      <c r="U15" s="5" t="s">
        <v>56</v>
      </c>
      <c r="V15" s="5">
        <v>66.3</v>
      </c>
      <c r="W15" s="5">
        <v>5.8</v>
      </c>
      <c r="X15" s="5">
        <v>58</v>
      </c>
      <c r="Y15" s="5">
        <v>4</v>
      </c>
      <c r="Z15" s="5"/>
      <c r="AA15" s="5" t="s">
        <v>16</v>
      </c>
      <c r="AB15" s="6"/>
    </row>
    <row r="16" spans="1:28" ht="15.75" customHeight="1" x14ac:dyDescent="0.2">
      <c r="A16" s="4">
        <v>45792</v>
      </c>
      <c r="B16" s="19">
        <v>25135</v>
      </c>
      <c r="C16" s="5" t="s">
        <v>1</v>
      </c>
      <c r="D16" s="6"/>
      <c r="E16" s="15">
        <v>42.079966666700003</v>
      </c>
      <c r="F16" s="15">
        <v>-75.972461111100003</v>
      </c>
      <c r="G16" s="5" t="s">
        <v>335</v>
      </c>
      <c r="H16" s="5">
        <v>63.9</v>
      </c>
      <c r="I16" s="5">
        <v>83.2</v>
      </c>
      <c r="J16" s="5">
        <v>73.099999999999994</v>
      </c>
      <c r="K16" s="5">
        <v>83.1</v>
      </c>
      <c r="L16" s="10">
        <v>0.33333333333333331</v>
      </c>
      <c r="M16" s="10">
        <v>0.6430555555555556</v>
      </c>
      <c r="N16" s="11">
        <f t="shared" si="0"/>
        <v>99.84</v>
      </c>
      <c r="O16" s="11">
        <f t="shared" ref="O16:P16" si="15">AVERAGE(96,96,96,96)*1.04</f>
        <v>99.84</v>
      </c>
      <c r="P16" s="11">
        <f t="shared" si="15"/>
        <v>99.84</v>
      </c>
      <c r="Q16" s="11">
        <f t="shared" si="1"/>
        <v>99.839999999999989</v>
      </c>
      <c r="R16" s="5">
        <v>2</v>
      </c>
      <c r="S16" s="5" t="s">
        <v>16</v>
      </c>
      <c r="T16" s="5" t="s">
        <v>9</v>
      </c>
      <c r="U16" s="5" t="s">
        <v>56</v>
      </c>
      <c r="V16" s="5">
        <v>69</v>
      </c>
      <c r="W16" s="5">
        <v>5.8</v>
      </c>
      <c r="X16" s="5">
        <v>57</v>
      </c>
      <c r="Y16" s="5">
        <v>2</v>
      </c>
      <c r="Z16" s="5"/>
      <c r="AA16" s="5" t="s">
        <v>16</v>
      </c>
      <c r="AB16" s="6"/>
    </row>
    <row r="17" spans="1:28" ht="15.75" customHeight="1" x14ac:dyDescent="0.2">
      <c r="A17" s="4">
        <v>45792</v>
      </c>
      <c r="B17" s="19">
        <v>25135</v>
      </c>
      <c r="C17" s="5" t="s">
        <v>1</v>
      </c>
      <c r="D17" s="6"/>
      <c r="E17" s="15">
        <v>42.079966666700003</v>
      </c>
      <c r="F17" s="15">
        <v>-75.972461111100003</v>
      </c>
      <c r="G17" s="5" t="s">
        <v>335</v>
      </c>
      <c r="H17" s="5">
        <v>63.9</v>
      </c>
      <c r="I17" s="5">
        <v>83.2</v>
      </c>
      <c r="J17" s="5">
        <v>73.099999999999994</v>
      </c>
      <c r="K17" s="5">
        <v>83.1</v>
      </c>
      <c r="L17" s="10">
        <v>0.33333333333333331</v>
      </c>
      <c r="M17" s="10">
        <v>0.6430555555555556</v>
      </c>
      <c r="N17" s="11">
        <f t="shared" si="0"/>
        <v>99.84</v>
      </c>
      <c r="O17" s="11">
        <f t="shared" ref="O17:P17" si="16">AVERAGE(96,96,96,96)*1.04</f>
        <v>99.84</v>
      </c>
      <c r="P17" s="11">
        <f t="shared" si="16"/>
        <v>99.84</v>
      </c>
      <c r="Q17" s="11">
        <f t="shared" si="1"/>
        <v>99.839999999999989</v>
      </c>
      <c r="R17" s="5">
        <v>2</v>
      </c>
      <c r="S17" s="5" t="s">
        <v>16</v>
      </c>
      <c r="T17" s="5" t="s">
        <v>9</v>
      </c>
      <c r="U17" s="5" t="s">
        <v>56</v>
      </c>
      <c r="V17" s="5">
        <v>69.400000000000006</v>
      </c>
      <c r="W17" s="5">
        <v>6.1</v>
      </c>
      <c r="X17" s="5">
        <v>57</v>
      </c>
      <c r="Y17" s="5">
        <v>2.5</v>
      </c>
      <c r="Z17" s="5"/>
      <c r="AA17" s="5" t="s">
        <v>16</v>
      </c>
      <c r="AB17" s="6"/>
    </row>
    <row r="18" spans="1:28" ht="15.75" customHeight="1" x14ac:dyDescent="0.2">
      <c r="A18" s="4">
        <v>45792</v>
      </c>
      <c r="B18" s="19">
        <v>25135</v>
      </c>
      <c r="C18" s="5" t="s">
        <v>1</v>
      </c>
      <c r="D18" s="6"/>
      <c r="E18" s="15">
        <v>42.079966666700003</v>
      </c>
      <c r="F18" s="15">
        <v>-75.972461111100003</v>
      </c>
      <c r="G18" s="5" t="s">
        <v>335</v>
      </c>
      <c r="H18" s="5">
        <v>63.9</v>
      </c>
      <c r="I18" s="5">
        <v>83.2</v>
      </c>
      <c r="J18" s="5">
        <v>73.099999999999994</v>
      </c>
      <c r="K18" s="5">
        <v>83.1</v>
      </c>
      <c r="L18" s="10">
        <v>0.33333333333333331</v>
      </c>
      <c r="M18" s="10">
        <v>0.6430555555555556</v>
      </c>
      <c r="N18" s="11">
        <f t="shared" si="0"/>
        <v>99.84</v>
      </c>
      <c r="O18" s="11">
        <f t="shared" ref="O18:P18" si="17">AVERAGE(96,96,96,96)*1.04</f>
        <v>99.84</v>
      </c>
      <c r="P18" s="11">
        <f t="shared" si="17"/>
        <v>99.84</v>
      </c>
      <c r="Q18" s="11">
        <f t="shared" si="1"/>
        <v>99.839999999999989</v>
      </c>
      <c r="R18" s="5">
        <v>2</v>
      </c>
      <c r="S18" s="6" t="s">
        <v>133</v>
      </c>
      <c r="T18" s="5" t="s">
        <v>9</v>
      </c>
      <c r="U18" s="5" t="s">
        <v>56</v>
      </c>
      <c r="V18" s="5">
        <v>66.7</v>
      </c>
      <c r="W18" s="5">
        <v>5.8</v>
      </c>
      <c r="X18" s="5">
        <v>53</v>
      </c>
      <c r="Y18" s="5">
        <v>1</v>
      </c>
      <c r="Z18" s="5"/>
      <c r="AA18" s="5" t="s">
        <v>59</v>
      </c>
      <c r="AB18" s="6"/>
    </row>
    <row r="19" spans="1:28" ht="15.75" customHeight="1" x14ac:dyDescent="0.2">
      <c r="A19" s="4">
        <v>45792</v>
      </c>
      <c r="B19" s="19">
        <v>25135</v>
      </c>
      <c r="C19" s="5" t="s">
        <v>1</v>
      </c>
      <c r="D19" s="6"/>
      <c r="E19" s="15">
        <v>42.079966666700003</v>
      </c>
      <c r="F19" s="15">
        <v>-75.972461111100003</v>
      </c>
      <c r="G19" s="5" t="s">
        <v>335</v>
      </c>
      <c r="H19" s="5">
        <v>63.9</v>
      </c>
      <c r="I19" s="5">
        <v>83.2</v>
      </c>
      <c r="J19" s="5">
        <v>73.099999999999994</v>
      </c>
      <c r="K19" s="5">
        <v>83.1</v>
      </c>
      <c r="L19" s="10">
        <v>0.33333333333333331</v>
      </c>
      <c r="M19" s="10">
        <v>0.6430555555555556</v>
      </c>
      <c r="N19" s="11">
        <f t="shared" si="0"/>
        <v>99.84</v>
      </c>
      <c r="O19" s="11">
        <f t="shared" ref="O19:P19" si="18">AVERAGE(96,96,96,96)*1.04</f>
        <v>99.84</v>
      </c>
      <c r="P19" s="11">
        <f t="shared" si="18"/>
        <v>99.84</v>
      </c>
      <c r="Q19" s="11">
        <f t="shared" si="1"/>
        <v>99.839999999999989</v>
      </c>
      <c r="R19" s="5">
        <v>2</v>
      </c>
      <c r="S19" s="6" t="s">
        <v>133</v>
      </c>
      <c r="T19" s="5" t="s">
        <v>9</v>
      </c>
      <c r="U19" s="5" t="s">
        <v>56</v>
      </c>
      <c r="V19" s="5">
        <v>65.7</v>
      </c>
      <c r="W19" s="5">
        <v>5.5</v>
      </c>
      <c r="X19" s="5">
        <v>54</v>
      </c>
      <c r="Y19" s="5">
        <v>2.7</v>
      </c>
      <c r="Z19" s="5"/>
      <c r="AA19" s="5" t="s">
        <v>59</v>
      </c>
      <c r="AB19" s="6"/>
    </row>
    <row r="20" spans="1:28" ht="15.75" customHeight="1" x14ac:dyDescent="0.2">
      <c r="A20" s="4">
        <v>45792</v>
      </c>
      <c r="B20" s="19">
        <v>25135</v>
      </c>
      <c r="C20" s="5" t="s">
        <v>1</v>
      </c>
      <c r="D20" s="6"/>
      <c r="E20" s="15">
        <v>42.079966666700003</v>
      </c>
      <c r="F20" s="15">
        <v>-75.972461111100003</v>
      </c>
      <c r="G20" s="5" t="s">
        <v>335</v>
      </c>
      <c r="H20" s="5">
        <v>63.9</v>
      </c>
      <c r="I20" s="5">
        <v>83.2</v>
      </c>
      <c r="J20" s="5">
        <v>73.099999999999994</v>
      </c>
      <c r="K20" s="5">
        <v>83.1</v>
      </c>
      <c r="L20" s="10">
        <v>0.33333333333333331</v>
      </c>
      <c r="M20" s="10">
        <v>0.6430555555555556</v>
      </c>
      <c r="N20" s="11">
        <f t="shared" si="0"/>
        <v>99.84</v>
      </c>
      <c r="O20" s="11">
        <f t="shared" ref="O20:P20" si="19">AVERAGE(96,96,96,96)*1.04</f>
        <v>99.84</v>
      </c>
      <c r="P20" s="11">
        <f t="shared" si="19"/>
        <v>99.84</v>
      </c>
      <c r="Q20" s="11">
        <f t="shared" si="1"/>
        <v>99.839999999999989</v>
      </c>
      <c r="R20" s="5">
        <v>2</v>
      </c>
      <c r="S20" s="6" t="s">
        <v>133</v>
      </c>
      <c r="T20" s="5" t="s">
        <v>9</v>
      </c>
      <c r="U20" s="5" t="s">
        <v>56</v>
      </c>
      <c r="V20" s="5">
        <v>65.5</v>
      </c>
      <c r="W20" s="5">
        <v>6</v>
      </c>
      <c r="X20" s="5">
        <v>60</v>
      </c>
      <c r="Y20" s="5">
        <v>2</v>
      </c>
      <c r="Z20" s="5"/>
      <c r="AA20" s="5" t="s">
        <v>59</v>
      </c>
      <c r="AB20" s="6"/>
    </row>
    <row r="21" spans="1:28" ht="15.75" customHeight="1" x14ac:dyDescent="0.2">
      <c r="A21" s="4">
        <v>45792</v>
      </c>
      <c r="B21" s="19">
        <v>25135</v>
      </c>
      <c r="C21" s="5" t="s">
        <v>1</v>
      </c>
      <c r="D21" s="6"/>
      <c r="E21" s="15">
        <v>42.079966666700003</v>
      </c>
      <c r="F21" s="15">
        <v>-75.972461111100003</v>
      </c>
      <c r="G21" s="5" t="s">
        <v>335</v>
      </c>
      <c r="H21" s="5">
        <v>63.9</v>
      </c>
      <c r="I21" s="5">
        <v>83.2</v>
      </c>
      <c r="J21" s="5">
        <v>73.099999999999994</v>
      </c>
      <c r="K21" s="5">
        <v>83.1</v>
      </c>
      <c r="L21" s="10">
        <v>0.33333333333333331</v>
      </c>
      <c r="M21" s="10">
        <v>0.6430555555555556</v>
      </c>
      <c r="N21" s="11">
        <f t="shared" si="0"/>
        <v>99.84</v>
      </c>
      <c r="O21" s="11">
        <f t="shared" ref="O21:P21" si="20">AVERAGE(96,96,96,96)*1.04</f>
        <v>99.84</v>
      </c>
      <c r="P21" s="11">
        <f t="shared" si="20"/>
        <v>99.84</v>
      </c>
      <c r="Q21" s="11">
        <f t="shared" si="1"/>
        <v>99.839999999999989</v>
      </c>
      <c r="R21" s="5">
        <v>2</v>
      </c>
      <c r="S21" s="6"/>
      <c r="T21" s="5" t="s">
        <v>4</v>
      </c>
      <c r="U21" s="5" t="s">
        <v>56</v>
      </c>
      <c r="V21" s="5">
        <v>68.599999999999994</v>
      </c>
      <c r="W21" s="5">
        <v>6.4</v>
      </c>
      <c r="X21" s="5">
        <v>31</v>
      </c>
      <c r="Y21" s="5">
        <v>1</v>
      </c>
      <c r="Z21" s="6"/>
      <c r="AA21" s="6"/>
      <c r="AB21" s="6"/>
    </row>
    <row r="22" spans="1:28" ht="15.75" customHeight="1" x14ac:dyDescent="0.2">
      <c r="A22" s="4">
        <v>45792</v>
      </c>
      <c r="B22" s="19">
        <v>25135</v>
      </c>
      <c r="C22" s="5" t="s">
        <v>1</v>
      </c>
      <c r="D22" s="6"/>
      <c r="E22" s="15">
        <v>42.079966666700003</v>
      </c>
      <c r="F22" s="15">
        <v>-75.972461111100003</v>
      </c>
      <c r="G22" s="5" t="s">
        <v>335</v>
      </c>
      <c r="H22" s="5">
        <v>63.9</v>
      </c>
      <c r="I22" s="5">
        <v>83.2</v>
      </c>
      <c r="J22" s="5">
        <v>73.099999999999994</v>
      </c>
      <c r="K22" s="5">
        <v>83.1</v>
      </c>
      <c r="L22" s="10">
        <v>0.33333333333333331</v>
      </c>
      <c r="M22" s="10">
        <v>0.6430555555555556</v>
      </c>
      <c r="N22" s="11">
        <f t="shared" si="0"/>
        <v>99.84</v>
      </c>
      <c r="O22" s="11">
        <f t="shared" ref="O22:P22" si="21">AVERAGE(96,96,96,96)*1.04</f>
        <v>99.84</v>
      </c>
      <c r="P22" s="11">
        <f t="shared" si="21"/>
        <v>99.84</v>
      </c>
      <c r="Q22" s="11">
        <f t="shared" si="1"/>
        <v>99.839999999999989</v>
      </c>
      <c r="R22" s="5">
        <v>2</v>
      </c>
      <c r="S22" s="6" t="s">
        <v>15</v>
      </c>
      <c r="T22" s="5" t="s">
        <v>9</v>
      </c>
      <c r="U22" s="5" t="s">
        <v>56</v>
      </c>
      <c r="V22" s="5">
        <v>68.7</v>
      </c>
      <c r="W22" s="5">
        <v>5.7</v>
      </c>
      <c r="X22" s="5">
        <v>70</v>
      </c>
      <c r="Y22" s="5">
        <v>3.3</v>
      </c>
      <c r="Z22" s="5"/>
      <c r="AA22" s="5" t="s">
        <v>15</v>
      </c>
      <c r="AB22" s="6"/>
    </row>
    <row r="23" spans="1:28" ht="15.75" customHeight="1" x14ac:dyDescent="0.2">
      <c r="A23" s="4">
        <v>45792</v>
      </c>
      <c r="B23" s="19">
        <v>25135</v>
      </c>
      <c r="C23" s="5" t="s">
        <v>1</v>
      </c>
      <c r="D23" s="6"/>
      <c r="E23" s="15">
        <v>42.079966666700003</v>
      </c>
      <c r="F23" s="15">
        <v>-75.972461111100003</v>
      </c>
      <c r="G23" s="5" t="s">
        <v>335</v>
      </c>
      <c r="H23" s="5">
        <v>63.9</v>
      </c>
      <c r="I23" s="5">
        <v>83.2</v>
      </c>
      <c r="J23" s="5">
        <v>73.099999999999994</v>
      </c>
      <c r="K23" s="5">
        <v>83.1</v>
      </c>
      <c r="L23" s="10">
        <v>0.33333333333333331</v>
      </c>
      <c r="M23" s="10">
        <v>0.6430555555555556</v>
      </c>
      <c r="N23" s="11">
        <f t="shared" si="0"/>
        <v>99.84</v>
      </c>
      <c r="O23" s="11">
        <f t="shared" ref="O23:P23" si="22">AVERAGE(96,96,96,96)*1.04</f>
        <v>99.84</v>
      </c>
      <c r="P23" s="11">
        <f t="shared" si="22"/>
        <v>99.84</v>
      </c>
      <c r="Q23" s="11">
        <f t="shared" si="1"/>
        <v>99.839999999999989</v>
      </c>
      <c r="R23" s="5">
        <v>2</v>
      </c>
      <c r="S23" s="6" t="s">
        <v>15</v>
      </c>
      <c r="T23" s="5" t="s">
        <v>9</v>
      </c>
      <c r="U23" s="5" t="s">
        <v>56</v>
      </c>
      <c r="V23" s="5">
        <v>66.2</v>
      </c>
      <c r="W23" s="5">
        <v>5.5</v>
      </c>
      <c r="X23" s="5">
        <v>89</v>
      </c>
      <c r="Y23" s="5">
        <v>1</v>
      </c>
      <c r="Z23" s="5"/>
      <c r="AA23" s="5" t="s">
        <v>15</v>
      </c>
      <c r="AB23" s="6"/>
    </row>
    <row r="24" spans="1:28" ht="15.75" customHeight="1" x14ac:dyDescent="0.2">
      <c r="A24" s="4">
        <v>45792</v>
      </c>
      <c r="B24" s="19">
        <v>25135</v>
      </c>
      <c r="C24" s="5" t="s">
        <v>1</v>
      </c>
      <c r="D24" s="6"/>
      <c r="E24" s="15">
        <v>42.079966666700003</v>
      </c>
      <c r="F24" s="15">
        <v>-75.972461111100003</v>
      </c>
      <c r="G24" s="5" t="s">
        <v>335</v>
      </c>
      <c r="H24" s="5">
        <v>63.9</v>
      </c>
      <c r="I24" s="5">
        <v>83.2</v>
      </c>
      <c r="J24" s="5">
        <v>73.099999999999994</v>
      </c>
      <c r="K24" s="5">
        <v>83.1</v>
      </c>
      <c r="L24" s="10">
        <v>0.33333333333333331</v>
      </c>
      <c r="M24" s="10">
        <v>0.6430555555555556</v>
      </c>
      <c r="N24" s="11">
        <f t="shared" si="0"/>
        <v>99.84</v>
      </c>
      <c r="O24" s="11">
        <f t="shared" ref="O24:P24" si="23">AVERAGE(96,96,96,96)*1.04</f>
        <v>99.84</v>
      </c>
      <c r="P24" s="11">
        <f t="shared" si="23"/>
        <v>99.84</v>
      </c>
      <c r="Q24" s="11">
        <f t="shared" si="1"/>
        <v>99.839999999999989</v>
      </c>
      <c r="R24" s="5">
        <v>2</v>
      </c>
      <c r="S24" s="6" t="s">
        <v>15</v>
      </c>
      <c r="T24" s="5" t="s">
        <v>9</v>
      </c>
      <c r="U24" s="5" t="s">
        <v>56</v>
      </c>
      <c r="V24" s="5">
        <v>66.599999999999994</v>
      </c>
      <c r="W24" s="5">
        <v>6.3</v>
      </c>
      <c r="X24" s="5">
        <v>37</v>
      </c>
      <c r="Y24" s="5">
        <v>1.7</v>
      </c>
      <c r="Z24" s="5"/>
      <c r="AA24" s="5" t="s">
        <v>15</v>
      </c>
      <c r="AB24" s="6"/>
    </row>
    <row r="25" spans="1:28" ht="15.75" customHeight="1" x14ac:dyDescent="0.2">
      <c r="A25" s="4">
        <v>45792</v>
      </c>
      <c r="B25" s="19">
        <v>25135</v>
      </c>
      <c r="C25" s="5" t="s">
        <v>1</v>
      </c>
      <c r="D25" s="6"/>
      <c r="E25" s="15">
        <v>42.079966666700003</v>
      </c>
      <c r="F25" s="15">
        <v>-75.972461111100003</v>
      </c>
      <c r="G25" s="5" t="s">
        <v>335</v>
      </c>
      <c r="H25" s="5">
        <v>63.9</v>
      </c>
      <c r="I25" s="5">
        <v>83.2</v>
      </c>
      <c r="J25" s="5">
        <v>73.099999999999994</v>
      </c>
      <c r="K25" s="5">
        <v>83.1</v>
      </c>
      <c r="L25" s="10">
        <v>0.33333333333333331</v>
      </c>
      <c r="M25" s="10">
        <v>0.6430555555555556</v>
      </c>
      <c r="N25" s="11">
        <f t="shared" si="0"/>
        <v>99.84</v>
      </c>
      <c r="O25" s="11">
        <f t="shared" ref="O25:P25" si="24">AVERAGE(96,96,96,96)*1.04</f>
        <v>99.84</v>
      </c>
      <c r="P25" s="11">
        <f t="shared" si="24"/>
        <v>99.84</v>
      </c>
      <c r="Q25" s="11">
        <f t="shared" si="1"/>
        <v>99.839999999999989</v>
      </c>
      <c r="R25" s="5">
        <v>3</v>
      </c>
      <c r="S25" s="6" t="s">
        <v>16</v>
      </c>
      <c r="T25" s="5" t="s">
        <v>9</v>
      </c>
      <c r="U25" s="5" t="s">
        <v>56</v>
      </c>
      <c r="V25" s="5">
        <v>62.5</v>
      </c>
      <c r="W25" s="5">
        <v>6</v>
      </c>
      <c r="X25" s="5">
        <v>60</v>
      </c>
      <c r="Y25" s="5">
        <v>2</v>
      </c>
      <c r="Z25" s="5"/>
      <c r="AA25" s="5" t="s">
        <v>60</v>
      </c>
      <c r="AB25" s="6"/>
    </row>
    <row r="26" spans="1:28" ht="15.75" customHeight="1" x14ac:dyDescent="0.2">
      <c r="A26" s="4">
        <v>45792</v>
      </c>
      <c r="B26" s="19">
        <v>25135</v>
      </c>
      <c r="C26" s="5" t="s">
        <v>1</v>
      </c>
      <c r="D26" s="5"/>
      <c r="E26" s="15">
        <v>42.079966666700003</v>
      </c>
      <c r="F26" s="15">
        <v>-75.972461111100003</v>
      </c>
      <c r="G26" s="5" t="s">
        <v>335</v>
      </c>
      <c r="H26" s="5">
        <v>63.9</v>
      </c>
      <c r="I26" s="5">
        <v>83.2</v>
      </c>
      <c r="J26" s="5">
        <v>73.099999999999994</v>
      </c>
      <c r="K26" s="5">
        <v>83.1</v>
      </c>
      <c r="L26" s="10">
        <v>0.33333333333333331</v>
      </c>
      <c r="M26" s="10">
        <v>0.6430555555555556</v>
      </c>
      <c r="N26" s="11">
        <f t="shared" si="0"/>
        <v>99.84</v>
      </c>
      <c r="O26" s="11">
        <f t="shared" ref="O26:P26" si="25">AVERAGE(96,96,96,96)*1.04</f>
        <v>99.84</v>
      </c>
      <c r="P26" s="11">
        <f t="shared" si="25"/>
        <v>99.84</v>
      </c>
      <c r="Q26" s="11">
        <f t="shared" si="1"/>
        <v>99.839999999999989</v>
      </c>
      <c r="R26" s="5">
        <v>3</v>
      </c>
      <c r="S26" s="6" t="s">
        <v>16</v>
      </c>
      <c r="T26" s="5" t="s">
        <v>9</v>
      </c>
      <c r="U26" s="5" t="s">
        <v>56</v>
      </c>
      <c r="V26" s="5">
        <v>66.7</v>
      </c>
      <c r="W26" s="5">
        <v>5.9</v>
      </c>
      <c r="X26" s="5">
        <v>60</v>
      </c>
      <c r="Y26" s="5">
        <v>1</v>
      </c>
      <c r="Z26" s="5"/>
      <c r="AA26" s="5" t="s">
        <v>60</v>
      </c>
      <c r="AB26" s="6"/>
    </row>
    <row r="27" spans="1:28" ht="15.75" customHeight="1" x14ac:dyDescent="0.2">
      <c r="A27" s="4">
        <v>45793</v>
      </c>
      <c r="B27" s="19">
        <v>25136</v>
      </c>
      <c r="C27" s="5" t="s">
        <v>13</v>
      </c>
      <c r="D27" s="5" t="s">
        <v>61</v>
      </c>
      <c r="E27" s="15">
        <v>41.993283333299999</v>
      </c>
      <c r="F27" s="15">
        <v>-76.194072222200006</v>
      </c>
      <c r="G27" s="5" t="s">
        <v>336</v>
      </c>
      <c r="H27" s="5">
        <v>63.4</v>
      </c>
      <c r="I27" s="5">
        <v>91.5</v>
      </c>
      <c r="J27" s="5" t="s">
        <v>8</v>
      </c>
      <c r="K27" s="5" t="s">
        <v>8</v>
      </c>
      <c r="L27" s="10">
        <v>0.41666666666666669</v>
      </c>
      <c r="M27" s="5" t="s">
        <v>8</v>
      </c>
      <c r="N27" s="11">
        <f>AVERAGE(96,96,96,95)*1.04</f>
        <v>99.58</v>
      </c>
      <c r="O27" s="11">
        <f t="shared" ref="O27:P27" si="26">AVERAGE(96,96,96,96)*1.04</f>
        <v>99.84</v>
      </c>
      <c r="P27" s="11">
        <f t="shared" si="26"/>
        <v>99.84</v>
      </c>
      <c r="Q27" s="11">
        <f t="shared" si="1"/>
        <v>99.75333333333333</v>
      </c>
      <c r="R27" s="5">
        <v>1</v>
      </c>
      <c r="S27" s="5" t="s">
        <v>15</v>
      </c>
      <c r="T27" s="5" t="s">
        <v>9</v>
      </c>
      <c r="U27" s="5" t="s">
        <v>62</v>
      </c>
      <c r="V27" s="5">
        <v>15.7</v>
      </c>
      <c r="W27" s="5">
        <v>5.4</v>
      </c>
      <c r="X27" s="5">
        <v>61</v>
      </c>
      <c r="Y27" s="5">
        <v>4</v>
      </c>
      <c r="Z27" s="5"/>
      <c r="AA27" s="5" t="s">
        <v>63</v>
      </c>
      <c r="AB27" s="6"/>
    </row>
    <row r="28" spans="1:28" ht="15.75" customHeight="1" x14ac:dyDescent="0.2">
      <c r="A28" s="4">
        <v>45793</v>
      </c>
      <c r="B28" s="19">
        <v>25136</v>
      </c>
      <c r="C28" s="5" t="s">
        <v>13</v>
      </c>
      <c r="D28" s="6"/>
      <c r="E28" s="15">
        <v>41.993283333299999</v>
      </c>
      <c r="F28" s="15">
        <v>-76.194072222200006</v>
      </c>
      <c r="G28" s="5" t="s">
        <v>336</v>
      </c>
      <c r="H28" s="5">
        <v>63.4</v>
      </c>
      <c r="I28" s="5">
        <v>91.5</v>
      </c>
      <c r="J28" s="5" t="s">
        <v>8</v>
      </c>
      <c r="K28" s="5" t="s">
        <v>8</v>
      </c>
      <c r="L28" s="10">
        <v>0.41666666666666669</v>
      </c>
      <c r="M28" s="5" t="s">
        <v>8</v>
      </c>
      <c r="N28" s="11">
        <f t="shared" ref="N28:P28" si="27">AVERAGE(96,96,96,96)*1.04</f>
        <v>99.84</v>
      </c>
      <c r="O28" s="11">
        <f t="shared" si="27"/>
        <v>99.84</v>
      </c>
      <c r="P28" s="11">
        <f t="shared" si="27"/>
        <v>99.84</v>
      </c>
      <c r="Q28" s="11">
        <f t="shared" si="1"/>
        <v>99.839999999999989</v>
      </c>
      <c r="R28" s="5">
        <v>1</v>
      </c>
      <c r="S28" s="5" t="s">
        <v>15</v>
      </c>
      <c r="T28" s="5" t="s">
        <v>9</v>
      </c>
      <c r="U28" s="5" t="s">
        <v>62</v>
      </c>
      <c r="V28" s="5">
        <v>16</v>
      </c>
      <c r="W28" s="5">
        <v>5.5</v>
      </c>
      <c r="X28" s="5">
        <v>65</v>
      </c>
      <c r="Y28" s="5">
        <v>3</v>
      </c>
      <c r="Z28" s="5"/>
      <c r="AA28" s="5" t="s">
        <v>15</v>
      </c>
      <c r="AB28" s="6"/>
    </row>
    <row r="29" spans="1:28" ht="15.75" customHeight="1" x14ac:dyDescent="0.2">
      <c r="A29" s="4">
        <v>45793</v>
      </c>
      <c r="B29" s="19">
        <v>25136</v>
      </c>
      <c r="C29" s="5" t="s">
        <v>13</v>
      </c>
      <c r="D29" s="6"/>
      <c r="E29" s="15">
        <v>41.993283333299999</v>
      </c>
      <c r="F29" s="15">
        <v>-76.194072222200006</v>
      </c>
      <c r="G29" s="5" t="s">
        <v>336</v>
      </c>
      <c r="H29" s="5">
        <v>63.4</v>
      </c>
      <c r="I29" s="5">
        <v>91.5</v>
      </c>
      <c r="J29" s="5" t="s">
        <v>8</v>
      </c>
      <c r="K29" s="5" t="s">
        <v>8</v>
      </c>
      <c r="L29" s="10">
        <v>0.41666666666666669</v>
      </c>
      <c r="M29" s="5" t="s">
        <v>8</v>
      </c>
      <c r="N29" s="11">
        <f t="shared" ref="N29:P29" si="28">AVERAGE(96,96,96,96)*1.04</f>
        <v>99.84</v>
      </c>
      <c r="O29" s="11">
        <f t="shared" si="28"/>
        <v>99.84</v>
      </c>
      <c r="P29" s="11">
        <f t="shared" si="28"/>
        <v>99.84</v>
      </c>
      <c r="Q29" s="11">
        <f t="shared" si="1"/>
        <v>99.839999999999989</v>
      </c>
      <c r="R29" s="5">
        <v>1</v>
      </c>
      <c r="S29" s="5" t="s">
        <v>15</v>
      </c>
      <c r="T29" s="5" t="s">
        <v>9</v>
      </c>
      <c r="U29" s="5" t="s">
        <v>62</v>
      </c>
      <c r="V29" s="5">
        <v>15.1</v>
      </c>
      <c r="W29" s="5">
        <v>5.5</v>
      </c>
      <c r="X29" s="5">
        <v>70</v>
      </c>
      <c r="Y29" s="5">
        <v>2</v>
      </c>
      <c r="Z29" s="5"/>
      <c r="AA29" s="5" t="s">
        <v>15</v>
      </c>
      <c r="AB29" s="6"/>
    </row>
    <row r="30" spans="1:28" ht="15.75" customHeight="1" x14ac:dyDescent="0.2">
      <c r="A30" s="4">
        <v>45793</v>
      </c>
      <c r="B30" s="19">
        <v>25136</v>
      </c>
      <c r="C30" s="5" t="s">
        <v>13</v>
      </c>
      <c r="D30" s="6"/>
      <c r="E30" s="15">
        <v>41.993283333299999</v>
      </c>
      <c r="F30" s="15">
        <v>-76.194072222200006</v>
      </c>
      <c r="G30" s="5" t="s">
        <v>336</v>
      </c>
      <c r="H30" s="5">
        <v>63.4</v>
      </c>
      <c r="I30" s="5">
        <v>91.5</v>
      </c>
      <c r="J30" s="5" t="s">
        <v>8</v>
      </c>
      <c r="K30" s="5" t="s">
        <v>8</v>
      </c>
      <c r="L30" s="10">
        <v>0.41666666666666669</v>
      </c>
      <c r="M30" s="5" t="s">
        <v>8</v>
      </c>
      <c r="N30" s="11">
        <f t="shared" ref="N30:P30" si="29">AVERAGE(96,96,96,96)*1.04</f>
        <v>99.84</v>
      </c>
      <c r="O30" s="11">
        <f t="shared" si="29"/>
        <v>99.84</v>
      </c>
      <c r="P30" s="11">
        <f t="shared" si="29"/>
        <v>99.84</v>
      </c>
      <c r="Q30" s="11">
        <f t="shared" si="1"/>
        <v>99.839999999999989</v>
      </c>
      <c r="R30" s="5">
        <v>1</v>
      </c>
      <c r="S30" s="5" t="s">
        <v>16</v>
      </c>
      <c r="T30" s="5" t="s">
        <v>9</v>
      </c>
      <c r="U30" s="5" t="s">
        <v>62</v>
      </c>
      <c r="V30" s="5">
        <v>15.8</v>
      </c>
      <c r="W30" s="5">
        <v>5.6</v>
      </c>
      <c r="X30" s="5">
        <v>60</v>
      </c>
      <c r="Y30" s="5">
        <v>2.5</v>
      </c>
      <c r="Z30" s="5"/>
      <c r="AA30" s="5" t="s">
        <v>60</v>
      </c>
      <c r="AB30" s="6"/>
    </row>
    <row r="31" spans="1:28" ht="15.75" customHeight="1" x14ac:dyDescent="0.2">
      <c r="A31" s="4">
        <v>45793</v>
      </c>
      <c r="B31" s="19">
        <v>25136</v>
      </c>
      <c r="C31" s="5" t="s">
        <v>13</v>
      </c>
      <c r="D31" s="6"/>
      <c r="E31" s="15">
        <v>41.993283333299999</v>
      </c>
      <c r="F31" s="15">
        <v>-76.194072222200006</v>
      </c>
      <c r="G31" s="5" t="s">
        <v>336</v>
      </c>
      <c r="H31" s="5">
        <v>63.4</v>
      </c>
      <c r="I31" s="5">
        <v>91.5</v>
      </c>
      <c r="J31" s="5" t="s">
        <v>8</v>
      </c>
      <c r="K31" s="5" t="s">
        <v>8</v>
      </c>
      <c r="L31" s="10">
        <v>0.41666666666666669</v>
      </c>
      <c r="M31" s="5" t="s">
        <v>8</v>
      </c>
      <c r="N31" s="11">
        <f t="shared" ref="N31:P31" si="30">AVERAGE(96,96,96,96)*1.04</f>
        <v>99.84</v>
      </c>
      <c r="O31" s="11">
        <f t="shared" si="30"/>
        <v>99.84</v>
      </c>
      <c r="P31" s="11">
        <f t="shared" si="30"/>
        <v>99.84</v>
      </c>
      <c r="Q31" s="11">
        <f t="shared" si="1"/>
        <v>99.839999999999989</v>
      </c>
      <c r="R31" s="5">
        <v>1</v>
      </c>
      <c r="S31" s="5" t="s">
        <v>16</v>
      </c>
      <c r="T31" s="5" t="s">
        <v>9</v>
      </c>
      <c r="U31" s="5" t="s">
        <v>62</v>
      </c>
      <c r="V31" s="5">
        <v>15.6</v>
      </c>
      <c r="W31" s="5">
        <v>5.6</v>
      </c>
      <c r="X31" s="5">
        <v>68</v>
      </c>
      <c r="Y31" s="5">
        <v>0.5</v>
      </c>
      <c r="Z31" s="5"/>
      <c r="AA31" s="5" t="s">
        <v>60</v>
      </c>
      <c r="AB31" s="6"/>
    </row>
    <row r="32" spans="1:28" ht="15.75" customHeight="1" x14ac:dyDescent="0.2">
      <c r="A32" s="4">
        <v>45793</v>
      </c>
      <c r="B32" s="19">
        <v>25136</v>
      </c>
      <c r="C32" s="5" t="s">
        <v>13</v>
      </c>
      <c r="D32" s="6"/>
      <c r="E32" s="15">
        <v>41.993283333299999</v>
      </c>
      <c r="F32" s="15">
        <v>-76.194072222200006</v>
      </c>
      <c r="G32" s="5" t="s">
        <v>336</v>
      </c>
      <c r="H32" s="5">
        <v>63.4</v>
      </c>
      <c r="I32" s="5">
        <v>91.5</v>
      </c>
      <c r="J32" s="5" t="s">
        <v>8</v>
      </c>
      <c r="K32" s="5" t="s">
        <v>8</v>
      </c>
      <c r="L32" s="10">
        <v>0.41666666666666669</v>
      </c>
      <c r="M32" s="5" t="s">
        <v>8</v>
      </c>
      <c r="N32" s="11">
        <f t="shared" ref="N32:P32" si="31">AVERAGE(96,96,96,96)*1.04</f>
        <v>99.84</v>
      </c>
      <c r="O32" s="11">
        <f t="shared" si="31"/>
        <v>99.84</v>
      </c>
      <c r="P32" s="11">
        <f t="shared" si="31"/>
        <v>99.84</v>
      </c>
      <c r="Q32" s="11">
        <f t="shared" si="1"/>
        <v>99.839999999999989</v>
      </c>
      <c r="R32" s="5">
        <v>1</v>
      </c>
      <c r="S32" s="5" t="s">
        <v>16</v>
      </c>
      <c r="T32" s="5" t="s">
        <v>9</v>
      </c>
      <c r="U32" s="5" t="s">
        <v>64</v>
      </c>
      <c r="V32" s="5">
        <v>17.899999999999999</v>
      </c>
      <c r="W32" s="5">
        <v>5.6</v>
      </c>
      <c r="X32" s="5">
        <v>65</v>
      </c>
      <c r="Y32" s="5">
        <v>2</v>
      </c>
      <c r="Z32" s="5"/>
      <c r="AA32" s="5" t="s">
        <v>65</v>
      </c>
      <c r="AB32" s="6"/>
    </row>
    <row r="33" spans="1:28" ht="15.75" customHeight="1" x14ac:dyDescent="0.2">
      <c r="A33" s="4">
        <v>45793</v>
      </c>
      <c r="B33" s="19">
        <v>25136</v>
      </c>
      <c r="C33" s="5" t="s">
        <v>13</v>
      </c>
      <c r="D33" s="6"/>
      <c r="E33" s="15">
        <v>41.993283333299999</v>
      </c>
      <c r="F33" s="15">
        <v>-76.194072222200006</v>
      </c>
      <c r="G33" s="5" t="s">
        <v>336</v>
      </c>
      <c r="H33" s="5">
        <v>63.4</v>
      </c>
      <c r="I33" s="5">
        <v>91.5</v>
      </c>
      <c r="J33" s="5" t="s">
        <v>8</v>
      </c>
      <c r="K33" s="5" t="s">
        <v>8</v>
      </c>
      <c r="L33" s="10">
        <v>0.41666666666666669</v>
      </c>
      <c r="M33" s="5" t="s">
        <v>8</v>
      </c>
      <c r="N33" s="11">
        <f t="shared" ref="N33:P33" si="32">AVERAGE(96,96,96,96)*1.04</f>
        <v>99.84</v>
      </c>
      <c r="O33" s="11">
        <f t="shared" si="32"/>
        <v>99.84</v>
      </c>
      <c r="P33" s="11">
        <f t="shared" si="32"/>
        <v>99.84</v>
      </c>
      <c r="Q33" s="11">
        <f t="shared" si="1"/>
        <v>99.839999999999989</v>
      </c>
      <c r="R33" s="5">
        <v>1</v>
      </c>
      <c r="S33" s="5" t="s">
        <v>14</v>
      </c>
      <c r="T33" s="5" t="s">
        <v>9</v>
      </c>
      <c r="U33" s="5" t="s">
        <v>64</v>
      </c>
      <c r="V33" s="5">
        <v>17.5</v>
      </c>
      <c r="W33" s="5">
        <v>6</v>
      </c>
      <c r="X33" s="5">
        <v>57</v>
      </c>
      <c r="Y33" s="5">
        <v>0.5</v>
      </c>
      <c r="Z33" s="5"/>
      <c r="AA33" s="5" t="s">
        <v>66</v>
      </c>
      <c r="AB33" s="6"/>
    </row>
    <row r="34" spans="1:28" ht="15.75" customHeight="1" x14ac:dyDescent="0.2">
      <c r="A34" s="4">
        <v>45793</v>
      </c>
      <c r="B34" s="19">
        <v>25136</v>
      </c>
      <c r="C34" s="5" t="s">
        <v>13</v>
      </c>
      <c r="D34" s="6"/>
      <c r="E34" s="15">
        <v>41.993283333299999</v>
      </c>
      <c r="F34" s="15">
        <v>-76.194072222200006</v>
      </c>
      <c r="G34" s="5" t="s">
        <v>336</v>
      </c>
      <c r="H34" s="5">
        <v>63.4</v>
      </c>
      <c r="I34" s="5">
        <v>91.5</v>
      </c>
      <c r="J34" s="5" t="s">
        <v>8</v>
      </c>
      <c r="K34" s="5" t="s">
        <v>8</v>
      </c>
      <c r="L34" s="10">
        <v>0.41666666666666669</v>
      </c>
      <c r="M34" s="5" t="s">
        <v>8</v>
      </c>
      <c r="N34" s="11">
        <f t="shared" ref="N34:P34" si="33">AVERAGE(96,96,96,96)*1.04</f>
        <v>99.84</v>
      </c>
      <c r="O34" s="11">
        <f t="shared" si="33"/>
        <v>99.84</v>
      </c>
      <c r="P34" s="11">
        <f t="shared" si="33"/>
        <v>99.84</v>
      </c>
      <c r="Q34" s="11">
        <f t="shared" si="1"/>
        <v>99.839999999999989</v>
      </c>
      <c r="R34" s="5">
        <v>1</v>
      </c>
      <c r="S34" s="5" t="s">
        <v>14</v>
      </c>
      <c r="T34" s="5" t="s">
        <v>9</v>
      </c>
      <c r="U34" s="5" t="s">
        <v>62</v>
      </c>
      <c r="V34" s="5">
        <v>15.6</v>
      </c>
      <c r="W34" s="5">
        <v>5.3</v>
      </c>
      <c r="X34" s="5">
        <v>69</v>
      </c>
      <c r="Y34" s="5">
        <v>0</v>
      </c>
      <c r="Z34" s="5"/>
      <c r="AA34" s="5" t="s">
        <v>14</v>
      </c>
      <c r="AB34" s="6"/>
    </row>
    <row r="35" spans="1:28" ht="15.75" customHeight="1" x14ac:dyDescent="0.2">
      <c r="A35" s="4">
        <v>45793</v>
      </c>
      <c r="B35" s="19">
        <v>25136</v>
      </c>
      <c r="C35" s="5" t="s">
        <v>13</v>
      </c>
      <c r="D35" s="6"/>
      <c r="E35" s="15">
        <v>41.993283333299999</v>
      </c>
      <c r="F35" s="15">
        <v>-76.194072222200006</v>
      </c>
      <c r="G35" s="5" t="s">
        <v>336</v>
      </c>
      <c r="H35" s="5">
        <v>63.4</v>
      </c>
      <c r="I35" s="5">
        <v>91.5</v>
      </c>
      <c r="J35" s="5" t="s">
        <v>8</v>
      </c>
      <c r="K35" s="5" t="s">
        <v>8</v>
      </c>
      <c r="L35" s="10">
        <v>0.41666666666666669</v>
      </c>
      <c r="M35" s="5" t="s">
        <v>8</v>
      </c>
      <c r="N35" s="11">
        <f t="shared" ref="N35:P35" si="34">AVERAGE(96,96,96,96)*1.04</f>
        <v>99.84</v>
      </c>
      <c r="O35" s="11">
        <f t="shared" si="34"/>
        <v>99.84</v>
      </c>
      <c r="P35" s="11">
        <f t="shared" si="34"/>
        <v>99.84</v>
      </c>
      <c r="Q35" s="11">
        <f t="shared" si="1"/>
        <v>99.839999999999989</v>
      </c>
      <c r="R35" s="5">
        <v>1</v>
      </c>
      <c r="S35" s="5" t="s">
        <v>14</v>
      </c>
      <c r="T35" s="5" t="s">
        <v>9</v>
      </c>
      <c r="U35" s="5" t="s">
        <v>62</v>
      </c>
      <c r="V35" s="5">
        <v>15.3</v>
      </c>
      <c r="W35" s="5">
        <v>5.4</v>
      </c>
      <c r="X35" s="5">
        <v>60</v>
      </c>
      <c r="Y35" s="5">
        <v>0</v>
      </c>
      <c r="Z35" s="5"/>
      <c r="AA35" s="5" t="s">
        <v>14</v>
      </c>
      <c r="AB35" s="6"/>
    </row>
    <row r="36" spans="1:28" ht="15.75" customHeight="1" x14ac:dyDescent="0.2">
      <c r="A36" s="4">
        <v>45793</v>
      </c>
      <c r="B36" s="19">
        <v>25136</v>
      </c>
      <c r="C36" s="5" t="s">
        <v>13</v>
      </c>
      <c r="D36" s="6"/>
      <c r="E36" s="15">
        <v>41.993283333299999</v>
      </c>
      <c r="F36" s="15">
        <v>-76.194072222200006</v>
      </c>
      <c r="G36" s="5" t="s">
        <v>336</v>
      </c>
      <c r="H36" s="5">
        <v>63.4</v>
      </c>
      <c r="I36" s="5">
        <v>91.5</v>
      </c>
      <c r="J36" s="5" t="s">
        <v>8</v>
      </c>
      <c r="K36" s="5" t="s">
        <v>8</v>
      </c>
      <c r="L36" s="10">
        <v>0.41666666666666669</v>
      </c>
      <c r="M36" s="5" t="s">
        <v>8</v>
      </c>
      <c r="N36" s="11">
        <f t="shared" ref="N36:P36" si="35">AVERAGE(96,96,96,96)*1.04</f>
        <v>99.84</v>
      </c>
      <c r="O36" s="11">
        <f t="shared" si="35"/>
        <v>99.84</v>
      </c>
      <c r="P36" s="11">
        <f t="shared" si="35"/>
        <v>99.84</v>
      </c>
      <c r="Q36" s="11">
        <f t="shared" si="1"/>
        <v>99.839999999999989</v>
      </c>
      <c r="R36" s="5">
        <v>2</v>
      </c>
      <c r="S36" s="5" t="s">
        <v>15</v>
      </c>
      <c r="T36" s="5" t="s">
        <v>9</v>
      </c>
      <c r="U36" s="5" t="s">
        <v>62</v>
      </c>
      <c r="V36" s="5">
        <v>15.6</v>
      </c>
      <c r="W36" s="5">
        <v>5.7</v>
      </c>
      <c r="X36" s="5">
        <v>57</v>
      </c>
      <c r="Y36" s="5">
        <v>3.5</v>
      </c>
      <c r="Z36" s="5" t="s">
        <v>67</v>
      </c>
      <c r="AA36" s="5" t="s">
        <v>68</v>
      </c>
      <c r="AB36" s="6"/>
    </row>
    <row r="37" spans="1:28" ht="15.75" customHeight="1" x14ac:dyDescent="0.2">
      <c r="A37" s="4">
        <v>45793</v>
      </c>
      <c r="B37" s="19">
        <v>25136</v>
      </c>
      <c r="C37" s="5" t="s">
        <v>13</v>
      </c>
      <c r="D37" s="6"/>
      <c r="E37" s="15">
        <v>41.993283333299999</v>
      </c>
      <c r="F37" s="15">
        <v>-76.194072222200006</v>
      </c>
      <c r="G37" s="5" t="s">
        <v>336</v>
      </c>
      <c r="H37" s="5">
        <v>63.4</v>
      </c>
      <c r="I37" s="5">
        <v>91.5</v>
      </c>
      <c r="J37" s="5" t="s">
        <v>8</v>
      </c>
      <c r="K37" s="5" t="s">
        <v>8</v>
      </c>
      <c r="L37" s="10">
        <v>0.41666666666666669</v>
      </c>
      <c r="M37" s="5" t="s">
        <v>8</v>
      </c>
      <c r="N37" s="11">
        <f t="shared" ref="N37:P37" si="36">AVERAGE(96,96,96,96)*1.04</f>
        <v>99.84</v>
      </c>
      <c r="O37" s="11">
        <f t="shared" si="36"/>
        <v>99.84</v>
      </c>
      <c r="P37" s="11">
        <f t="shared" si="36"/>
        <v>99.84</v>
      </c>
      <c r="Q37" s="11">
        <f t="shared" si="1"/>
        <v>99.839999999999989</v>
      </c>
      <c r="R37" s="5">
        <v>2</v>
      </c>
      <c r="S37" s="6"/>
      <c r="T37" s="5" t="s">
        <v>9</v>
      </c>
      <c r="U37" s="5" t="s">
        <v>62</v>
      </c>
      <c r="V37" s="5">
        <v>17.600000000000001</v>
      </c>
      <c r="W37" s="5">
        <v>5.8</v>
      </c>
      <c r="X37" s="5">
        <v>57</v>
      </c>
      <c r="Y37" s="5">
        <v>2.5</v>
      </c>
      <c r="Z37" s="5"/>
      <c r="AA37" s="5" t="s">
        <v>69</v>
      </c>
      <c r="AB37" s="6"/>
    </row>
    <row r="38" spans="1:28" ht="15.75" customHeight="1" x14ac:dyDescent="0.2">
      <c r="A38" s="4">
        <v>45793</v>
      </c>
      <c r="B38" s="19">
        <v>25136</v>
      </c>
      <c r="C38" s="5" t="s">
        <v>13</v>
      </c>
      <c r="D38" s="6"/>
      <c r="E38" s="15">
        <v>41.993283333299999</v>
      </c>
      <c r="F38" s="15">
        <v>-76.194072222200006</v>
      </c>
      <c r="G38" s="5" t="s">
        <v>336</v>
      </c>
      <c r="H38" s="5">
        <v>63.4</v>
      </c>
      <c r="I38" s="5">
        <v>91.5</v>
      </c>
      <c r="J38" s="5" t="s">
        <v>8</v>
      </c>
      <c r="K38" s="5" t="s">
        <v>8</v>
      </c>
      <c r="L38" s="10">
        <v>0.41666666666666669</v>
      </c>
      <c r="M38" s="5" t="s">
        <v>8</v>
      </c>
      <c r="N38" s="11">
        <f t="shared" ref="N38:P38" si="37">AVERAGE(96,96,96,96)*1.04</f>
        <v>99.84</v>
      </c>
      <c r="O38" s="11">
        <f t="shared" si="37"/>
        <v>99.84</v>
      </c>
      <c r="P38" s="11">
        <f t="shared" si="37"/>
        <v>99.84</v>
      </c>
      <c r="Q38" s="11">
        <f t="shared" si="1"/>
        <v>99.839999999999989</v>
      </c>
      <c r="R38" s="5">
        <v>2</v>
      </c>
      <c r="S38" s="6"/>
      <c r="T38" s="5" t="s">
        <v>9</v>
      </c>
      <c r="U38" s="5" t="s">
        <v>62</v>
      </c>
      <c r="V38" s="5">
        <v>16.5</v>
      </c>
      <c r="W38" s="5">
        <v>5.6</v>
      </c>
      <c r="X38" s="5">
        <v>60</v>
      </c>
      <c r="Y38" s="5">
        <v>2.5</v>
      </c>
      <c r="Z38" s="6"/>
      <c r="AA38" s="6"/>
      <c r="AB38" s="6"/>
    </row>
    <row r="39" spans="1:28" ht="15.75" customHeight="1" x14ac:dyDescent="0.2">
      <c r="A39" s="4">
        <v>45793</v>
      </c>
      <c r="B39" s="19">
        <v>25136</v>
      </c>
      <c r="C39" s="5" t="s">
        <v>13</v>
      </c>
      <c r="D39" s="6"/>
      <c r="E39" s="15">
        <v>41.993283333299999</v>
      </c>
      <c r="F39" s="15">
        <v>-76.194072222200006</v>
      </c>
      <c r="G39" s="5" t="s">
        <v>336</v>
      </c>
      <c r="H39" s="5">
        <v>63.4</v>
      </c>
      <c r="I39" s="5">
        <v>91.5</v>
      </c>
      <c r="J39" s="5" t="s">
        <v>8</v>
      </c>
      <c r="K39" s="5" t="s">
        <v>8</v>
      </c>
      <c r="L39" s="10">
        <v>0.41666666666666669</v>
      </c>
      <c r="M39" s="5" t="s">
        <v>8</v>
      </c>
      <c r="N39" s="11">
        <f t="shared" ref="N39:P39" si="38">AVERAGE(96,96,96,96)*1.04</f>
        <v>99.84</v>
      </c>
      <c r="O39" s="11">
        <f t="shared" si="38"/>
        <v>99.84</v>
      </c>
      <c r="P39" s="11">
        <f t="shared" si="38"/>
        <v>99.84</v>
      </c>
      <c r="Q39" s="11">
        <f t="shared" si="1"/>
        <v>99.839999999999989</v>
      </c>
      <c r="R39" s="5">
        <v>2</v>
      </c>
      <c r="S39" s="6" t="s">
        <v>16</v>
      </c>
      <c r="T39" s="5" t="s">
        <v>9</v>
      </c>
      <c r="U39" s="5" t="s">
        <v>56</v>
      </c>
      <c r="V39" s="5">
        <v>16.399999999999999</v>
      </c>
      <c r="W39" s="5">
        <v>5.9</v>
      </c>
      <c r="X39" s="5">
        <v>55</v>
      </c>
      <c r="Y39" s="5">
        <v>0.5</v>
      </c>
      <c r="Z39" s="5"/>
      <c r="AA39" s="5" t="s">
        <v>70</v>
      </c>
      <c r="AB39" s="6"/>
    </row>
    <row r="40" spans="1:28" ht="15.75" customHeight="1" x14ac:dyDescent="0.2">
      <c r="A40" s="4">
        <v>45793</v>
      </c>
      <c r="B40" s="19">
        <v>25136</v>
      </c>
      <c r="C40" s="5" t="s">
        <v>13</v>
      </c>
      <c r="D40" s="6"/>
      <c r="E40" s="15">
        <v>41.993283333299999</v>
      </c>
      <c r="F40" s="15">
        <v>-76.194072222200006</v>
      </c>
      <c r="G40" s="5" t="s">
        <v>336</v>
      </c>
      <c r="H40" s="5">
        <v>63.4</v>
      </c>
      <c r="I40" s="5">
        <v>91.5</v>
      </c>
      <c r="J40" s="5" t="s">
        <v>8</v>
      </c>
      <c r="K40" s="5" t="s">
        <v>8</v>
      </c>
      <c r="L40" s="10">
        <v>0.41666666666666669</v>
      </c>
      <c r="M40" s="5" t="s">
        <v>8</v>
      </c>
      <c r="N40" s="11">
        <f t="shared" ref="N40:P40" si="39">AVERAGE(96,96,96,96)*1.04</f>
        <v>99.84</v>
      </c>
      <c r="O40" s="11">
        <f t="shared" si="39"/>
        <v>99.84</v>
      </c>
      <c r="P40" s="11">
        <f t="shared" si="39"/>
        <v>99.84</v>
      </c>
      <c r="Q40" s="11">
        <f t="shared" si="1"/>
        <v>99.839999999999989</v>
      </c>
      <c r="R40" s="5">
        <v>2</v>
      </c>
      <c r="S40" s="6" t="s">
        <v>16</v>
      </c>
      <c r="T40" s="5" t="s">
        <v>9</v>
      </c>
      <c r="U40" s="5" t="s">
        <v>71</v>
      </c>
      <c r="V40" s="5">
        <v>17.3</v>
      </c>
      <c r="W40" s="5">
        <v>5.5</v>
      </c>
      <c r="X40" s="5">
        <v>70</v>
      </c>
      <c r="Y40" s="5">
        <v>2</v>
      </c>
      <c r="Z40" s="5"/>
      <c r="AA40" s="5" t="s">
        <v>72</v>
      </c>
      <c r="AB40" s="6"/>
    </row>
    <row r="41" spans="1:28" ht="15.75" customHeight="1" x14ac:dyDescent="0.2">
      <c r="A41" s="4">
        <v>45793</v>
      </c>
      <c r="B41" s="19">
        <v>25136</v>
      </c>
      <c r="C41" s="5" t="s">
        <v>13</v>
      </c>
      <c r="D41" s="6"/>
      <c r="E41" s="15">
        <v>41.993283333299999</v>
      </c>
      <c r="F41" s="15">
        <v>-76.194072222200006</v>
      </c>
      <c r="G41" s="5" t="s">
        <v>336</v>
      </c>
      <c r="H41" s="5">
        <v>63.4</v>
      </c>
      <c r="I41" s="5">
        <v>91.5</v>
      </c>
      <c r="J41" s="5" t="s">
        <v>8</v>
      </c>
      <c r="K41" s="5" t="s">
        <v>8</v>
      </c>
      <c r="L41" s="10">
        <v>0.41666666666666669</v>
      </c>
      <c r="M41" s="5" t="s">
        <v>8</v>
      </c>
      <c r="N41" s="11">
        <f t="shared" ref="N41:P41" si="40">AVERAGE(96,96,96,96)*1.04</f>
        <v>99.84</v>
      </c>
      <c r="O41" s="11">
        <f t="shared" si="40"/>
        <v>99.84</v>
      </c>
      <c r="P41" s="11">
        <f t="shared" si="40"/>
        <v>99.84</v>
      </c>
      <c r="Q41" s="11">
        <f t="shared" si="1"/>
        <v>99.839999999999989</v>
      </c>
      <c r="R41" s="5">
        <v>2</v>
      </c>
      <c r="S41" s="6" t="s">
        <v>16</v>
      </c>
      <c r="T41" s="5" t="s">
        <v>9</v>
      </c>
      <c r="U41" s="5" t="s">
        <v>56</v>
      </c>
      <c r="V41" s="5">
        <v>16.3</v>
      </c>
      <c r="W41" s="5">
        <v>5.9</v>
      </c>
      <c r="X41" s="5">
        <v>60</v>
      </c>
      <c r="Y41" s="5">
        <v>2.5</v>
      </c>
      <c r="Z41" s="5"/>
      <c r="AA41" s="5" t="s">
        <v>72</v>
      </c>
      <c r="AB41" s="6"/>
    </row>
    <row r="42" spans="1:28" ht="15.75" customHeight="1" x14ac:dyDescent="0.2">
      <c r="A42" s="4">
        <v>45793</v>
      </c>
      <c r="B42" s="19">
        <v>25136</v>
      </c>
      <c r="C42" s="5" t="s">
        <v>13</v>
      </c>
      <c r="D42" s="6"/>
      <c r="E42" s="15">
        <v>41.993283333299999</v>
      </c>
      <c r="F42" s="15">
        <v>-76.194072222200006</v>
      </c>
      <c r="G42" s="5" t="s">
        <v>336</v>
      </c>
      <c r="H42" s="5">
        <v>63.4</v>
      </c>
      <c r="I42" s="5">
        <v>91.5</v>
      </c>
      <c r="J42" s="5" t="s">
        <v>8</v>
      </c>
      <c r="K42" s="5" t="s">
        <v>8</v>
      </c>
      <c r="L42" s="10">
        <v>0.41666666666666669</v>
      </c>
      <c r="M42" s="5" t="s">
        <v>8</v>
      </c>
      <c r="N42" s="11">
        <f t="shared" ref="N42:P42" si="41">AVERAGE(96,96,96,96)*1.04</f>
        <v>99.84</v>
      </c>
      <c r="O42" s="11">
        <f t="shared" si="41"/>
        <v>99.84</v>
      </c>
      <c r="P42" s="11">
        <f t="shared" si="41"/>
        <v>99.84</v>
      </c>
      <c r="Q42" s="11">
        <f t="shared" si="1"/>
        <v>99.839999999999989</v>
      </c>
      <c r="R42" s="5">
        <v>2</v>
      </c>
      <c r="S42" s="6" t="s">
        <v>14</v>
      </c>
      <c r="T42" s="5" t="s">
        <v>9</v>
      </c>
      <c r="U42" s="5" t="s">
        <v>62</v>
      </c>
      <c r="V42" s="5">
        <v>16.600000000000001</v>
      </c>
      <c r="W42" s="5">
        <v>5.6</v>
      </c>
      <c r="X42" s="5">
        <v>64</v>
      </c>
      <c r="Y42" s="5">
        <v>1.5</v>
      </c>
      <c r="Z42" s="5"/>
      <c r="AA42" s="5" t="s">
        <v>73</v>
      </c>
      <c r="AB42" s="6"/>
    </row>
    <row r="43" spans="1:28" ht="15.75" customHeight="1" x14ac:dyDescent="0.2">
      <c r="A43" s="4">
        <v>45793</v>
      </c>
      <c r="B43" s="19">
        <v>25136</v>
      </c>
      <c r="C43" s="5" t="s">
        <v>13</v>
      </c>
      <c r="D43" s="6"/>
      <c r="E43" s="15">
        <v>41.993283333299999</v>
      </c>
      <c r="F43" s="15">
        <v>-76.194072222200006</v>
      </c>
      <c r="G43" s="5" t="s">
        <v>336</v>
      </c>
      <c r="H43" s="5">
        <v>63.4</v>
      </c>
      <c r="I43" s="5">
        <v>91.5</v>
      </c>
      <c r="J43" s="5" t="s">
        <v>8</v>
      </c>
      <c r="K43" s="5" t="s">
        <v>8</v>
      </c>
      <c r="L43" s="10">
        <v>0.41666666666666669</v>
      </c>
      <c r="M43" s="5" t="s">
        <v>8</v>
      </c>
      <c r="N43" s="11">
        <f t="shared" ref="N43:P43" si="42">AVERAGE(96,96,96,96)*1.04</f>
        <v>99.84</v>
      </c>
      <c r="O43" s="11">
        <f t="shared" si="42"/>
        <v>99.84</v>
      </c>
      <c r="P43" s="11">
        <f t="shared" si="42"/>
        <v>99.84</v>
      </c>
      <c r="Q43" s="11">
        <f t="shared" si="1"/>
        <v>99.839999999999989</v>
      </c>
      <c r="R43" s="5">
        <v>2</v>
      </c>
      <c r="S43" s="6" t="s">
        <v>14</v>
      </c>
      <c r="T43" s="5" t="s">
        <v>9</v>
      </c>
      <c r="U43" s="5" t="s">
        <v>62</v>
      </c>
      <c r="V43" s="5">
        <v>17.100000000000001</v>
      </c>
      <c r="W43" s="5">
        <v>5.0999999999999996</v>
      </c>
      <c r="X43" s="5">
        <v>65</v>
      </c>
      <c r="Y43" s="5">
        <v>3</v>
      </c>
      <c r="Z43" s="5"/>
      <c r="AA43" s="5" t="s">
        <v>73</v>
      </c>
      <c r="AB43" s="6"/>
    </row>
    <row r="44" spans="1:28" ht="15.75" customHeight="1" x14ac:dyDescent="0.2">
      <c r="A44" s="4">
        <v>45793</v>
      </c>
      <c r="B44" s="19">
        <v>25136</v>
      </c>
      <c r="C44" s="5" t="s">
        <v>13</v>
      </c>
      <c r="D44" s="6"/>
      <c r="E44" s="15">
        <v>41.993283333299999</v>
      </c>
      <c r="F44" s="15">
        <v>-76.194072222200006</v>
      </c>
      <c r="G44" s="5" t="s">
        <v>336</v>
      </c>
      <c r="H44" s="5">
        <v>63.4</v>
      </c>
      <c r="I44" s="5">
        <v>91.5</v>
      </c>
      <c r="J44" s="5" t="s">
        <v>8</v>
      </c>
      <c r="K44" s="5" t="s">
        <v>8</v>
      </c>
      <c r="L44" s="10">
        <v>0.41666666666666669</v>
      </c>
      <c r="M44" s="5" t="s">
        <v>8</v>
      </c>
      <c r="N44" s="11">
        <f t="shared" ref="N44:P44" si="43">AVERAGE(96,96,96,96)*1.04</f>
        <v>99.84</v>
      </c>
      <c r="O44" s="11">
        <f t="shared" si="43"/>
        <v>99.84</v>
      </c>
      <c r="P44" s="11">
        <f t="shared" si="43"/>
        <v>99.84</v>
      </c>
      <c r="Q44" s="11">
        <f t="shared" si="1"/>
        <v>99.839999999999989</v>
      </c>
      <c r="R44" s="5">
        <v>2</v>
      </c>
      <c r="S44" s="6" t="s">
        <v>14</v>
      </c>
      <c r="T44" s="5" t="s">
        <v>9</v>
      </c>
      <c r="U44" s="5" t="s">
        <v>62</v>
      </c>
      <c r="V44" s="5">
        <v>16.3</v>
      </c>
      <c r="W44" s="5">
        <v>5.4</v>
      </c>
      <c r="X44" s="5">
        <v>65</v>
      </c>
      <c r="Y44" s="5">
        <v>1</v>
      </c>
      <c r="Z44" s="5"/>
      <c r="AA44" s="5" t="s">
        <v>73</v>
      </c>
      <c r="AB44" s="6"/>
    </row>
    <row r="45" spans="1:28" ht="15.75" customHeight="1" x14ac:dyDescent="0.2">
      <c r="A45" s="4">
        <v>12920</v>
      </c>
      <c r="B45" s="19">
        <v>25136</v>
      </c>
      <c r="C45" s="5" t="s">
        <v>13</v>
      </c>
      <c r="D45" s="6"/>
      <c r="E45" s="15">
        <v>41.993283333299999</v>
      </c>
      <c r="F45" s="15">
        <v>-76.194072222200006</v>
      </c>
      <c r="G45" s="5" t="s">
        <v>336</v>
      </c>
      <c r="H45" s="5">
        <v>63.4</v>
      </c>
      <c r="I45" s="5">
        <v>91.5</v>
      </c>
      <c r="J45" s="5" t="s">
        <v>8</v>
      </c>
      <c r="K45" s="5" t="s">
        <v>8</v>
      </c>
      <c r="L45" s="10">
        <v>0.41666666666666669</v>
      </c>
      <c r="M45" s="5" t="s">
        <v>8</v>
      </c>
      <c r="N45" s="11">
        <f t="shared" ref="N45:P45" si="44">AVERAGE(96,96,96,96)*1.04</f>
        <v>99.84</v>
      </c>
      <c r="O45" s="11">
        <f t="shared" si="44"/>
        <v>99.84</v>
      </c>
      <c r="P45" s="11">
        <f t="shared" si="44"/>
        <v>99.84</v>
      </c>
      <c r="Q45" s="11">
        <f t="shared" si="1"/>
        <v>99.839999999999989</v>
      </c>
      <c r="R45" s="5">
        <v>3</v>
      </c>
      <c r="S45" s="6" t="s">
        <v>15</v>
      </c>
      <c r="T45" s="5" t="s">
        <v>9</v>
      </c>
      <c r="U45" s="5" t="s">
        <v>62</v>
      </c>
      <c r="V45" s="5">
        <v>15.5</v>
      </c>
      <c r="W45" s="5">
        <v>6.1</v>
      </c>
      <c r="X45" s="5">
        <v>50</v>
      </c>
      <c r="Y45" s="5">
        <v>3.5</v>
      </c>
      <c r="Z45" s="5"/>
      <c r="AA45" s="5" t="s">
        <v>74</v>
      </c>
      <c r="AB45" s="6"/>
    </row>
    <row r="46" spans="1:28" ht="15.75" customHeight="1" x14ac:dyDescent="0.2">
      <c r="A46" s="4">
        <v>45793</v>
      </c>
      <c r="B46" s="19">
        <v>25136</v>
      </c>
      <c r="C46" s="5" t="s">
        <v>13</v>
      </c>
      <c r="D46" s="6"/>
      <c r="E46" s="15">
        <v>41.993283333299999</v>
      </c>
      <c r="F46" s="15">
        <v>-76.194072222200006</v>
      </c>
      <c r="G46" s="5" t="s">
        <v>336</v>
      </c>
      <c r="H46" s="5">
        <v>63.4</v>
      </c>
      <c r="I46" s="5">
        <v>91.5</v>
      </c>
      <c r="J46" s="5" t="s">
        <v>8</v>
      </c>
      <c r="K46" s="5" t="s">
        <v>8</v>
      </c>
      <c r="L46" s="10">
        <v>0.41666666666666669</v>
      </c>
      <c r="M46" s="5" t="s">
        <v>8</v>
      </c>
      <c r="N46" s="11">
        <f t="shared" ref="N46:P46" si="45">AVERAGE(96,96,96,96)*1.04</f>
        <v>99.84</v>
      </c>
      <c r="O46" s="11">
        <f t="shared" si="45"/>
        <v>99.84</v>
      </c>
      <c r="P46" s="11">
        <f t="shared" si="45"/>
        <v>99.84</v>
      </c>
      <c r="Q46" s="11">
        <f t="shared" si="1"/>
        <v>99.839999999999989</v>
      </c>
      <c r="R46" s="5">
        <v>3</v>
      </c>
      <c r="S46" s="6" t="s">
        <v>15</v>
      </c>
      <c r="T46" s="5" t="s">
        <v>9</v>
      </c>
      <c r="U46" s="5" t="s">
        <v>62</v>
      </c>
      <c r="V46" s="5">
        <v>16.2</v>
      </c>
      <c r="W46" s="5">
        <v>5.9</v>
      </c>
      <c r="X46" s="5">
        <v>60</v>
      </c>
      <c r="Y46" s="5">
        <v>2</v>
      </c>
      <c r="Z46" s="5"/>
      <c r="AA46" s="5" t="s">
        <v>74</v>
      </c>
      <c r="AB46" s="6"/>
    </row>
    <row r="47" spans="1:28" ht="15.75" customHeight="1" x14ac:dyDescent="0.2">
      <c r="A47" s="4">
        <v>45793</v>
      </c>
      <c r="B47" s="19">
        <v>25136</v>
      </c>
      <c r="C47" s="5" t="s">
        <v>13</v>
      </c>
      <c r="D47" s="6"/>
      <c r="E47" s="15">
        <v>41.993283333299999</v>
      </c>
      <c r="F47" s="15">
        <v>-76.194072222200006</v>
      </c>
      <c r="G47" s="5" t="s">
        <v>336</v>
      </c>
      <c r="H47" s="5">
        <v>63.4</v>
      </c>
      <c r="I47" s="5">
        <v>91.5</v>
      </c>
      <c r="J47" s="5" t="s">
        <v>8</v>
      </c>
      <c r="K47" s="5" t="s">
        <v>8</v>
      </c>
      <c r="L47" s="10">
        <v>0.41666666666666669</v>
      </c>
      <c r="M47" s="5" t="s">
        <v>8</v>
      </c>
      <c r="N47" s="11">
        <f t="shared" ref="N47:P47" si="46">AVERAGE(96,96,96,96)*1.04</f>
        <v>99.84</v>
      </c>
      <c r="O47" s="11">
        <f t="shared" si="46"/>
        <v>99.84</v>
      </c>
      <c r="P47" s="11">
        <f t="shared" si="46"/>
        <v>99.84</v>
      </c>
      <c r="Q47" s="11">
        <f t="shared" si="1"/>
        <v>99.839999999999989</v>
      </c>
      <c r="R47" s="5">
        <v>3</v>
      </c>
      <c r="S47" s="6" t="s">
        <v>15</v>
      </c>
      <c r="T47" s="5" t="s">
        <v>9</v>
      </c>
      <c r="U47" s="5" t="s">
        <v>56</v>
      </c>
      <c r="V47" s="5">
        <v>18.2</v>
      </c>
      <c r="W47" s="5">
        <v>5.6</v>
      </c>
      <c r="X47" s="5">
        <v>68</v>
      </c>
      <c r="Y47" s="5">
        <v>2</v>
      </c>
      <c r="Z47" s="5"/>
      <c r="AA47" s="5" t="s">
        <v>74</v>
      </c>
      <c r="AB47" s="6"/>
    </row>
    <row r="48" spans="1:28" ht="15.75" customHeight="1" x14ac:dyDescent="0.2">
      <c r="A48" s="4">
        <v>45793</v>
      </c>
      <c r="B48" s="19">
        <v>25136</v>
      </c>
      <c r="C48" s="5" t="s">
        <v>13</v>
      </c>
      <c r="D48" s="6"/>
      <c r="E48" s="15">
        <v>41.993283333299999</v>
      </c>
      <c r="F48" s="15">
        <v>-76.194072222200006</v>
      </c>
      <c r="G48" s="5" t="s">
        <v>336</v>
      </c>
      <c r="H48" s="5">
        <v>63.4</v>
      </c>
      <c r="I48" s="5">
        <v>91.5</v>
      </c>
      <c r="J48" s="5" t="s">
        <v>8</v>
      </c>
      <c r="K48" s="5" t="s">
        <v>8</v>
      </c>
      <c r="L48" s="10">
        <v>0.41666666666666669</v>
      </c>
      <c r="M48" s="5" t="s">
        <v>8</v>
      </c>
      <c r="N48" s="11">
        <f t="shared" ref="N48:P48" si="47">AVERAGE(96,96,96,96)*1.04</f>
        <v>99.84</v>
      </c>
      <c r="O48" s="11">
        <f t="shared" si="47"/>
        <v>99.84</v>
      </c>
      <c r="P48" s="11">
        <f t="shared" si="47"/>
        <v>99.84</v>
      </c>
      <c r="Q48" s="11">
        <f t="shared" si="1"/>
        <v>99.839999999999989</v>
      </c>
      <c r="R48" s="5">
        <v>3</v>
      </c>
      <c r="S48" s="6" t="s">
        <v>16</v>
      </c>
      <c r="T48" s="5" t="s">
        <v>9</v>
      </c>
      <c r="U48" s="5" t="s">
        <v>56</v>
      </c>
      <c r="V48" s="5">
        <v>18.899999999999999</v>
      </c>
      <c r="W48" s="5">
        <v>6.1</v>
      </c>
      <c r="X48" s="5">
        <v>50</v>
      </c>
      <c r="Y48" s="5">
        <v>4</v>
      </c>
      <c r="Z48" s="5"/>
      <c r="AA48" s="5" t="s">
        <v>75</v>
      </c>
      <c r="AB48" s="6"/>
    </row>
    <row r="49" spans="1:28" ht="15.75" customHeight="1" x14ac:dyDescent="0.2">
      <c r="A49" s="4">
        <v>45793</v>
      </c>
      <c r="B49" s="19">
        <v>25136</v>
      </c>
      <c r="C49" s="5" t="s">
        <v>13</v>
      </c>
      <c r="D49" s="6"/>
      <c r="E49" s="15">
        <v>41.993283333299999</v>
      </c>
      <c r="F49" s="15">
        <v>-76.194072222200006</v>
      </c>
      <c r="G49" s="5" t="s">
        <v>336</v>
      </c>
      <c r="H49" s="5">
        <v>63.4</v>
      </c>
      <c r="I49" s="5">
        <v>91.5</v>
      </c>
      <c r="J49" s="5" t="s">
        <v>8</v>
      </c>
      <c r="K49" s="5" t="s">
        <v>8</v>
      </c>
      <c r="L49" s="10">
        <v>0.41666666666666669</v>
      </c>
      <c r="M49" s="5" t="s">
        <v>8</v>
      </c>
      <c r="N49" s="11">
        <f t="shared" ref="N49:P49" si="48">AVERAGE(96,96,96,96)*1.04</f>
        <v>99.84</v>
      </c>
      <c r="O49" s="11">
        <f t="shared" si="48"/>
        <v>99.84</v>
      </c>
      <c r="P49" s="11">
        <f t="shared" si="48"/>
        <v>99.84</v>
      </c>
      <c r="Q49" s="11">
        <f t="shared" si="1"/>
        <v>99.839999999999989</v>
      </c>
      <c r="R49" s="5">
        <v>3</v>
      </c>
      <c r="S49" s="6" t="s">
        <v>16</v>
      </c>
      <c r="T49" s="5" t="s">
        <v>9</v>
      </c>
      <c r="U49" s="5" t="s">
        <v>62</v>
      </c>
      <c r="V49" s="5">
        <v>17.399999999999999</v>
      </c>
      <c r="W49" s="5">
        <v>5.8</v>
      </c>
      <c r="X49" s="5">
        <v>55</v>
      </c>
      <c r="Y49" s="5">
        <v>2.5</v>
      </c>
      <c r="Z49" s="5"/>
      <c r="AA49" s="5" t="s">
        <v>76</v>
      </c>
      <c r="AB49" s="6"/>
    </row>
    <row r="50" spans="1:28" ht="15.75" customHeight="1" x14ac:dyDescent="0.2">
      <c r="A50" s="4">
        <v>45793</v>
      </c>
      <c r="B50" s="19">
        <v>25136</v>
      </c>
      <c r="C50" s="5" t="s">
        <v>13</v>
      </c>
      <c r="D50" s="6"/>
      <c r="E50" s="15">
        <v>41.993283333299999</v>
      </c>
      <c r="F50" s="15">
        <v>-76.194072222200006</v>
      </c>
      <c r="G50" s="5" t="s">
        <v>336</v>
      </c>
      <c r="H50" s="5">
        <v>63.4</v>
      </c>
      <c r="I50" s="5">
        <v>91.5</v>
      </c>
      <c r="J50" s="5" t="s">
        <v>8</v>
      </c>
      <c r="K50" s="5" t="s">
        <v>8</v>
      </c>
      <c r="L50" s="10">
        <v>0.41666666666666669</v>
      </c>
      <c r="M50" s="5" t="s">
        <v>8</v>
      </c>
      <c r="N50" s="11">
        <f t="shared" ref="N50:P50" si="49">AVERAGE(96,96,96,96)*1.04</f>
        <v>99.84</v>
      </c>
      <c r="O50" s="11">
        <f t="shared" si="49"/>
        <v>99.84</v>
      </c>
      <c r="P50" s="11">
        <f t="shared" si="49"/>
        <v>99.84</v>
      </c>
      <c r="Q50" s="11">
        <f t="shared" si="1"/>
        <v>99.839999999999989</v>
      </c>
      <c r="R50" s="5">
        <v>3</v>
      </c>
      <c r="S50" s="6" t="s">
        <v>16</v>
      </c>
      <c r="T50" s="5" t="s">
        <v>9</v>
      </c>
      <c r="U50" s="5" t="s">
        <v>56</v>
      </c>
      <c r="V50" s="5">
        <v>16.7</v>
      </c>
      <c r="W50" s="5">
        <v>5.5</v>
      </c>
      <c r="X50" s="5">
        <v>56</v>
      </c>
      <c r="Y50" s="5">
        <v>4</v>
      </c>
      <c r="Z50" s="5"/>
      <c r="AA50" s="5" t="s">
        <v>72</v>
      </c>
      <c r="AB50" s="6"/>
    </row>
    <row r="51" spans="1:28" ht="16" x14ac:dyDescent="0.2">
      <c r="A51" s="4">
        <v>45793</v>
      </c>
      <c r="B51" s="19">
        <v>25136</v>
      </c>
      <c r="C51" s="5" t="s">
        <v>13</v>
      </c>
      <c r="D51" s="6"/>
      <c r="E51" s="15">
        <v>41.993283333299999</v>
      </c>
      <c r="F51" s="15">
        <v>-76.194072222200006</v>
      </c>
      <c r="G51" s="5" t="s">
        <v>336</v>
      </c>
      <c r="H51" s="5">
        <v>63.4</v>
      </c>
      <c r="I51" s="5">
        <v>91.5</v>
      </c>
      <c r="J51" s="5" t="s">
        <v>8</v>
      </c>
      <c r="K51" s="5" t="s">
        <v>8</v>
      </c>
      <c r="L51" s="10">
        <v>0.41666666666666669</v>
      </c>
      <c r="M51" s="5" t="s">
        <v>8</v>
      </c>
      <c r="N51" s="11">
        <f t="shared" ref="N51:P51" si="50">AVERAGE(96,96,96,96)*1.04</f>
        <v>99.84</v>
      </c>
      <c r="O51" s="11">
        <f t="shared" si="50"/>
        <v>99.84</v>
      </c>
      <c r="P51" s="11">
        <f t="shared" si="50"/>
        <v>99.84</v>
      </c>
      <c r="Q51" s="11">
        <f t="shared" si="1"/>
        <v>99.839999999999989</v>
      </c>
      <c r="R51" s="5">
        <v>3</v>
      </c>
      <c r="S51" s="6" t="s">
        <v>14</v>
      </c>
      <c r="T51" s="5" t="s">
        <v>9</v>
      </c>
      <c r="U51" s="5" t="s">
        <v>56</v>
      </c>
      <c r="V51" s="5">
        <v>17.399999999999999</v>
      </c>
      <c r="W51" s="5">
        <v>5.4</v>
      </c>
      <c r="X51" s="5">
        <v>58</v>
      </c>
      <c r="Y51" s="5">
        <v>1</v>
      </c>
      <c r="Z51" s="5"/>
      <c r="AA51" s="5" t="s">
        <v>73</v>
      </c>
      <c r="AB51" s="6"/>
    </row>
    <row r="52" spans="1:28" ht="16" x14ac:dyDescent="0.2">
      <c r="A52" s="4">
        <v>45793</v>
      </c>
      <c r="B52" s="19">
        <v>25136</v>
      </c>
      <c r="C52" s="5" t="s">
        <v>13</v>
      </c>
      <c r="D52" s="6"/>
      <c r="E52" s="15">
        <v>41.993283333299999</v>
      </c>
      <c r="F52" s="15">
        <v>-76.194072222200006</v>
      </c>
      <c r="G52" s="5" t="s">
        <v>336</v>
      </c>
      <c r="H52" s="5">
        <v>63.4</v>
      </c>
      <c r="I52" s="5">
        <v>91.5</v>
      </c>
      <c r="J52" s="5" t="s">
        <v>8</v>
      </c>
      <c r="K52" s="5" t="s">
        <v>8</v>
      </c>
      <c r="L52" s="10">
        <v>0.41666666666666669</v>
      </c>
      <c r="M52" s="5" t="s">
        <v>8</v>
      </c>
      <c r="N52" s="11">
        <f t="shared" ref="N52:P52" si="51">AVERAGE(96,96,96,96)*1.04</f>
        <v>99.84</v>
      </c>
      <c r="O52" s="11">
        <f t="shared" si="51"/>
        <v>99.84</v>
      </c>
      <c r="P52" s="11">
        <f t="shared" si="51"/>
        <v>99.84</v>
      </c>
      <c r="Q52" s="11">
        <f t="shared" si="1"/>
        <v>99.839999999999989</v>
      </c>
      <c r="R52" s="5">
        <v>3</v>
      </c>
      <c r="S52" s="6" t="s">
        <v>14</v>
      </c>
      <c r="T52" s="5" t="s">
        <v>9</v>
      </c>
      <c r="U52" s="5" t="s">
        <v>56</v>
      </c>
      <c r="V52" s="5">
        <v>17.3</v>
      </c>
      <c r="W52" s="5">
        <v>5.8</v>
      </c>
      <c r="X52" s="5">
        <v>60</v>
      </c>
      <c r="Y52" s="5">
        <v>3</v>
      </c>
      <c r="Z52" s="5"/>
      <c r="AA52" s="5" t="s">
        <v>73</v>
      </c>
      <c r="AB52" s="6"/>
    </row>
    <row r="53" spans="1:28" ht="16" x14ac:dyDescent="0.2">
      <c r="A53" s="4">
        <v>45793</v>
      </c>
      <c r="B53" s="19">
        <v>25136</v>
      </c>
      <c r="C53" s="5" t="s">
        <v>13</v>
      </c>
      <c r="D53" s="6"/>
      <c r="E53" s="15">
        <v>41.993283333299999</v>
      </c>
      <c r="F53" s="15">
        <v>-76.194072222200006</v>
      </c>
      <c r="G53" s="5" t="s">
        <v>336</v>
      </c>
      <c r="H53" s="5">
        <v>63.4</v>
      </c>
      <c r="I53" s="5">
        <v>91.5</v>
      </c>
      <c r="J53" s="5" t="s">
        <v>8</v>
      </c>
      <c r="K53" s="5" t="s">
        <v>8</v>
      </c>
      <c r="L53" s="10">
        <v>0.41666666666666669</v>
      </c>
      <c r="M53" s="5" t="s">
        <v>8</v>
      </c>
      <c r="N53" s="11">
        <f t="shared" ref="N53:P53" si="52">AVERAGE(96,96,96,96)*1.04</f>
        <v>99.84</v>
      </c>
      <c r="O53" s="11">
        <f t="shared" si="52"/>
        <v>99.84</v>
      </c>
      <c r="P53" s="11">
        <f t="shared" si="52"/>
        <v>99.84</v>
      </c>
      <c r="Q53" s="11">
        <f t="shared" si="1"/>
        <v>99.839999999999989</v>
      </c>
      <c r="R53" s="5">
        <v>3</v>
      </c>
      <c r="S53" s="6" t="s">
        <v>14</v>
      </c>
      <c r="T53" s="5" t="s">
        <v>9</v>
      </c>
      <c r="U53" s="5" t="s">
        <v>56</v>
      </c>
      <c r="V53" s="5">
        <v>18.100000000000001</v>
      </c>
      <c r="W53" s="6"/>
      <c r="X53" s="5">
        <v>58</v>
      </c>
      <c r="Y53" s="5">
        <v>3</v>
      </c>
      <c r="Z53" s="5"/>
      <c r="AA53" s="5" t="s">
        <v>73</v>
      </c>
      <c r="AB53" s="6"/>
    </row>
    <row r="54" spans="1:28" ht="16" x14ac:dyDescent="0.2">
      <c r="A54" s="4">
        <v>45796</v>
      </c>
      <c r="B54" s="19">
        <v>25139</v>
      </c>
      <c r="C54" s="5" t="s">
        <v>40</v>
      </c>
      <c r="D54" s="5" t="s">
        <v>77</v>
      </c>
      <c r="E54" s="15">
        <v>41.034777777800002</v>
      </c>
      <c r="F54" s="15">
        <v>-75.729544444400005</v>
      </c>
      <c r="G54" s="5" t="s">
        <v>78</v>
      </c>
      <c r="H54" s="5">
        <v>57.1</v>
      </c>
      <c r="I54" s="5">
        <v>67.599999999999994</v>
      </c>
      <c r="J54" s="5">
        <v>66.3</v>
      </c>
      <c r="K54" s="5">
        <v>42.6</v>
      </c>
      <c r="L54" s="10">
        <v>0.43055555555555558</v>
      </c>
      <c r="M54" s="10">
        <v>0.66180555555555554</v>
      </c>
      <c r="N54" s="11">
        <f t="shared" ref="N54:P54" si="53">AVERAGE(96,96,96,96)*1.04</f>
        <v>99.84</v>
      </c>
      <c r="O54" s="11">
        <f t="shared" si="53"/>
        <v>99.84</v>
      </c>
      <c r="P54" s="11">
        <f t="shared" si="53"/>
        <v>99.84</v>
      </c>
      <c r="Q54" s="11">
        <f t="shared" si="1"/>
        <v>99.839999999999989</v>
      </c>
      <c r="R54" s="5">
        <v>1</v>
      </c>
      <c r="S54" s="5" t="s">
        <v>15</v>
      </c>
      <c r="T54" s="5" t="s">
        <v>9</v>
      </c>
      <c r="U54" s="5" t="s">
        <v>62</v>
      </c>
      <c r="V54" s="5">
        <v>14.2</v>
      </c>
      <c r="W54" s="5">
        <v>5.2</v>
      </c>
      <c r="X54" s="5">
        <v>55</v>
      </c>
      <c r="Y54" s="5">
        <v>5</v>
      </c>
      <c r="Z54" s="6"/>
      <c r="AA54" s="6"/>
      <c r="AB54" s="6"/>
    </row>
    <row r="55" spans="1:28" ht="16" x14ac:dyDescent="0.2">
      <c r="A55" s="4">
        <v>45796</v>
      </c>
      <c r="B55" s="19">
        <v>25139</v>
      </c>
      <c r="C55" s="5" t="s">
        <v>40</v>
      </c>
      <c r="D55" s="6"/>
      <c r="E55" s="15">
        <v>41.034777777800002</v>
      </c>
      <c r="F55" s="15">
        <v>-75.729544444400005</v>
      </c>
      <c r="G55" s="5" t="s">
        <v>78</v>
      </c>
      <c r="H55" s="5">
        <v>57.1</v>
      </c>
      <c r="I55" s="5">
        <v>67.599999999999994</v>
      </c>
      <c r="J55" s="5">
        <v>66.3</v>
      </c>
      <c r="K55" s="5">
        <v>42.6</v>
      </c>
      <c r="L55" s="10">
        <v>0.43055555555555558</v>
      </c>
      <c r="M55" s="10">
        <v>0.66180555555555554</v>
      </c>
      <c r="N55" s="11">
        <f t="shared" ref="N55:P55" si="54">AVERAGE(96,96,96,96)*1.04</f>
        <v>99.84</v>
      </c>
      <c r="O55" s="11">
        <f t="shared" si="54"/>
        <v>99.84</v>
      </c>
      <c r="P55" s="11">
        <f t="shared" si="54"/>
        <v>99.84</v>
      </c>
      <c r="Q55" s="11">
        <f t="shared" si="1"/>
        <v>99.839999999999989</v>
      </c>
      <c r="R55" s="5">
        <v>1</v>
      </c>
      <c r="S55" s="5" t="s">
        <v>15</v>
      </c>
      <c r="T55" s="5" t="s">
        <v>9</v>
      </c>
      <c r="U55" s="5" t="s">
        <v>62</v>
      </c>
      <c r="V55" s="5">
        <v>13.3</v>
      </c>
      <c r="W55" s="5">
        <v>5.8</v>
      </c>
      <c r="X55" s="5">
        <v>55</v>
      </c>
      <c r="Y55" s="5">
        <v>4</v>
      </c>
      <c r="Z55" s="6"/>
      <c r="AA55" s="6"/>
      <c r="AB55" s="6"/>
    </row>
    <row r="56" spans="1:28" ht="16" x14ac:dyDescent="0.2">
      <c r="A56" s="4">
        <v>45796</v>
      </c>
      <c r="B56" s="19">
        <v>25139</v>
      </c>
      <c r="C56" s="5" t="s">
        <v>40</v>
      </c>
      <c r="D56" s="6"/>
      <c r="E56" s="15">
        <v>41.034777777800002</v>
      </c>
      <c r="F56" s="15">
        <v>-75.729544444400005</v>
      </c>
      <c r="G56" s="5" t="s">
        <v>78</v>
      </c>
      <c r="H56" s="5">
        <v>57.1</v>
      </c>
      <c r="I56" s="5">
        <v>67.599999999999994</v>
      </c>
      <c r="J56" s="5">
        <v>66.3</v>
      </c>
      <c r="K56" s="5">
        <v>42.6</v>
      </c>
      <c r="L56" s="10">
        <v>0.43055555555555558</v>
      </c>
      <c r="M56" s="10">
        <v>0.66180555555555554</v>
      </c>
      <c r="N56" s="11">
        <f t="shared" ref="N56:P56" si="55">AVERAGE(96,96,96,96)*1.04</f>
        <v>99.84</v>
      </c>
      <c r="O56" s="11">
        <f t="shared" si="55"/>
        <v>99.84</v>
      </c>
      <c r="P56" s="11">
        <f t="shared" si="55"/>
        <v>99.84</v>
      </c>
      <c r="Q56" s="11">
        <f t="shared" si="1"/>
        <v>99.839999999999989</v>
      </c>
      <c r="R56" s="5">
        <v>1</v>
      </c>
      <c r="S56" s="5" t="s">
        <v>15</v>
      </c>
      <c r="T56" s="5" t="s">
        <v>9</v>
      </c>
      <c r="U56" s="5" t="s">
        <v>62</v>
      </c>
      <c r="V56" s="5">
        <v>13.1</v>
      </c>
      <c r="W56" s="5">
        <v>5.3</v>
      </c>
      <c r="X56" s="5">
        <v>80</v>
      </c>
      <c r="Y56" s="5">
        <v>6.5</v>
      </c>
      <c r="Z56" s="6"/>
      <c r="AA56" s="6"/>
      <c r="AB56" s="6"/>
    </row>
    <row r="57" spans="1:28" ht="16" x14ac:dyDescent="0.2">
      <c r="A57" s="4">
        <v>45796</v>
      </c>
      <c r="B57" s="19">
        <v>25139</v>
      </c>
      <c r="C57" s="5" t="s">
        <v>40</v>
      </c>
      <c r="D57" s="6"/>
      <c r="E57" s="15">
        <v>41.034777777800002</v>
      </c>
      <c r="F57" s="15">
        <v>-75.729544444400005</v>
      </c>
      <c r="G57" s="5" t="s">
        <v>78</v>
      </c>
      <c r="H57" s="5">
        <v>57.1</v>
      </c>
      <c r="I57" s="5">
        <v>67.599999999999994</v>
      </c>
      <c r="J57" s="5">
        <v>66.3</v>
      </c>
      <c r="K57" s="5">
        <v>42.6</v>
      </c>
      <c r="L57" s="10">
        <v>0.43055555555555558</v>
      </c>
      <c r="M57" s="10">
        <v>0.66180555555555554</v>
      </c>
      <c r="N57" s="11">
        <f t="shared" ref="N57:P57" si="56">AVERAGE(96,96,96,96)*1.04</f>
        <v>99.84</v>
      </c>
      <c r="O57" s="11">
        <f t="shared" si="56"/>
        <v>99.84</v>
      </c>
      <c r="P57" s="11">
        <f t="shared" si="56"/>
        <v>99.84</v>
      </c>
      <c r="Q57" s="11">
        <f t="shared" si="1"/>
        <v>99.839999999999989</v>
      </c>
      <c r="R57" s="5">
        <v>1</v>
      </c>
      <c r="S57" s="5" t="s">
        <v>16</v>
      </c>
      <c r="T57" s="5" t="s">
        <v>9</v>
      </c>
      <c r="U57" s="5" t="s">
        <v>62</v>
      </c>
      <c r="V57" s="5">
        <v>13</v>
      </c>
      <c r="W57" s="5">
        <v>5</v>
      </c>
      <c r="X57" s="5">
        <v>68</v>
      </c>
      <c r="Y57" s="5">
        <v>1</v>
      </c>
      <c r="Z57" s="6"/>
      <c r="AA57" s="6"/>
      <c r="AB57" s="6"/>
    </row>
    <row r="58" spans="1:28" ht="16" x14ac:dyDescent="0.2">
      <c r="A58" s="4">
        <v>45796</v>
      </c>
      <c r="B58" s="19">
        <v>25139</v>
      </c>
      <c r="C58" s="5" t="s">
        <v>40</v>
      </c>
      <c r="D58" s="6"/>
      <c r="E58" s="15">
        <v>41.034777777800002</v>
      </c>
      <c r="F58" s="15">
        <v>-75.729544444400005</v>
      </c>
      <c r="G58" s="5" t="s">
        <v>78</v>
      </c>
      <c r="H58" s="5">
        <v>57.1</v>
      </c>
      <c r="I58" s="5">
        <v>67.599999999999994</v>
      </c>
      <c r="J58" s="5">
        <v>66.3</v>
      </c>
      <c r="K58" s="5">
        <v>42.6</v>
      </c>
      <c r="L58" s="10">
        <v>0.43055555555555558</v>
      </c>
      <c r="M58" s="10">
        <v>0.66180555555555554</v>
      </c>
      <c r="N58" s="11">
        <f t="shared" ref="N58:P58" si="57">AVERAGE(96,96,96,96)*1.04</f>
        <v>99.84</v>
      </c>
      <c r="O58" s="11">
        <f t="shared" si="57"/>
        <v>99.84</v>
      </c>
      <c r="P58" s="11">
        <f t="shared" si="57"/>
        <v>99.84</v>
      </c>
      <c r="Q58" s="11">
        <f t="shared" si="1"/>
        <v>99.839999999999989</v>
      </c>
      <c r="R58" s="5">
        <v>1</v>
      </c>
      <c r="S58" s="5" t="s">
        <v>16</v>
      </c>
      <c r="T58" s="5" t="s">
        <v>4</v>
      </c>
      <c r="U58" s="5" t="s">
        <v>62</v>
      </c>
      <c r="V58" s="5">
        <v>13.1</v>
      </c>
      <c r="W58" s="5">
        <v>5.8</v>
      </c>
      <c r="X58" s="5">
        <v>60</v>
      </c>
      <c r="Y58" s="5">
        <v>4</v>
      </c>
      <c r="Z58" s="6"/>
      <c r="AA58" s="6"/>
      <c r="AB58" s="6"/>
    </row>
    <row r="59" spans="1:28" ht="16" x14ac:dyDescent="0.2">
      <c r="A59" s="4">
        <v>45796</v>
      </c>
      <c r="B59" s="19">
        <v>25139</v>
      </c>
      <c r="C59" s="5" t="s">
        <v>40</v>
      </c>
      <c r="D59" s="6"/>
      <c r="E59" s="15">
        <v>41.034777777800002</v>
      </c>
      <c r="F59" s="15">
        <v>-75.729544444400005</v>
      </c>
      <c r="G59" s="5" t="s">
        <v>78</v>
      </c>
      <c r="H59" s="5">
        <v>57.1</v>
      </c>
      <c r="I59" s="5">
        <v>67.599999999999994</v>
      </c>
      <c r="J59" s="5">
        <v>66.3</v>
      </c>
      <c r="K59" s="5">
        <v>42.6</v>
      </c>
      <c r="L59" s="10">
        <v>0.43055555555555558</v>
      </c>
      <c r="M59" s="10">
        <v>0.66180555555555554</v>
      </c>
      <c r="N59" s="11">
        <f t="shared" ref="N59:P59" si="58">AVERAGE(96,96,96,96)*1.04</f>
        <v>99.84</v>
      </c>
      <c r="O59" s="11">
        <f t="shared" si="58"/>
        <v>99.84</v>
      </c>
      <c r="P59" s="11">
        <f t="shared" si="58"/>
        <v>99.84</v>
      </c>
      <c r="Q59" s="11">
        <f t="shared" si="1"/>
        <v>99.839999999999989</v>
      </c>
      <c r="R59" s="5">
        <v>1</v>
      </c>
      <c r="S59" s="5" t="s">
        <v>16</v>
      </c>
      <c r="T59" s="5" t="s">
        <v>4</v>
      </c>
      <c r="U59" s="5" t="s">
        <v>62</v>
      </c>
      <c r="V59" s="5">
        <v>12.2</v>
      </c>
      <c r="W59" s="5">
        <v>5</v>
      </c>
      <c r="X59" s="5">
        <v>70</v>
      </c>
      <c r="Y59" s="5">
        <v>3</v>
      </c>
      <c r="Z59" s="5"/>
      <c r="AA59" s="5" t="s">
        <v>79</v>
      </c>
      <c r="AB59" s="6"/>
    </row>
    <row r="60" spans="1:28" ht="16" x14ac:dyDescent="0.2">
      <c r="A60" s="4">
        <v>45796</v>
      </c>
      <c r="B60" s="19">
        <v>25139</v>
      </c>
      <c r="C60" s="5" t="s">
        <v>40</v>
      </c>
      <c r="D60" s="6"/>
      <c r="E60" s="15">
        <v>41.034777777800002</v>
      </c>
      <c r="F60" s="15">
        <v>-75.729544444400005</v>
      </c>
      <c r="G60" s="5" t="s">
        <v>78</v>
      </c>
      <c r="H60" s="5">
        <v>57.1</v>
      </c>
      <c r="I60" s="5">
        <v>67.599999999999994</v>
      </c>
      <c r="J60" s="5">
        <v>66.3</v>
      </c>
      <c r="K60" s="5">
        <v>42.6</v>
      </c>
      <c r="L60" s="10">
        <v>0.43055555555555558</v>
      </c>
      <c r="M60" s="10">
        <v>0.66180555555555554</v>
      </c>
      <c r="N60" s="11">
        <f t="shared" ref="N60:P60" si="59">AVERAGE(96,96,96,96)*1.04</f>
        <v>99.84</v>
      </c>
      <c r="O60" s="11">
        <f t="shared" si="59"/>
        <v>99.84</v>
      </c>
      <c r="P60" s="11">
        <f t="shared" si="59"/>
        <v>99.84</v>
      </c>
      <c r="Q60" s="11">
        <f t="shared" si="1"/>
        <v>99.839999999999989</v>
      </c>
      <c r="R60" s="5">
        <v>1</v>
      </c>
      <c r="S60" s="5" t="s">
        <v>16</v>
      </c>
      <c r="T60" s="5" t="s">
        <v>9</v>
      </c>
      <c r="U60" s="5" t="s">
        <v>62</v>
      </c>
      <c r="V60" s="5">
        <v>13.2</v>
      </c>
      <c r="W60" s="5">
        <v>5.2</v>
      </c>
      <c r="X60" s="5">
        <v>54</v>
      </c>
      <c r="Y60" s="5">
        <v>4</v>
      </c>
      <c r="Z60" s="6"/>
      <c r="AA60" s="6"/>
      <c r="AB60" s="6"/>
    </row>
    <row r="61" spans="1:28" ht="16" x14ac:dyDescent="0.2">
      <c r="A61" s="4">
        <v>45796</v>
      </c>
      <c r="B61" s="19">
        <v>25139</v>
      </c>
      <c r="C61" s="5" t="s">
        <v>40</v>
      </c>
      <c r="D61" s="6"/>
      <c r="E61" s="15">
        <v>41.034777777800002</v>
      </c>
      <c r="F61" s="15">
        <v>-75.729544444400005</v>
      </c>
      <c r="G61" s="5" t="s">
        <v>78</v>
      </c>
      <c r="H61" s="5">
        <v>57.1</v>
      </c>
      <c r="I61" s="5">
        <v>67.599999999999994</v>
      </c>
      <c r="J61" s="5">
        <v>66.3</v>
      </c>
      <c r="K61" s="5">
        <v>42.6</v>
      </c>
      <c r="L61" s="10">
        <v>0.43055555555555558</v>
      </c>
      <c r="M61" s="10">
        <v>0.66180555555555554</v>
      </c>
      <c r="N61" s="11">
        <f t="shared" ref="N61:P61" si="60">AVERAGE(96,96,96,96)*1.04</f>
        <v>99.84</v>
      </c>
      <c r="O61" s="11">
        <f t="shared" si="60"/>
        <v>99.84</v>
      </c>
      <c r="P61" s="11">
        <f t="shared" si="60"/>
        <v>99.84</v>
      </c>
      <c r="Q61" s="11">
        <f t="shared" si="1"/>
        <v>99.839999999999989</v>
      </c>
      <c r="R61" s="5">
        <v>1</v>
      </c>
      <c r="S61" s="5" t="s">
        <v>16</v>
      </c>
      <c r="T61" s="5" t="s">
        <v>9</v>
      </c>
      <c r="U61" s="5" t="s">
        <v>62</v>
      </c>
      <c r="V61" s="5">
        <v>16.3</v>
      </c>
      <c r="W61" s="5">
        <v>5.5</v>
      </c>
      <c r="X61" s="5">
        <v>60</v>
      </c>
      <c r="Y61" s="5">
        <v>5</v>
      </c>
      <c r="Z61" s="5"/>
      <c r="AA61" s="5" t="s">
        <v>80</v>
      </c>
      <c r="AB61" s="6"/>
    </row>
    <row r="62" spans="1:28" ht="16" x14ac:dyDescent="0.2">
      <c r="A62" s="4">
        <v>45796</v>
      </c>
      <c r="B62" s="19">
        <v>25139</v>
      </c>
      <c r="C62" s="5" t="s">
        <v>40</v>
      </c>
      <c r="D62" s="6"/>
      <c r="E62" s="15">
        <v>41.034777777800002</v>
      </c>
      <c r="F62" s="15">
        <v>-75.729544444400005</v>
      </c>
      <c r="G62" s="5" t="s">
        <v>78</v>
      </c>
      <c r="H62" s="5">
        <v>57.1</v>
      </c>
      <c r="I62" s="5">
        <v>67.599999999999994</v>
      </c>
      <c r="J62" s="5">
        <v>66.3</v>
      </c>
      <c r="K62" s="5">
        <v>42.6</v>
      </c>
      <c r="L62" s="10">
        <v>0.43055555555555558</v>
      </c>
      <c r="M62" s="10">
        <v>0.66180555555555554</v>
      </c>
      <c r="N62" s="11">
        <f t="shared" ref="N62:P62" si="61">AVERAGE(96,96,96,96)*1.04</f>
        <v>99.84</v>
      </c>
      <c r="O62" s="11">
        <f t="shared" si="61"/>
        <v>99.84</v>
      </c>
      <c r="P62" s="11">
        <f t="shared" si="61"/>
        <v>99.84</v>
      </c>
      <c r="Q62" s="11">
        <f t="shared" si="1"/>
        <v>99.839999999999989</v>
      </c>
      <c r="R62" s="5">
        <v>1</v>
      </c>
      <c r="S62" s="5" t="s">
        <v>14</v>
      </c>
      <c r="T62" s="5" t="s">
        <v>9</v>
      </c>
      <c r="U62" s="5" t="s">
        <v>62</v>
      </c>
      <c r="V62" s="5">
        <v>13.7</v>
      </c>
      <c r="W62" s="5">
        <v>5.4</v>
      </c>
      <c r="X62" s="5">
        <v>68</v>
      </c>
      <c r="Y62" s="5">
        <v>1</v>
      </c>
      <c r="Z62" s="6"/>
      <c r="AA62" s="6"/>
      <c r="AB62" s="6"/>
    </row>
    <row r="63" spans="1:28" ht="16" x14ac:dyDescent="0.2">
      <c r="A63" s="4">
        <v>45796</v>
      </c>
      <c r="B63" s="19">
        <v>25139</v>
      </c>
      <c r="C63" s="5" t="s">
        <v>40</v>
      </c>
      <c r="D63" s="6"/>
      <c r="E63" s="15">
        <v>41.034777777800002</v>
      </c>
      <c r="F63" s="15">
        <v>-75.729544444400005</v>
      </c>
      <c r="G63" s="5" t="s">
        <v>78</v>
      </c>
      <c r="H63" s="5">
        <v>57.1</v>
      </c>
      <c r="I63" s="5">
        <v>67.599999999999994</v>
      </c>
      <c r="J63" s="5">
        <v>66.3</v>
      </c>
      <c r="K63" s="5">
        <v>42.6</v>
      </c>
      <c r="L63" s="10">
        <v>0.43055555555555558</v>
      </c>
      <c r="M63" s="10">
        <v>0.66180555555555554</v>
      </c>
      <c r="N63" s="11">
        <f t="shared" ref="N63:P63" si="62">AVERAGE(96,96,96,96)*1.04</f>
        <v>99.84</v>
      </c>
      <c r="O63" s="11">
        <f t="shared" si="62"/>
        <v>99.84</v>
      </c>
      <c r="P63" s="11">
        <f t="shared" si="62"/>
        <v>99.84</v>
      </c>
      <c r="Q63" s="11">
        <f t="shared" si="1"/>
        <v>99.839999999999989</v>
      </c>
      <c r="R63" s="5">
        <v>1</v>
      </c>
      <c r="S63" s="5" t="s">
        <v>14</v>
      </c>
      <c r="T63" s="5" t="s">
        <v>9</v>
      </c>
      <c r="U63" s="5" t="s">
        <v>56</v>
      </c>
      <c r="V63" s="5">
        <v>12.7</v>
      </c>
      <c r="W63" s="5" t="s">
        <v>8</v>
      </c>
      <c r="X63" s="5" t="s">
        <v>8</v>
      </c>
      <c r="Y63" s="5">
        <v>0</v>
      </c>
      <c r="Z63" s="5"/>
      <c r="AA63" s="5" t="s">
        <v>81</v>
      </c>
      <c r="AB63" s="6"/>
    </row>
    <row r="64" spans="1:28" ht="16" x14ac:dyDescent="0.2">
      <c r="A64" s="4">
        <v>45796</v>
      </c>
      <c r="B64" s="19">
        <v>25139</v>
      </c>
      <c r="C64" s="5" t="s">
        <v>40</v>
      </c>
      <c r="D64" s="6"/>
      <c r="E64" s="15">
        <v>41.034777777800002</v>
      </c>
      <c r="F64" s="15">
        <v>-75.729544444400005</v>
      </c>
      <c r="G64" s="5" t="s">
        <v>78</v>
      </c>
      <c r="H64" s="5">
        <v>57.1</v>
      </c>
      <c r="I64" s="5">
        <v>67.599999999999994</v>
      </c>
      <c r="J64" s="5">
        <v>66.3</v>
      </c>
      <c r="K64" s="5">
        <v>42.6</v>
      </c>
      <c r="L64" s="10">
        <v>0.43055555555555558</v>
      </c>
      <c r="M64" s="10">
        <v>0.66180555555555554</v>
      </c>
      <c r="N64" s="11">
        <f t="shared" ref="N64:P64" si="63">AVERAGE(96,96,96,96)*1.04</f>
        <v>99.84</v>
      </c>
      <c r="O64" s="11">
        <f t="shared" si="63"/>
        <v>99.84</v>
      </c>
      <c r="P64" s="11">
        <f t="shared" si="63"/>
        <v>99.84</v>
      </c>
      <c r="Q64" s="11">
        <f t="shared" si="1"/>
        <v>99.839999999999989</v>
      </c>
      <c r="R64" s="5">
        <v>1</v>
      </c>
      <c r="S64" s="5" t="s">
        <v>14</v>
      </c>
      <c r="T64" s="5" t="s">
        <v>9</v>
      </c>
      <c r="U64" s="5" t="s">
        <v>62</v>
      </c>
      <c r="V64" s="5">
        <v>13.1</v>
      </c>
      <c r="W64" s="5">
        <v>5.4</v>
      </c>
      <c r="X64" s="5">
        <v>80</v>
      </c>
      <c r="Y64" s="5">
        <v>2.5</v>
      </c>
      <c r="Z64" s="5"/>
      <c r="AA64" s="5" t="s">
        <v>82</v>
      </c>
      <c r="AB64" s="6"/>
    </row>
    <row r="65" spans="1:28" ht="16" x14ac:dyDescent="0.2">
      <c r="A65" s="4">
        <v>45796</v>
      </c>
      <c r="B65" s="19">
        <v>25139</v>
      </c>
      <c r="C65" s="5" t="s">
        <v>40</v>
      </c>
      <c r="D65" s="5"/>
      <c r="E65" s="15">
        <v>41.034777777800002</v>
      </c>
      <c r="F65" s="15">
        <v>-75.729544444400005</v>
      </c>
      <c r="G65" s="5" t="s">
        <v>78</v>
      </c>
      <c r="H65" s="5">
        <v>57.1</v>
      </c>
      <c r="I65" s="5">
        <v>67.599999999999994</v>
      </c>
      <c r="J65" s="5">
        <v>66.3</v>
      </c>
      <c r="K65" s="5">
        <v>42.6</v>
      </c>
      <c r="L65" s="10">
        <v>0.43055555555555558</v>
      </c>
      <c r="M65" s="10">
        <v>0.66180555555555554</v>
      </c>
      <c r="N65" s="11">
        <f t="shared" ref="N65:P65" si="64">AVERAGE(96,96,96,96)*1.04</f>
        <v>99.84</v>
      </c>
      <c r="O65" s="11">
        <f t="shared" si="64"/>
        <v>99.84</v>
      </c>
      <c r="P65" s="11">
        <f t="shared" si="64"/>
        <v>99.84</v>
      </c>
      <c r="Q65" s="11">
        <f t="shared" si="1"/>
        <v>99.839999999999989</v>
      </c>
      <c r="R65" s="5">
        <v>2</v>
      </c>
      <c r="S65" s="5" t="s">
        <v>15</v>
      </c>
      <c r="T65" s="5" t="s">
        <v>9</v>
      </c>
      <c r="U65" s="5" t="s">
        <v>62</v>
      </c>
      <c r="V65" s="5">
        <v>14.1</v>
      </c>
      <c r="W65" s="5">
        <v>6</v>
      </c>
      <c r="X65" s="5">
        <v>48</v>
      </c>
      <c r="Y65" s="5">
        <v>2</v>
      </c>
      <c r="Z65" s="6"/>
      <c r="AA65" s="6"/>
      <c r="AB65" s="6"/>
    </row>
    <row r="66" spans="1:28" ht="16" x14ac:dyDescent="0.2">
      <c r="A66" s="4">
        <v>45796</v>
      </c>
      <c r="B66" s="19">
        <v>25139</v>
      </c>
      <c r="C66" s="5" t="s">
        <v>40</v>
      </c>
      <c r="D66" s="6"/>
      <c r="E66" s="15">
        <v>41.034777777800002</v>
      </c>
      <c r="F66" s="15">
        <v>-75.729544444400005</v>
      </c>
      <c r="G66" s="5" t="s">
        <v>78</v>
      </c>
      <c r="H66" s="5">
        <v>57.1</v>
      </c>
      <c r="I66" s="5">
        <v>67.599999999999994</v>
      </c>
      <c r="J66" s="5">
        <v>66.3</v>
      </c>
      <c r="K66" s="5">
        <v>42.6</v>
      </c>
      <c r="L66" s="10">
        <v>0.43055555555555558</v>
      </c>
      <c r="M66" s="10">
        <v>0.66180555555555554</v>
      </c>
      <c r="N66" s="11">
        <f t="shared" ref="N66:P66" si="65">AVERAGE(96,96,96,96)*1.04</f>
        <v>99.84</v>
      </c>
      <c r="O66" s="11">
        <f t="shared" si="65"/>
        <v>99.84</v>
      </c>
      <c r="P66" s="11">
        <f t="shared" si="65"/>
        <v>99.84</v>
      </c>
      <c r="Q66" s="11">
        <f t="shared" si="1"/>
        <v>99.839999999999989</v>
      </c>
      <c r="R66" s="5">
        <v>2</v>
      </c>
      <c r="S66" s="5" t="s">
        <v>15</v>
      </c>
      <c r="T66" s="5" t="s">
        <v>9</v>
      </c>
      <c r="U66" s="5" t="s">
        <v>62</v>
      </c>
      <c r="V66" s="5">
        <v>14.9</v>
      </c>
      <c r="W66" s="5">
        <v>5.7</v>
      </c>
      <c r="X66" s="5">
        <v>50</v>
      </c>
      <c r="Y66" s="5">
        <v>5</v>
      </c>
      <c r="Z66" s="6"/>
      <c r="AA66" s="6"/>
      <c r="AB66" s="6"/>
    </row>
    <row r="67" spans="1:28" ht="16" x14ac:dyDescent="0.2">
      <c r="A67" s="4">
        <v>45796</v>
      </c>
      <c r="B67" s="19">
        <v>25139</v>
      </c>
      <c r="C67" s="5" t="s">
        <v>40</v>
      </c>
      <c r="D67" s="6"/>
      <c r="E67" s="15">
        <v>41.034777777800002</v>
      </c>
      <c r="F67" s="15">
        <v>-75.729544444400005</v>
      </c>
      <c r="G67" s="5" t="s">
        <v>78</v>
      </c>
      <c r="H67" s="5">
        <v>57.1</v>
      </c>
      <c r="I67" s="5">
        <v>67.599999999999994</v>
      </c>
      <c r="J67" s="5">
        <v>66.3</v>
      </c>
      <c r="K67" s="5">
        <v>42.6</v>
      </c>
      <c r="L67" s="10">
        <v>0.43055555555555558</v>
      </c>
      <c r="M67" s="10">
        <v>0.66180555555555554</v>
      </c>
      <c r="N67" s="11">
        <f t="shared" ref="N67:P67" si="66">AVERAGE(96,96,96,96)*1.04</f>
        <v>99.84</v>
      </c>
      <c r="O67" s="11">
        <f t="shared" si="66"/>
        <v>99.84</v>
      </c>
      <c r="P67" s="11">
        <f t="shared" si="66"/>
        <v>99.84</v>
      </c>
      <c r="Q67" s="11">
        <f t="shared" si="1"/>
        <v>99.839999999999989</v>
      </c>
      <c r="R67" s="5">
        <v>2</v>
      </c>
      <c r="S67" s="5" t="s">
        <v>15</v>
      </c>
      <c r="T67" s="5" t="s">
        <v>4</v>
      </c>
      <c r="U67" s="5" t="s">
        <v>62</v>
      </c>
      <c r="V67" s="5">
        <v>13.3</v>
      </c>
      <c r="W67" s="5">
        <v>5.0999999999999996</v>
      </c>
      <c r="X67" s="5">
        <v>70</v>
      </c>
      <c r="Y67" s="5">
        <v>3</v>
      </c>
      <c r="Z67" s="6"/>
      <c r="AA67" s="6"/>
      <c r="AB67" s="6"/>
    </row>
    <row r="68" spans="1:28" ht="16" x14ac:dyDescent="0.2">
      <c r="A68" s="4">
        <v>45796</v>
      </c>
      <c r="B68" s="19">
        <v>25139</v>
      </c>
      <c r="C68" s="5" t="s">
        <v>40</v>
      </c>
      <c r="D68" s="6"/>
      <c r="E68" s="15">
        <v>41.034777777800002</v>
      </c>
      <c r="F68" s="15">
        <v>-75.729544444400005</v>
      </c>
      <c r="G68" s="5" t="s">
        <v>78</v>
      </c>
      <c r="H68" s="5">
        <v>57.1</v>
      </c>
      <c r="I68" s="5">
        <v>67.599999999999994</v>
      </c>
      <c r="J68" s="5">
        <v>66.3</v>
      </c>
      <c r="K68" s="5">
        <v>42.6</v>
      </c>
      <c r="L68" s="10">
        <v>0.43055555555555558</v>
      </c>
      <c r="M68" s="10">
        <v>0.66180555555555554</v>
      </c>
      <c r="N68" s="11">
        <f t="shared" ref="N68:P68" si="67">AVERAGE(96,96,96,96)*1.04</f>
        <v>99.84</v>
      </c>
      <c r="O68" s="11">
        <f t="shared" si="67"/>
        <v>99.84</v>
      </c>
      <c r="P68" s="11">
        <f t="shared" si="67"/>
        <v>99.84</v>
      </c>
      <c r="Q68" s="11">
        <f t="shared" si="1"/>
        <v>99.839999999999989</v>
      </c>
      <c r="R68" s="5">
        <v>2</v>
      </c>
      <c r="S68" s="5" t="s">
        <v>15</v>
      </c>
      <c r="T68" s="5" t="s">
        <v>9</v>
      </c>
      <c r="U68" s="5" t="s">
        <v>62</v>
      </c>
      <c r="V68" s="5">
        <v>14.5</v>
      </c>
      <c r="W68" s="5">
        <v>5.8</v>
      </c>
      <c r="X68" s="5">
        <v>65</v>
      </c>
      <c r="Y68" s="5">
        <v>2</v>
      </c>
      <c r="Z68" s="6"/>
      <c r="AA68" s="6"/>
      <c r="AB68" s="6"/>
    </row>
    <row r="69" spans="1:28" ht="16" x14ac:dyDescent="0.2">
      <c r="A69" s="4">
        <v>45796</v>
      </c>
      <c r="B69" s="19">
        <v>25139</v>
      </c>
      <c r="C69" s="5" t="s">
        <v>40</v>
      </c>
      <c r="D69" s="6"/>
      <c r="E69" s="15">
        <v>41.034777777800002</v>
      </c>
      <c r="F69" s="15">
        <v>-75.729544444400005</v>
      </c>
      <c r="G69" s="5" t="s">
        <v>78</v>
      </c>
      <c r="H69" s="5">
        <v>57.1</v>
      </c>
      <c r="I69" s="5">
        <v>67.599999999999994</v>
      </c>
      <c r="J69" s="5">
        <v>66.3</v>
      </c>
      <c r="K69" s="5">
        <v>42.6</v>
      </c>
      <c r="L69" s="10">
        <v>0.43055555555555558</v>
      </c>
      <c r="M69" s="10">
        <v>0.66180555555555554</v>
      </c>
      <c r="N69" s="11">
        <f t="shared" ref="N69:P69" si="68">AVERAGE(96,96,96,96)*1.04</f>
        <v>99.84</v>
      </c>
      <c r="O69" s="11">
        <f t="shared" si="68"/>
        <v>99.84</v>
      </c>
      <c r="P69" s="11">
        <f t="shared" si="68"/>
        <v>99.84</v>
      </c>
      <c r="Q69" s="11">
        <f t="shared" si="1"/>
        <v>99.839999999999989</v>
      </c>
      <c r="R69" s="5">
        <v>2</v>
      </c>
      <c r="S69" s="5" t="s">
        <v>16</v>
      </c>
      <c r="T69" s="5" t="s">
        <v>9</v>
      </c>
      <c r="U69" s="5" t="s">
        <v>62</v>
      </c>
      <c r="V69" s="5">
        <v>14.6</v>
      </c>
      <c r="W69" s="5">
        <v>5</v>
      </c>
      <c r="X69" s="5">
        <v>66</v>
      </c>
      <c r="Y69" s="5">
        <v>1</v>
      </c>
      <c r="Z69" s="6"/>
      <c r="AA69" s="6"/>
      <c r="AB69" s="6"/>
    </row>
    <row r="70" spans="1:28" ht="16" x14ac:dyDescent="0.2">
      <c r="A70" s="4">
        <v>45796</v>
      </c>
      <c r="B70" s="19">
        <v>25139</v>
      </c>
      <c r="C70" s="5" t="s">
        <v>40</v>
      </c>
      <c r="D70" s="6"/>
      <c r="E70" s="15">
        <v>41.034777777800002</v>
      </c>
      <c r="F70" s="15">
        <v>-75.729544444400005</v>
      </c>
      <c r="G70" s="5" t="s">
        <v>78</v>
      </c>
      <c r="H70" s="5">
        <v>57.1</v>
      </c>
      <c r="I70" s="5">
        <v>67.599999999999994</v>
      </c>
      <c r="J70" s="5">
        <v>66.3</v>
      </c>
      <c r="K70" s="5">
        <v>42.6</v>
      </c>
      <c r="L70" s="10">
        <v>0.43055555555555558</v>
      </c>
      <c r="M70" s="10">
        <v>0.66180555555555554</v>
      </c>
      <c r="N70" s="11">
        <f t="shared" ref="N70:P70" si="69">AVERAGE(96,96,96,96)*1.04</f>
        <v>99.84</v>
      </c>
      <c r="O70" s="11">
        <f t="shared" si="69"/>
        <v>99.84</v>
      </c>
      <c r="P70" s="11">
        <f t="shared" si="69"/>
        <v>99.84</v>
      </c>
      <c r="Q70" s="11">
        <f t="shared" si="1"/>
        <v>99.839999999999989</v>
      </c>
      <c r="R70" s="5">
        <v>2</v>
      </c>
      <c r="S70" s="5" t="s">
        <v>16</v>
      </c>
      <c r="T70" s="5" t="s">
        <v>9</v>
      </c>
      <c r="U70" s="5" t="s">
        <v>62</v>
      </c>
      <c r="V70" s="5">
        <v>14.4</v>
      </c>
      <c r="W70" s="5">
        <v>5.7</v>
      </c>
      <c r="X70" s="5">
        <v>65</v>
      </c>
      <c r="Y70" s="5">
        <v>5</v>
      </c>
      <c r="Z70" s="6"/>
      <c r="AA70" s="6"/>
      <c r="AB70" s="6"/>
    </row>
    <row r="71" spans="1:28" ht="16" x14ac:dyDescent="0.2">
      <c r="A71" s="4">
        <v>45796</v>
      </c>
      <c r="B71" s="19">
        <v>25139</v>
      </c>
      <c r="C71" s="5" t="s">
        <v>40</v>
      </c>
      <c r="D71" s="6"/>
      <c r="E71" s="15">
        <v>41.034777777800002</v>
      </c>
      <c r="F71" s="15">
        <v>-75.729544444400005</v>
      </c>
      <c r="G71" s="5" t="s">
        <v>78</v>
      </c>
      <c r="H71" s="5">
        <v>57.1</v>
      </c>
      <c r="I71" s="5">
        <v>67.599999999999994</v>
      </c>
      <c r="J71" s="5">
        <v>66.3</v>
      </c>
      <c r="K71" s="5">
        <v>42.6</v>
      </c>
      <c r="L71" s="10">
        <v>0.43055555555555558</v>
      </c>
      <c r="M71" s="10">
        <v>0.66180555555555554</v>
      </c>
      <c r="N71" s="11">
        <f t="shared" ref="N71:P71" si="70">AVERAGE(96,96,96,96)*1.04</f>
        <v>99.84</v>
      </c>
      <c r="O71" s="11">
        <f t="shared" si="70"/>
        <v>99.84</v>
      </c>
      <c r="P71" s="11">
        <f t="shared" si="70"/>
        <v>99.84</v>
      </c>
      <c r="Q71" s="11">
        <f t="shared" si="1"/>
        <v>99.839999999999989</v>
      </c>
      <c r="R71" s="5">
        <v>2</v>
      </c>
      <c r="S71" s="5" t="s">
        <v>16</v>
      </c>
      <c r="T71" s="5" t="s">
        <v>4</v>
      </c>
      <c r="U71" s="5" t="s">
        <v>62</v>
      </c>
      <c r="V71" s="5">
        <v>14.2</v>
      </c>
      <c r="W71" s="5">
        <v>5.6</v>
      </c>
      <c r="X71" s="5">
        <v>65</v>
      </c>
      <c r="Y71" s="5">
        <v>2</v>
      </c>
      <c r="Z71" s="6"/>
      <c r="AA71" s="6"/>
      <c r="AB71" s="6"/>
    </row>
    <row r="72" spans="1:28" ht="16" x14ac:dyDescent="0.2">
      <c r="A72" s="4">
        <v>45796</v>
      </c>
      <c r="B72" s="19">
        <v>25139</v>
      </c>
      <c r="C72" s="5" t="s">
        <v>40</v>
      </c>
      <c r="D72" s="6"/>
      <c r="E72" s="15">
        <v>41.034777777800002</v>
      </c>
      <c r="F72" s="15">
        <v>-75.729544444400005</v>
      </c>
      <c r="G72" s="5" t="s">
        <v>78</v>
      </c>
      <c r="H72" s="5">
        <v>57.1</v>
      </c>
      <c r="I72" s="5">
        <v>67.599999999999994</v>
      </c>
      <c r="J72" s="5">
        <v>66.3</v>
      </c>
      <c r="K72" s="5">
        <v>42.6</v>
      </c>
      <c r="L72" s="10">
        <v>0.43055555555555558</v>
      </c>
      <c r="M72" s="10">
        <v>0.66180555555555554</v>
      </c>
      <c r="N72" s="11">
        <f t="shared" ref="N72:P72" si="71">AVERAGE(96,96,96,96)*1.04</f>
        <v>99.84</v>
      </c>
      <c r="O72" s="11">
        <f t="shared" si="71"/>
        <v>99.84</v>
      </c>
      <c r="P72" s="11">
        <f t="shared" si="71"/>
        <v>99.84</v>
      </c>
      <c r="Q72" s="11">
        <f t="shared" si="1"/>
        <v>99.839999999999989</v>
      </c>
      <c r="R72" s="5">
        <v>2</v>
      </c>
      <c r="S72" s="5" t="s">
        <v>16</v>
      </c>
      <c r="T72" s="5" t="s">
        <v>9</v>
      </c>
      <c r="U72" s="5" t="s">
        <v>62</v>
      </c>
      <c r="V72" s="5">
        <v>12.8</v>
      </c>
      <c r="W72" s="5">
        <v>5.0999999999999996</v>
      </c>
      <c r="X72" s="5">
        <v>58</v>
      </c>
      <c r="Y72" s="5">
        <v>2.5</v>
      </c>
      <c r="Z72" s="6"/>
      <c r="AA72" s="6"/>
      <c r="AB72" s="6"/>
    </row>
    <row r="73" spans="1:28" ht="16" x14ac:dyDescent="0.2">
      <c r="A73" s="4">
        <v>45796</v>
      </c>
      <c r="B73" s="19">
        <v>25139</v>
      </c>
      <c r="C73" s="5" t="s">
        <v>40</v>
      </c>
      <c r="D73" s="6"/>
      <c r="E73" s="15">
        <v>41.034777777800002</v>
      </c>
      <c r="F73" s="15">
        <v>-75.729544444400005</v>
      </c>
      <c r="G73" s="5" t="s">
        <v>78</v>
      </c>
      <c r="H73" s="5">
        <v>57.1</v>
      </c>
      <c r="I73" s="5">
        <v>67.599999999999994</v>
      </c>
      <c r="J73" s="5">
        <v>66.3</v>
      </c>
      <c r="K73" s="5">
        <v>42.6</v>
      </c>
      <c r="L73" s="10">
        <v>0.43055555555555558</v>
      </c>
      <c r="M73" s="10">
        <v>0.66180555555555554</v>
      </c>
      <c r="N73" s="11">
        <f t="shared" ref="N73:P73" si="72">AVERAGE(96,96,96,96)*1.04</f>
        <v>99.84</v>
      </c>
      <c r="O73" s="11">
        <f t="shared" si="72"/>
        <v>99.84</v>
      </c>
      <c r="P73" s="11">
        <f t="shared" si="72"/>
        <v>99.84</v>
      </c>
      <c r="Q73" s="11">
        <f t="shared" si="1"/>
        <v>99.839999999999989</v>
      </c>
      <c r="R73" s="5">
        <v>2</v>
      </c>
      <c r="S73" s="5" t="s">
        <v>14</v>
      </c>
      <c r="T73" s="5" t="s">
        <v>9</v>
      </c>
      <c r="U73" s="5" t="s">
        <v>64</v>
      </c>
      <c r="V73" s="5">
        <v>14.3</v>
      </c>
      <c r="W73" s="5">
        <v>5.2</v>
      </c>
      <c r="X73" s="5">
        <v>60</v>
      </c>
      <c r="Y73" s="5">
        <v>3</v>
      </c>
      <c r="Z73" s="6"/>
      <c r="AA73" s="6"/>
      <c r="AB73" s="6"/>
    </row>
    <row r="74" spans="1:28" ht="16" x14ac:dyDescent="0.2">
      <c r="A74" s="4">
        <v>45796</v>
      </c>
      <c r="B74" s="19">
        <v>25139</v>
      </c>
      <c r="C74" s="5" t="s">
        <v>40</v>
      </c>
      <c r="D74" s="6"/>
      <c r="E74" s="15">
        <v>41.034777777800002</v>
      </c>
      <c r="F74" s="15">
        <v>-75.729544444400005</v>
      </c>
      <c r="G74" s="5" t="s">
        <v>78</v>
      </c>
      <c r="H74" s="5">
        <v>57.1</v>
      </c>
      <c r="I74" s="5">
        <v>67.599999999999994</v>
      </c>
      <c r="J74" s="5">
        <v>66.3</v>
      </c>
      <c r="K74" s="5">
        <v>42.6</v>
      </c>
      <c r="L74" s="10">
        <v>0.43055555555555558</v>
      </c>
      <c r="M74" s="10">
        <v>0.66180555555555554</v>
      </c>
      <c r="N74" s="11">
        <f t="shared" ref="N74:P74" si="73">AVERAGE(96,96,96,96)*1.04</f>
        <v>99.84</v>
      </c>
      <c r="O74" s="11">
        <f t="shared" si="73"/>
        <v>99.84</v>
      </c>
      <c r="P74" s="11">
        <f t="shared" si="73"/>
        <v>99.84</v>
      </c>
      <c r="Q74" s="11">
        <f t="shared" si="1"/>
        <v>99.839999999999989</v>
      </c>
      <c r="R74" s="5">
        <v>2</v>
      </c>
      <c r="S74" s="5" t="s">
        <v>14</v>
      </c>
      <c r="T74" s="5" t="s">
        <v>9</v>
      </c>
      <c r="U74" s="5" t="s">
        <v>64</v>
      </c>
      <c r="V74" s="5">
        <v>14</v>
      </c>
      <c r="W74" s="5">
        <v>5.4</v>
      </c>
      <c r="X74" s="5">
        <v>50</v>
      </c>
      <c r="Y74" s="5">
        <v>4.5</v>
      </c>
      <c r="Z74" s="6"/>
      <c r="AA74" s="6"/>
      <c r="AB74" s="6"/>
    </row>
    <row r="75" spans="1:28" ht="16" x14ac:dyDescent="0.2">
      <c r="A75" s="4">
        <v>45796</v>
      </c>
      <c r="B75" s="19">
        <v>25139</v>
      </c>
      <c r="C75" s="5" t="s">
        <v>40</v>
      </c>
      <c r="D75" s="6"/>
      <c r="E75" s="15">
        <v>41.034777777800002</v>
      </c>
      <c r="F75" s="15">
        <v>-75.729544444400005</v>
      </c>
      <c r="G75" s="5" t="s">
        <v>78</v>
      </c>
      <c r="H75" s="5">
        <v>57.1</v>
      </c>
      <c r="I75" s="5">
        <v>67.599999999999994</v>
      </c>
      <c r="J75" s="5">
        <v>66.3</v>
      </c>
      <c r="K75" s="5">
        <v>42.6</v>
      </c>
      <c r="L75" s="10">
        <v>0.43055555555555558</v>
      </c>
      <c r="M75" s="10">
        <v>0.66180555555555554</v>
      </c>
      <c r="N75" s="11">
        <f t="shared" ref="N75:P75" si="74">AVERAGE(96,96,96,96)*1.04</f>
        <v>99.84</v>
      </c>
      <c r="O75" s="11">
        <f t="shared" si="74"/>
        <v>99.84</v>
      </c>
      <c r="P75" s="11">
        <f t="shared" si="74"/>
        <v>99.84</v>
      </c>
      <c r="Q75" s="11">
        <f t="shared" si="1"/>
        <v>99.839999999999989</v>
      </c>
      <c r="R75" s="5">
        <v>2</v>
      </c>
      <c r="S75" s="5" t="s">
        <v>14</v>
      </c>
      <c r="T75" s="5" t="s">
        <v>9</v>
      </c>
      <c r="U75" s="5" t="s">
        <v>56</v>
      </c>
      <c r="V75" s="5">
        <v>12.9</v>
      </c>
      <c r="W75" s="5" t="s">
        <v>8</v>
      </c>
      <c r="X75" s="5" t="s">
        <v>8</v>
      </c>
      <c r="Y75" s="5">
        <v>1.5</v>
      </c>
      <c r="Z75" s="5"/>
      <c r="AA75" s="5" t="s">
        <v>83</v>
      </c>
      <c r="AB75" s="6"/>
    </row>
    <row r="76" spans="1:28" ht="16" x14ac:dyDescent="0.2">
      <c r="A76" s="4">
        <v>45796</v>
      </c>
      <c r="B76" s="19">
        <v>25139</v>
      </c>
      <c r="C76" s="5" t="s">
        <v>40</v>
      </c>
      <c r="D76" s="6"/>
      <c r="E76" s="15">
        <v>41.034777777800002</v>
      </c>
      <c r="F76" s="15">
        <v>-75.729544444400005</v>
      </c>
      <c r="G76" s="5" t="s">
        <v>78</v>
      </c>
      <c r="H76" s="5">
        <v>57.1</v>
      </c>
      <c r="I76" s="5">
        <v>67.599999999999994</v>
      </c>
      <c r="J76" s="5">
        <v>66.3</v>
      </c>
      <c r="K76" s="5">
        <v>42.6</v>
      </c>
      <c r="L76" s="10">
        <v>0.43055555555555558</v>
      </c>
      <c r="M76" s="10">
        <v>0.66180555555555554</v>
      </c>
      <c r="N76" s="11">
        <f t="shared" ref="N76:P76" si="75">AVERAGE(96,96,96,96)*1.04</f>
        <v>99.84</v>
      </c>
      <c r="O76" s="11">
        <f t="shared" si="75"/>
        <v>99.84</v>
      </c>
      <c r="P76" s="11">
        <f t="shared" si="75"/>
        <v>99.84</v>
      </c>
      <c r="Q76" s="11">
        <f t="shared" si="1"/>
        <v>99.839999999999989</v>
      </c>
      <c r="R76" s="5">
        <v>3</v>
      </c>
      <c r="S76" s="5" t="s">
        <v>15</v>
      </c>
      <c r="T76" s="5" t="s">
        <v>9</v>
      </c>
      <c r="U76" s="5" t="s">
        <v>55</v>
      </c>
      <c r="V76" s="5">
        <v>12.1</v>
      </c>
      <c r="W76" s="5">
        <v>6.2</v>
      </c>
      <c r="X76" s="5">
        <v>50</v>
      </c>
      <c r="Y76" s="5">
        <v>1</v>
      </c>
      <c r="Z76" s="6"/>
      <c r="AA76" s="6"/>
      <c r="AB76" s="6"/>
    </row>
    <row r="77" spans="1:28" ht="16" x14ac:dyDescent="0.2">
      <c r="A77" s="4">
        <v>45796</v>
      </c>
      <c r="B77" s="19">
        <v>25139</v>
      </c>
      <c r="C77" s="5" t="s">
        <v>40</v>
      </c>
      <c r="D77" s="6"/>
      <c r="E77" s="15">
        <v>41.034777777800002</v>
      </c>
      <c r="F77" s="15">
        <v>-75.729544444400005</v>
      </c>
      <c r="G77" s="5" t="s">
        <v>78</v>
      </c>
      <c r="H77" s="5">
        <v>57.1</v>
      </c>
      <c r="I77" s="5">
        <v>67.599999999999994</v>
      </c>
      <c r="J77" s="5">
        <v>66.3</v>
      </c>
      <c r="K77" s="5">
        <v>42.6</v>
      </c>
      <c r="L77" s="10">
        <v>0.43055555555555558</v>
      </c>
      <c r="M77" s="10">
        <v>0.66180555555555554</v>
      </c>
      <c r="N77" s="11">
        <f t="shared" ref="N77:P77" si="76">AVERAGE(96,96,96,96)*1.04</f>
        <v>99.84</v>
      </c>
      <c r="O77" s="11">
        <f t="shared" si="76"/>
        <v>99.84</v>
      </c>
      <c r="P77" s="11">
        <f t="shared" si="76"/>
        <v>99.84</v>
      </c>
      <c r="Q77" s="11">
        <f t="shared" si="1"/>
        <v>99.839999999999989</v>
      </c>
      <c r="R77" s="5">
        <v>3</v>
      </c>
      <c r="S77" s="5" t="s">
        <v>15</v>
      </c>
      <c r="T77" s="5" t="s">
        <v>9</v>
      </c>
      <c r="U77" s="5" t="s">
        <v>64</v>
      </c>
      <c r="V77" s="5">
        <v>13.8</v>
      </c>
      <c r="W77" s="5">
        <v>5.4</v>
      </c>
      <c r="X77" s="5">
        <v>75</v>
      </c>
      <c r="Y77" s="5">
        <v>3.5</v>
      </c>
      <c r="Z77" s="5"/>
      <c r="AA77" s="5" t="s">
        <v>84</v>
      </c>
      <c r="AB77" s="6"/>
    </row>
    <row r="78" spans="1:28" ht="16" x14ac:dyDescent="0.2">
      <c r="A78" s="4">
        <v>45796</v>
      </c>
      <c r="B78" s="19">
        <v>25139</v>
      </c>
      <c r="C78" s="5" t="s">
        <v>40</v>
      </c>
      <c r="D78" s="6"/>
      <c r="E78" s="15">
        <v>41.034777777800002</v>
      </c>
      <c r="F78" s="15">
        <v>-75.729544444400005</v>
      </c>
      <c r="G78" s="5" t="s">
        <v>78</v>
      </c>
      <c r="H78" s="5">
        <v>57.1</v>
      </c>
      <c r="I78" s="5">
        <v>67.599999999999994</v>
      </c>
      <c r="J78" s="5">
        <v>66.3</v>
      </c>
      <c r="K78" s="5">
        <v>42.6</v>
      </c>
      <c r="L78" s="10">
        <v>0.43055555555555558</v>
      </c>
      <c r="M78" s="10">
        <v>0.66180555555555554</v>
      </c>
      <c r="N78" s="11">
        <f t="shared" ref="N78:P78" si="77">AVERAGE(96,96,96,96)*1.04</f>
        <v>99.84</v>
      </c>
      <c r="O78" s="11">
        <f t="shared" si="77"/>
        <v>99.84</v>
      </c>
      <c r="P78" s="11">
        <f t="shared" si="77"/>
        <v>99.84</v>
      </c>
      <c r="Q78" s="11">
        <f t="shared" si="1"/>
        <v>99.839999999999989</v>
      </c>
      <c r="R78" s="5">
        <v>3</v>
      </c>
      <c r="S78" s="5" t="s">
        <v>15</v>
      </c>
      <c r="T78" s="5" t="s">
        <v>9</v>
      </c>
      <c r="U78" s="5" t="s">
        <v>62</v>
      </c>
      <c r="V78" s="5">
        <v>14.8</v>
      </c>
      <c r="W78" s="5">
        <v>5.6</v>
      </c>
      <c r="X78" s="5">
        <v>10</v>
      </c>
      <c r="Y78" s="5">
        <v>3</v>
      </c>
      <c r="Z78" s="5"/>
      <c r="AA78" s="5" t="s">
        <v>85</v>
      </c>
      <c r="AB78" s="6"/>
    </row>
    <row r="79" spans="1:28" ht="16" x14ac:dyDescent="0.2">
      <c r="A79" s="4">
        <v>45796</v>
      </c>
      <c r="B79" s="19">
        <v>25139</v>
      </c>
      <c r="C79" s="5" t="s">
        <v>40</v>
      </c>
      <c r="D79" s="6"/>
      <c r="E79" s="15">
        <v>41.034777777800002</v>
      </c>
      <c r="F79" s="15">
        <v>-75.729544444400005</v>
      </c>
      <c r="G79" s="5" t="s">
        <v>78</v>
      </c>
      <c r="H79" s="5">
        <v>57.1</v>
      </c>
      <c r="I79" s="5">
        <v>67.599999999999994</v>
      </c>
      <c r="J79" s="5">
        <v>66.3</v>
      </c>
      <c r="K79" s="5">
        <v>42.6</v>
      </c>
      <c r="L79" s="10">
        <v>0.43055555555555558</v>
      </c>
      <c r="M79" s="10">
        <v>0.66180555555555554</v>
      </c>
      <c r="N79" s="11">
        <f t="shared" ref="N79:P79" si="78">AVERAGE(96,96,96,96)*1.04</f>
        <v>99.84</v>
      </c>
      <c r="O79" s="11">
        <f t="shared" si="78"/>
        <v>99.84</v>
      </c>
      <c r="P79" s="11">
        <f t="shared" si="78"/>
        <v>99.84</v>
      </c>
      <c r="Q79" s="11">
        <f t="shared" si="1"/>
        <v>99.839999999999989</v>
      </c>
      <c r="R79" s="5">
        <v>3</v>
      </c>
      <c r="S79" s="5" t="s">
        <v>16</v>
      </c>
      <c r="T79" s="5" t="s">
        <v>9</v>
      </c>
      <c r="U79" s="5" t="s">
        <v>55</v>
      </c>
      <c r="V79" s="5">
        <v>16.7</v>
      </c>
      <c r="W79" s="5">
        <v>5</v>
      </c>
      <c r="X79" s="5">
        <v>65</v>
      </c>
      <c r="Y79" s="5">
        <v>3</v>
      </c>
      <c r="Z79" s="6"/>
      <c r="AA79" s="6"/>
      <c r="AB79" s="6"/>
    </row>
    <row r="80" spans="1:28" ht="16" x14ac:dyDescent="0.2">
      <c r="A80" s="4">
        <v>45796</v>
      </c>
      <c r="B80" s="19">
        <v>25139</v>
      </c>
      <c r="C80" s="5" t="s">
        <v>40</v>
      </c>
      <c r="D80" s="6"/>
      <c r="E80" s="15">
        <v>41.034777777800002</v>
      </c>
      <c r="F80" s="15">
        <v>-75.729544444400005</v>
      </c>
      <c r="G80" s="5" t="s">
        <v>78</v>
      </c>
      <c r="H80" s="5">
        <v>57.1</v>
      </c>
      <c r="I80" s="5">
        <v>67.599999999999994</v>
      </c>
      <c r="J80" s="5">
        <v>66.3</v>
      </c>
      <c r="K80" s="5">
        <v>42.6</v>
      </c>
      <c r="L80" s="10">
        <v>0.43055555555555558</v>
      </c>
      <c r="M80" s="10">
        <v>0.66180555555555554</v>
      </c>
      <c r="N80" s="11">
        <f t="shared" ref="N80:P80" si="79">AVERAGE(96,96,96,96)*1.04</f>
        <v>99.84</v>
      </c>
      <c r="O80" s="11">
        <f t="shared" si="79"/>
        <v>99.84</v>
      </c>
      <c r="P80" s="11">
        <f t="shared" si="79"/>
        <v>99.84</v>
      </c>
      <c r="Q80" s="11">
        <f t="shared" si="1"/>
        <v>99.839999999999989</v>
      </c>
      <c r="R80" s="5">
        <v>3</v>
      </c>
      <c r="S80" s="5" t="s">
        <v>16</v>
      </c>
      <c r="T80" s="5" t="s">
        <v>9</v>
      </c>
      <c r="U80" s="5" t="s">
        <v>55</v>
      </c>
      <c r="V80" s="5">
        <v>14.1</v>
      </c>
      <c r="W80" s="5">
        <v>5.4</v>
      </c>
      <c r="X80" s="5">
        <v>50</v>
      </c>
      <c r="Y80" s="5">
        <v>2</v>
      </c>
      <c r="Z80" s="6"/>
      <c r="AA80" s="6"/>
      <c r="AB80" s="6"/>
    </row>
    <row r="81" spans="1:28" ht="16" x14ac:dyDescent="0.2">
      <c r="A81" s="4">
        <v>45796</v>
      </c>
      <c r="B81" s="19">
        <v>25139</v>
      </c>
      <c r="C81" s="5" t="s">
        <v>40</v>
      </c>
      <c r="D81" s="6"/>
      <c r="E81" s="15">
        <v>41.034777777800002</v>
      </c>
      <c r="F81" s="15">
        <v>-75.729544444400005</v>
      </c>
      <c r="G81" s="5" t="s">
        <v>78</v>
      </c>
      <c r="H81" s="5">
        <v>57.1</v>
      </c>
      <c r="I81" s="5">
        <v>67.599999999999994</v>
      </c>
      <c r="J81" s="5">
        <v>66.3</v>
      </c>
      <c r="K81" s="5">
        <v>42.6</v>
      </c>
      <c r="L81" s="10">
        <v>0.43055555555555558</v>
      </c>
      <c r="M81" s="10">
        <v>0.66180555555555554</v>
      </c>
      <c r="N81" s="11">
        <f t="shared" ref="N81:P81" si="80">AVERAGE(96,96,96,96)*1.04</f>
        <v>99.84</v>
      </c>
      <c r="O81" s="11">
        <f t="shared" si="80"/>
        <v>99.84</v>
      </c>
      <c r="P81" s="11">
        <f t="shared" si="80"/>
        <v>99.84</v>
      </c>
      <c r="Q81" s="11">
        <f t="shared" si="1"/>
        <v>99.839999999999989</v>
      </c>
      <c r="R81" s="5">
        <v>3</v>
      </c>
      <c r="S81" s="5" t="s">
        <v>16</v>
      </c>
      <c r="T81" s="5" t="s">
        <v>8</v>
      </c>
      <c r="U81" s="5" t="s">
        <v>8</v>
      </c>
      <c r="V81" s="5" t="s">
        <v>8</v>
      </c>
      <c r="W81" s="5" t="s">
        <v>8</v>
      </c>
      <c r="X81" s="5" t="s">
        <v>8</v>
      </c>
      <c r="Y81" s="5" t="s">
        <v>8</v>
      </c>
      <c r="Z81" s="5"/>
      <c r="AA81" s="5" t="s">
        <v>86</v>
      </c>
      <c r="AB81" s="6"/>
    </row>
    <row r="82" spans="1:28" ht="16" x14ac:dyDescent="0.2">
      <c r="A82" s="4">
        <v>45796</v>
      </c>
      <c r="B82" s="19">
        <v>25139</v>
      </c>
      <c r="C82" s="5" t="s">
        <v>40</v>
      </c>
      <c r="D82" s="6"/>
      <c r="E82" s="15">
        <v>41.034777777800002</v>
      </c>
      <c r="F82" s="15">
        <v>-75.729544444400005</v>
      </c>
      <c r="G82" s="5" t="s">
        <v>78</v>
      </c>
      <c r="H82" s="5">
        <v>57.1</v>
      </c>
      <c r="I82" s="5">
        <v>67.599999999999994</v>
      </c>
      <c r="J82" s="5">
        <v>66.3</v>
      </c>
      <c r="K82" s="5">
        <v>42.6</v>
      </c>
      <c r="L82" s="10">
        <v>0.43055555555555558</v>
      </c>
      <c r="M82" s="10">
        <v>0.66180555555555554</v>
      </c>
      <c r="N82" s="11">
        <f t="shared" ref="N82:P82" si="81">AVERAGE(96,96,96,96)*1.04</f>
        <v>99.84</v>
      </c>
      <c r="O82" s="11">
        <f t="shared" si="81"/>
        <v>99.84</v>
      </c>
      <c r="P82" s="11">
        <f t="shared" si="81"/>
        <v>99.84</v>
      </c>
      <c r="Q82" s="11">
        <f t="shared" si="1"/>
        <v>99.839999999999989</v>
      </c>
      <c r="R82" s="5">
        <v>3</v>
      </c>
      <c r="S82" s="5" t="s">
        <v>14</v>
      </c>
      <c r="T82" s="5" t="s">
        <v>9</v>
      </c>
      <c r="U82" s="5" t="s">
        <v>55</v>
      </c>
      <c r="V82" s="5">
        <v>15.4</v>
      </c>
      <c r="W82" s="5">
        <v>5.6</v>
      </c>
      <c r="X82" s="5">
        <v>34</v>
      </c>
      <c r="Y82" s="5">
        <v>3.5</v>
      </c>
      <c r="Z82" s="5"/>
      <c r="AA82" s="5" t="s">
        <v>87</v>
      </c>
      <c r="AB82" s="6"/>
    </row>
    <row r="83" spans="1:28" ht="16" x14ac:dyDescent="0.2">
      <c r="A83" s="4">
        <v>45797</v>
      </c>
      <c r="B83" s="19">
        <v>25140</v>
      </c>
      <c r="C83" s="5" t="s">
        <v>42</v>
      </c>
      <c r="D83" s="5" t="s">
        <v>88</v>
      </c>
      <c r="E83" s="15">
        <v>41.323402777799998</v>
      </c>
      <c r="F83" s="15">
        <v>-75.202116666699993</v>
      </c>
      <c r="G83" s="5" t="s">
        <v>78</v>
      </c>
      <c r="H83" s="5">
        <v>45.9</v>
      </c>
      <c r="I83" s="5">
        <v>68.099999999999994</v>
      </c>
      <c r="J83" s="5">
        <v>60.5</v>
      </c>
      <c r="K83" s="5">
        <v>46.6</v>
      </c>
      <c r="L83" s="10">
        <v>0.41458333333333336</v>
      </c>
      <c r="M83" s="10">
        <v>0.66180555555555554</v>
      </c>
      <c r="N83" s="11">
        <f t="shared" ref="N83:N337" si="82">AVERAGE(96,96,96,96)*1.04</f>
        <v>99.84</v>
      </c>
      <c r="O83" s="11">
        <f t="shared" ref="O83:O113" si="83">AVERAGE(96,95,96,89)*1.04</f>
        <v>97.76</v>
      </c>
      <c r="P83" s="11">
        <f t="shared" ref="P83:P113" si="84">AVERAGE(96,96,96,96)*1.04</f>
        <v>99.84</v>
      </c>
      <c r="Q83" s="11">
        <f t="shared" si="1"/>
        <v>99.14666666666669</v>
      </c>
      <c r="R83" s="5">
        <v>1</v>
      </c>
      <c r="S83" s="5" t="s">
        <v>15</v>
      </c>
      <c r="T83" s="5" t="s">
        <v>9</v>
      </c>
      <c r="U83" s="5" t="s">
        <v>64</v>
      </c>
      <c r="V83" s="5">
        <v>10.1</v>
      </c>
      <c r="W83" s="5">
        <v>5.9</v>
      </c>
      <c r="X83" s="5">
        <v>59</v>
      </c>
      <c r="Y83" s="5">
        <v>1</v>
      </c>
      <c r="Z83" s="5"/>
      <c r="AA83" s="5" t="s">
        <v>89</v>
      </c>
      <c r="AB83" s="6"/>
    </row>
    <row r="84" spans="1:28" ht="16" x14ac:dyDescent="0.2">
      <c r="A84" s="4">
        <v>45797</v>
      </c>
      <c r="B84" s="19">
        <v>25140</v>
      </c>
      <c r="C84" s="5" t="s">
        <v>42</v>
      </c>
      <c r="D84" s="6"/>
      <c r="E84" s="15">
        <v>41.323402777799998</v>
      </c>
      <c r="F84" s="15">
        <v>-75.202116666699993</v>
      </c>
      <c r="G84" s="5" t="s">
        <v>78</v>
      </c>
      <c r="H84" s="5">
        <v>45.9</v>
      </c>
      <c r="I84" s="5">
        <v>68.099999999999994</v>
      </c>
      <c r="J84" s="5">
        <v>60.5</v>
      </c>
      <c r="K84" s="5">
        <v>46.6</v>
      </c>
      <c r="L84" s="10">
        <v>0.41458333333333336</v>
      </c>
      <c r="M84" s="10">
        <v>0.66180555555555554</v>
      </c>
      <c r="N84" s="11">
        <f t="shared" si="82"/>
        <v>99.84</v>
      </c>
      <c r="O84" s="11">
        <f t="shared" si="83"/>
        <v>97.76</v>
      </c>
      <c r="P84" s="11">
        <f t="shared" si="84"/>
        <v>99.84</v>
      </c>
      <c r="Q84" s="11">
        <f t="shared" si="1"/>
        <v>99.14666666666669</v>
      </c>
      <c r="R84" s="5">
        <v>1</v>
      </c>
      <c r="S84" s="5" t="s">
        <v>15</v>
      </c>
      <c r="T84" s="5" t="s">
        <v>9</v>
      </c>
      <c r="U84" s="5" t="s">
        <v>55</v>
      </c>
      <c r="V84" s="5">
        <v>10.3</v>
      </c>
      <c r="W84" s="5">
        <v>5.9</v>
      </c>
      <c r="X84" s="5">
        <v>55</v>
      </c>
      <c r="Y84" s="5">
        <v>0.5</v>
      </c>
      <c r="Z84" s="6"/>
      <c r="AA84" s="6"/>
      <c r="AB84" s="6"/>
    </row>
    <row r="85" spans="1:28" ht="16" x14ac:dyDescent="0.2">
      <c r="A85" s="4">
        <v>45797</v>
      </c>
      <c r="B85" s="19">
        <v>25140</v>
      </c>
      <c r="C85" s="5" t="s">
        <v>42</v>
      </c>
      <c r="D85" s="6"/>
      <c r="E85" s="15">
        <v>41.323402777799998</v>
      </c>
      <c r="F85" s="15">
        <v>-75.202116666699993</v>
      </c>
      <c r="G85" s="5" t="s">
        <v>78</v>
      </c>
      <c r="H85" s="5">
        <v>45.9</v>
      </c>
      <c r="I85" s="5">
        <v>68.099999999999994</v>
      </c>
      <c r="J85" s="5">
        <v>60.5</v>
      </c>
      <c r="K85" s="5">
        <v>46.6</v>
      </c>
      <c r="L85" s="10">
        <v>0.41458333333333336</v>
      </c>
      <c r="M85" s="10">
        <v>0.66180555555555554</v>
      </c>
      <c r="N85" s="11">
        <f t="shared" si="82"/>
        <v>99.84</v>
      </c>
      <c r="O85" s="11">
        <f t="shared" si="83"/>
        <v>97.76</v>
      </c>
      <c r="P85" s="11">
        <f t="shared" si="84"/>
        <v>99.84</v>
      </c>
      <c r="Q85" s="11">
        <f t="shared" si="1"/>
        <v>99.14666666666669</v>
      </c>
      <c r="R85" s="5">
        <v>1</v>
      </c>
      <c r="S85" s="5" t="s">
        <v>15</v>
      </c>
      <c r="T85" s="5" t="s">
        <v>9</v>
      </c>
      <c r="U85" s="5" t="s">
        <v>55</v>
      </c>
      <c r="V85" s="5">
        <v>11.3</v>
      </c>
      <c r="W85" s="5">
        <v>6</v>
      </c>
      <c r="X85" s="5">
        <v>65</v>
      </c>
      <c r="Y85" s="5">
        <v>1.5</v>
      </c>
      <c r="Z85" s="6"/>
      <c r="AA85" s="6"/>
      <c r="AB85" s="6"/>
    </row>
    <row r="86" spans="1:28" ht="16" x14ac:dyDescent="0.2">
      <c r="A86" s="4">
        <v>45797</v>
      </c>
      <c r="B86" s="19">
        <v>25140</v>
      </c>
      <c r="C86" s="5" t="s">
        <v>42</v>
      </c>
      <c r="D86" s="6"/>
      <c r="E86" s="15">
        <v>41.323402777799998</v>
      </c>
      <c r="F86" s="15">
        <v>-75.202116666699993</v>
      </c>
      <c r="G86" s="5" t="s">
        <v>78</v>
      </c>
      <c r="H86" s="5">
        <v>45.9</v>
      </c>
      <c r="I86" s="5">
        <v>68.099999999999994</v>
      </c>
      <c r="J86" s="5">
        <v>60.5</v>
      </c>
      <c r="K86" s="5">
        <v>46.6</v>
      </c>
      <c r="L86" s="10">
        <v>0.41458333333333336</v>
      </c>
      <c r="M86" s="10">
        <v>0.66180555555555554</v>
      </c>
      <c r="N86" s="11">
        <f t="shared" si="82"/>
        <v>99.84</v>
      </c>
      <c r="O86" s="11">
        <f t="shared" si="83"/>
        <v>97.76</v>
      </c>
      <c r="P86" s="11">
        <f t="shared" si="84"/>
        <v>99.84</v>
      </c>
      <c r="Q86" s="11">
        <f t="shared" si="1"/>
        <v>99.14666666666669</v>
      </c>
      <c r="R86" s="5">
        <v>1</v>
      </c>
      <c r="S86" s="5" t="s">
        <v>16</v>
      </c>
      <c r="T86" s="5" t="s">
        <v>9</v>
      </c>
      <c r="U86" s="5" t="s">
        <v>56</v>
      </c>
      <c r="V86" s="5">
        <v>11.2</v>
      </c>
      <c r="W86" s="5" t="s">
        <v>8</v>
      </c>
      <c r="X86" s="5" t="s">
        <v>8</v>
      </c>
      <c r="Y86" s="5">
        <v>1</v>
      </c>
      <c r="Z86" s="5"/>
      <c r="AA86" s="5" t="s">
        <v>58</v>
      </c>
      <c r="AB86" s="6"/>
    </row>
    <row r="87" spans="1:28" ht="16" x14ac:dyDescent="0.2">
      <c r="A87" s="4">
        <v>45797</v>
      </c>
      <c r="B87" s="19">
        <v>25140</v>
      </c>
      <c r="C87" s="5" t="s">
        <v>42</v>
      </c>
      <c r="D87" s="6"/>
      <c r="E87" s="15">
        <v>41.323402777799998</v>
      </c>
      <c r="F87" s="15">
        <v>-75.202116666699993</v>
      </c>
      <c r="G87" s="5" t="s">
        <v>78</v>
      </c>
      <c r="H87" s="5">
        <v>45.9</v>
      </c>
      <c r="I87" s="5">
        <v>68.099999999999994</v>
      </c>
      <c r="J87" s="5">
        <v>60.5</v>
      </c>
      <c r="K87" s="5">
        <v>46.6</v>
      </c>
      <c r="L87" s="10">
        <v>0.41458333333333336</v>
      </c>
      <c r="M87" s="10">
        <v>0.66180555555555554</v>
      </c>
      <c r="N87" s="11">
        <f t="shared" si="82"/>
        <v>99.84</v>
      </c>
      <c r="O87" s="11">
        <f t="shared" si="83"/>
        <v>97.76</v>
      </c>
      <c r="P87" s="11">
        <f t="shared" si="84"/>
        <v>99.84</v>
      </c>
      <c r="Q87" s="11">
        <f t="shared" si="1"/>
        <v>99.14666666666669</v>
      </c>
      <c r="R87" s="5">
        <v>1</v>
      </c>
      <c r="S87" s="5" t="s">
        <v>16</v>
      </c>
      <c r="T87" s="5" t="s">
        <v>9</v>
      </c>
      <c r="U87" s="5" t="s">
        <v>90</v>
      </c>
      <c r="V87" s="5">
        <v>10</v>
      </c>
      <c r="W87" s="5">
        <v>6.1</v>
      </c>
      <c r="X87" s="5">
        <v>70</v>
      </c>
      <c r="Y87" s="5">
        <v>4</v>
      </c>
      <c r="Z87" s="6"/>
      <c r="AA87" s="6"/>
      <c r="AB87" s="6"/>
    </row>
    <row r="88" spans="1:28" ht="16" x14ac:dyDescent="0.2">
      <c r="A88" s="4">
        <v>45797</v>
      </c>
      <c r="B88" s="19">
        <v>25140</v>
      </c>
      <c r="C88" s="5" t="s">
        <v>42</v>
      </c>
      <c r="D88" s="6"/>
      <c r="E88" s="15">
        <v>41.323402777799998</v>
      </c>
      <c r="F88" s="15">
        <v>-75.202116666699993</v>
      </c>
      <c r="G88" s="5" t="s">
        <v>78</v>
      </c>
      <c r="H88" s="5">
        <v>45.9</v>
      </c>
      <c r="I88" s="5">
        <v>68.099999999999994</v>
      </c>
      <c r="J88" s="5">
        <v>60.5</v>
      </c>
      <c r="K88" s="5">
        <v>46.6</v>
      </c>
      <c r="L88" s="10">
        <v>0.41458333333333336</v>
      </c>
      <c r="M88" s="10">
        <v>0.66180555555555554</v>
      </c>
      <c r="N88" s="11">
        <f t="shared" si="82"/>
        <v>99.84</v>
      </c>
      <c r="O88" s="11">
        <f t="shared" si="83"/>
        <v>97.76</v>
      </c>
      <c r="P88" s="11">
        <f t="shared" si="84"/>
        <v>99.84</v>
      </c>
      <c r="Q88" s="11">
        <f t="shared" si="1"/>
        <v>99.14666666666669</v>
      </c>
      <c r="R88" s="5">
        <v>1</v>
      </c>
      <c r="S88" s="5" t="s">
        <v>16</v>
      </c>
      <c r="T88" s="5" t="s">
        <v>9</v>
      </c>
      <c r="U88" s="5" t="s">
        <v>62</v>
      </c>
      <c r="V88" s="5">
        <v>9.1999999999999993</v>
      </c>
      <c r="W88" s="5">
        <v>5.4</v>
      </c>
      <c r="X88" s="5">
        <v>65</v>
      </c>
      <c r="Y88" s="5">
        <v>2</v>
      </c>
      <c r="Z88" s="5"/>
      <c r="AA88" s="5" t="s">
        <v>91</v>
      </c>
      <c r="AB88" s="6"/>
    </row>
    <row r="89" spans="1:28" ht="16" x14ac:dyDescent="0.2">
      <c r="A89" s="4">
        <v>45797</v>
      </c>
      <c r="B89" s="19">
        <v>25140</v>
      </c>
      <c r="C89" s="5" t="s">
        <v>42</v>
      </c>
      <c r="D89" s="6"/>
      <c r="E89" s="15">
        <v>41.323402777799998</v>
      </c>
      <c r="F89" s="15">
        <v>-75.202116666699993</v>
      </c>
      <c r="G89" s="5" t="s">
        <v>78</v>
      </c>
      <c r="H89" s="5">
        <v>45.9</v>
      </c>
      <c r="I89" s="5">
        <v>68.099999999999994</v>
      </c>
      <c r="J89" s="5">
        <v>60.5</v>
      </c>
      <c r="K89" s="5">
        <v>46.6</v>
      </c>
      <c r="L89" s="10">
        <v>0.41458333333333336</v>
      </c>
      <c r="M89" s="10">
        <v>0.66180555555555554</v>
      </c>
      <c r="N89" s="11">
        <f t="shared" si="82"/>
        <v>99.84</v>
      </c>
      <c r="O89" s="11">
        <f t="shared" si="83"/>
        <v>97.76</v>
      </c>
      <c r="P89" s="11">
        <f t="shared" si="84"/>
        <v>99.84</v>
      </c>
      <c r="Q89" s="11">
        <f t="shared" si="1"/>
        <v>99.14666666666669</v>
      </c>
      <c r="R89" s="5">
        <v>1</v>
      </c>
      <c r="S89" s="5" t="s">
        <v>14</v>
      </c>
      <c r="T89" s="5" t="s">
        <v>9</v>
      </c>
      <c r="U89" s="5" t="s">
        <v>55</v>
      </c>
      <c r="V89" s="5">
        <v>10.199999999999999</v>
      </c>
      <c r="W89" s="5">
        <v>6.1</v>
      </c>
      <c r="X89" s="5">
        <v>55</v>
      </c>
      <c r="Y89" s="5">
        <v>2</v>
      </c>
      <c r="Z89" s="6"/>
      <c r="AA89" s="6"/>
      <c r="AB89" s="6"/>
    </row>
    <row r="90" spans="1:28" ht="16" x14ac:dyDescent="0.2">
      <c r="A90" s="4">
        <v>45797</v>
      </c>
      <c r="B90" s="19">
        <v>25140</v>
      </c>
      <c r="C90" s="5" t="s">
        <v>42</v>
      </c>
      <c r="D90" s="6"/>
      <c r="E90" s="15">
        <v>41.323402777799998</v>
      </c>
      <c r="F90" s="15">
        <v>-75.202116666699993</v>
      </c>
      <c r="G90" s="5" t="s">
        <v>78</v>
      </c>
      <c r="H90" s="5">
        <v>45.9</v>
      </c>
      <c r="I90" s="5">
        <v>68.099999999999994</v>
      </c>
      <c r="J90" s="5">
        <v>60.5</v>
      </c>
      <c r="K90" s="5">
        <v>46.6</v>
      </c>
      <c r="L90" s="10">
        <v>0.41458333333333336</v>
      </c>
      <c r="M90" s="10">
        <v>0.66180555555555554</v>
      </c>
      <c r="N90" s="11">
        <f t="shared" si="82"/>
        <v>99.84</v>
      </c>
      <c r="O90" s="11">
        <f t="shared" si="83"/>
        <v>97.76</v>
      </c>
      <c r="P90" s="11">
        <f t="shared" si="84"/>
        <v>99.84</v>
      </c>
      <c r="Q90" s="11">
        <f t="shared" si="1"/>
        <v>99.14666666666669</v>
      </c>
      <c r="R90" s="5">
        <v>1</v>
      </c>
      <c r="S90" s="5" t="s">
        <v>14</v>
      </c>
      <c r="T90" s="5" t="s">
        <v>9</v>
      </c>
      <c r="U90" s="5" t="s">
        <v>56</v>
      </c>
      <c r="V90" s="5">
        <v>11.1</v>
      </c>
      <c r="W90" s="5" t="s">
        <v>8</v>
      </c>
      <c r="X90" s="5" t="s">
        <v>8</v>
      </c>
      <c r="Y90" s="5">
        <v>2</v>
      </c>
      <c r="Z90" s="5"/>
      <c r="AA90" s="5" t="s">
        <v>58</v>
      </c>
      <c r="AB90" s="6"/>
    </row>
    <row r="91" spans="1:28" ht="16" x14ac:dyDescent="0.2">
      <c r="A91" s="4">
        <v>45797</v>
      </c>
      <c r="B91" s="19">
        <v>25140</v>
      </c>
      <c r="C91" s="5" t="s">
        <v>42</v>
      </c>
      <c r="D91" s="6"/>
      <c r="E91" s="15">
        <v>41.323402777799998</v>
      </c>
      <c r="F91" s="15">
        <v>-75.202116666699993</v>
      </c>
      <c r="G91" s="5" t="s">
        <v>78</v>
      </c>
      <c r="H91" s="5">
        <v>45.9</v>
      </c>
      <c r="I91" s="5">
        <v>68.099999999999994</v>
      </c>
      <c r="J91" s="5">
        <v>60.5</v>
      </c>
      <c r="K91" s="5">
        <v>46.6</v>
      </c>
      <c r="L91" s="10">
        <v>0.41458333333333336</v>
      </c>
      <c r="M91" s="10">
        <v>0.66180555555555554</v>
      </c>
      <c r="N91" s="11">
        <f t="shared" si="82"/>
        <v>99.84</v>
      </c>
      <c r="O91" s="11">
        <f t="shared" si="83"/>
        <v>97.76</v>
      </c>
      <c r="P91" s="11">
        <f t="shared" si="84"/>
        <v>99.84</v>
      </c>
      <c r="Q91" s="11">
        <f t="shared" si="1"/>
        <v>99.14666666666669</v>
      </c>
      <c r="R91" s="5">
        <v>1</v>
      </c>
      <c r="S91" s="5" t="s">
        <v>14</v>
      </c>
      <c r="T91" s="5" t="s">
        <v>9</v>
      </c>
      <c r="U91" s="5" t="s">
        <v>56</v>
      </c>
      <c r="V91" s="5">
        <v>11.7</v>
      </c>
      <c r="W91" s="5" t="s">
        <v>8</v>
      </c>
      <c r="X91" s="5" t="s">
        <v>8</v>
      </c>
      <c r="Y91" s="5">
        <v>2</v>
      </c>
      <c r="Z91" s="5"/>
      <c r="AA91" s="5" t="s">
        <v>58</v>
      </c>
      <c r="AB91" s="6"/>
    </row>
    <row r="92" spans="1:28" ht="16" x14ac:dyDescent="0.2">
      <c r="A92" s="4">
        <v>45797</v>
      </c>
      <c r="B92" s="19">
        <v>25140</v>
      </c>
      <c r="C92" s="5" t="s">
        <v>42</v>
      </c>
      <c r="D92" s="6"/>
      <c r="E92" s="15">
        <v>41.323402777799998</v>
      </c>
      <c r="F92" s="15">
        <v>-75.202116666699993</v>
      </c>
      <c r="G92" s="5" t="s">
        <v>78</v>
      </c>
      <c r="H92" s="5">
        <v>45.9</v>
      </c>
      <c r="I92" s="5">
        <v>68.099999999999994</v>
      </c>
      <c r="J92" s="5">
        <v>60.5</v>
      </c>
      <c r="K92" s="5">
        <v>46.6</v>
      </c>
      <c r="L92" s="10">
        <v>0.41458333333333336</v>
      </c>
      <c r="M92" s="10">
        <v>0.66180555555555554</v>
      </c>
      <c r="N92" s="11">
        <f t="shared" si="82"/>
        <v>99.84</v>
      </c>
      <c r="O92" s="11">
        <f t="shared" si="83"/>
        <v>97.76</v>
      </c>
      <c r="P92" s="11">
        <f t="shared" si="84"/>
        <v>99.84</v>
      </c>
      <c r="Q92" s="11">
        <f t="shared" si="1"/>
        <v>99.14666666666669</v>
      </c>
      <c r="R92" s="5">
        <v>1</v>
      </c>
      <c r="S92" s="5" t="s">
        <v>15</v>
      </c>
      <c r="T92" s="5" t="s">
        <v>4</v>
      </c>
      <c r="U92" s="5" t="s">
        <v>55</v>
      </c>
      <c r="V92" s="5">
        <v>13</v>
      </c>
      <c r="W92" s="5">
        <v>6.1</v>
      </c>
      <c r="X92" s="5">
        <v>55</v>
      </c>
      <c r="Y92" s="5">
        <v>2</v>
      </c>
      <c r="Z92" s="6"/>
      <c r="AA92" s="6"/>
      <c r="AB92" s="6"/>
    </row>
    <row r="93" spans="1:28" ht="16" x14ac:dyDescent="0.2">
      <c r="A93" s="4">
        <v>45797</v>
      </c>
      <c r="B93" s="19">
        <v>25140</v>
      </c>
      <c r="C93" s="5" t="s">
        <v>42</v>
      </c>
      <c r="D93" s="6"/>
      <c r="E93" s="15">
        <v>41.323402777799998</v>
      </c>
      <c r="F93" s="15">
        <v>-75.202116666699993</v>
      </c>
      <c r="G93" s="5" t="s">
        <v>78</v>
      </c>
      <c r="H93" s="5">
        <v>45.9</v>
      </c>
      <c r="I93" s="5">
        <v>68.099999999999994</v>
      </c>
      <c r="J93" s="5">
        <v>60.5</v>
      </c>
      <c r="K93" s="5">
        <v>46.6</v>
      </c>
      <c r="L93" s="10">
        <v>0.41458333333333336</v>
      </c>
      <c r="M93" s="10">
        <v>0.66180555555555554</v>
      </c>
      <c r="N93" s="11">
        <f t="shared" si="82"/>
        <v>99.84</v>
      </c>
      <c r="O93" s="11">
        <f t="shared" si="83"/>
        <v>97.76</v>
      </c>
      <c r="P93" s="11">
        <f t="shared" si="84"/>
        <v>99.84</v>
      </c>
      <c r="Q93" s="11">
        <f t="shared" si="1"/>
        <v>99.14666666666669</v>
      </c>
      <c r="R93" s="5">
        <v>2</v>
      </c>
      <c r="S93" s="5" t="s">
        <v>15</v>
      </c>
      <c r="T93" s="5" t="s">
        <v>9</v>
      </c>
      <c r="U93" s="5" t="s">
        <v>55</v>
      </c>
      <c r="V93" s="5">
        <v>13.2</v>
      </c>
      <c r="W93" s="5">
        <v>5.8</v>
      </c>
      <c r="X93" s="5">
        <v>65</v>
      </c>
      <c r="Y93" s="5">
        <v>1.5</v>
      </c>
      <c r="Z93" s="6"/>
      <c r="AA93" s="6"/>
      <c r="AB93" s="6"/>
    </row>
    <row r="94" spans="1:28" ht="16" x14ac:dyDescent="0.2">
      <c r="A94" s="4">
        <v>45797</v>
      </c>
      <c r="B94" s="19">
        <v>25140</v>
      </c>
      <c r="C94" s="5" t="s">
        <v>42</v>
      </c>
      <c r="D94" s="6"/>
      <c r="E94" s="15">
        <v>41.323402777799998</v>
      </c>
      <c r="F94" s="15">
        <v>-75.202116666699993</v>
      </c>
      <c r="G94" s="5" t="s">
        <v>78</v>
      </c>
      <c r="H94" s="5">
        <v>45.9</v>
      </c>
      <c r="I94" s="5">
        <v>68.099999999999994</v>
      </c>
      <c r="J94" s="5">
        <v>60.5</v>
      </c>
      <c r="K94" s="5">
        <v>46.6</v>
      </c>
      <c r="L94" s="10">
        <v>0.41458333333333336</v>
      </c>
      <c r="M94" s="10">
        <v>0.66180555555555554</v>
      </c>
      <c r="N94" s="11">
        <f t="shared" si="82"/>
        <v>99.84</v>
      </c>
      <c r="O94" s="11">
        <f t="shared" si="83"/>
        <v>97.76</v>
      </c>
      <c r="P94" s="11">
        <f t="shared" si="84"/>
        <v>99.84</v>
      </c>
      <c r="Q94" s="11">
        <f t="shared" si="1"/>
        <v>99.14666666666669</v>
      </c>
      <c r="R94" s="5">
        <v>2</v>
      </c>
      <c r="S94" s="5" t="s">
        <v>15</v>
      </c>
      <c r="T94" s="5" t="s">
        <v>9</v>
      </c>
      <c r="U94" s="5" t="s">
        <v>55</v>
      </c>
      <c r="V94" s="5">
        <v>11.2</v>
      </c>
      <c r="W94" s="5">
        <v>5.7</v>
      </c>
      <c r="X94" s="5">
        <v>48</v>
      </c>
      <c r="Y94" s="5">
        <v>2</v>
      </c>
      <c r="Z94" s="6"/>
      <c r="AA94" s="6"/>
      <c r="AB94" s="6"/>
    </row>
    <row r="95" spans="1:28" ht="16" x14ac:dyDescent="0.2">
      <c r="A95" s="4">
        <v>45797</v>
      </c>
      <c r="B95" s="19">
        <v>25140</v>
      </c>
      <c r="C95" s="5" t="s">
        <v>42</v>
      </c>
      <c r="D95" s="6"/>
      <c r="E95" s="15">
        <v>41.323402777799998</v>
      </c>
      <c r="F95" s="15">
        <v>-75.202116666699993</v>
      </c>
      <c r="G95" s="5" t="s">
        <v>78</v>
      </c>
      <c r="H95" s="5">
        <v>45.9</v>
      </c>
      <c r="I95" s="5">
        <v>68.099999999999994</v>
      </c>
      <c r="J95" s="5">
        <v>60.5</v>
      </c>
      <c r="K95" s="5">
        <v>46.6</v>
      </c>
      <c r="L95" s="10">
        <v>0.41458333333333336</v>
      </c>
      <c r="M95" s="10">
        <v>0.66180555555555554</v>
      </c>
      <c r="N95" s="11">
        <f t="shared" si="82"/>
        <v>99.84</v>
      </c>
      <c r="O95" s="11">
        <f t="shared" si="83"/>
        <v>97.76</v>
      </c>
      <c r="P95" s="11">
        <f t="shared" si="84"/>
        <v>99.84</v>
      </c>
      <c r="Q95" s="11">
        <f t="shared" si="1"/>
        <v>99.14666666666669</v>
      </c>
      <c r="R95" s="5">
        <v>2</v>
      </c>
      <c r="S95" s="5" t="s">
        <v>15</v>
      </c>
      <c r="T95" s="5" t="s">
        <v>9</v>
      </c>
      <c r="U95" s="5" t="s">
        <v>55</v>
      </c>
      <c r="V95" s="5">
        <v>12.8</v>
      </c>
      <c r="W95" s="5">
        <v>6</v>
      </c>
      <c r="X95" s="5">
        <v>54</v>
      </c>
      <c r="Y95" s="5">
        <v>4</v>
      </c>
      <c r="Z95" s="6"/>
      <c r="AA95" s="6"/>
      <c r="AB95" s="6"/>
    </row>
    <row r="96" spans="1:28" ht="16" x14ac:dyDescent="0.2">
      <c r="A96" s="4">
        <v>45797</v>
      </c>
      <c r="B96" s="19">
        <v>25140</v>
      </c>
      <c r="C96" s="5" t="s">
        <v>42</v>
      </c>
      <c r="D96" s="6"/>
      <c r="E96" s="15">
        <v>41.323402777799998</v>
      </c>
      <c r="F96" s="15">
        <v>-75.202116666699993</v>
      </c>
      <c r="G96" s="5" t="s">
        <v>78</v>
      </c>
      <c r="H96" s="5">
        <v>45.9</v>
      </c>
      <c r="I96" s="5">
        <v>68.099999999999994</v>
      </c>
      <c r="J96" s="5">
        <v>60.5</v>
      </c>
      <c r="K96" s="5">
        <v>46.6</v>
      </c>
      <c r="L96" s="10">
        <v>0.41458333333333336</v>
      </c>
      <c r="M96" s="10">
        <v>0.66180555555555554</v>
      </c>
      <c r="N96" s="11">
        <f t="shared" si="82"/>
        <v>99.84</v>
      </c>
      <c r="O96" s="11">
        <f t="shared" si="83"/>
        <v>97.76</v>
      </c>
      <c r="P96" s="11">
        <f t="shared" si="84"/>
        <v>99.84</v>
      </c>
      <c r="Q96" s="11">
        <f t="shared" si="1"/>
        <v>99.14666666666669</v>
      </c>
      <c r="R96" s="5">
        <v>2</v>
      </c>
      <c r="S96" s="5" t="s">
        <v>16</v>
      </c>
      <c r="T96" s="5" t="s">
        <v>9</v>
      </c>
      <c r="U96" s="5" t="s">
        <v>55</v>
      </c>
      <c r="V96" s="5">
        <v>12</v>
      </c>
      <c r="W96" s="5" t="s">
        <v>8</v>
      </c>
      <c r="X96" s="5" t="s">
        <v>8</v>
      </c>
      <c r="Y96" s="5">
        <v>1.5</v>
      </c>
      <c r="Z96" s="5"/>
      <c r="AA96" s="5" t="s">
        <v>92</v>
      </c>
      <c r="AB96" s="6"/>
    </row>
    <row r="97" spans="1:28" ht="16" x14ac:dyDescent="0.2">
      <c r="A97" s="4">
        <v>45797</v>
      </c>
      <c r="B97" s="19">
        <v>25140</v>
      </c>
      <c r="C97" s="5" t="s">
        <v>42</v>
      </c>
      <c r="D97" s="6"/>
      <c r="E97" s="15">
        <v>41.323402777799998</v>
      </c>
      <c r="F97" s="15">
        <v>-75.202116666699993</v>
      </c>
      <c r="G97" s="5" t="s">
        <v>78</v>
      </c>
      <c r="H97" s="5">
        <v>45.9</v>
      </c>
      <c r="I97" s="5">
        <v>68.099999999999994</v>
      </c>
      <c r="J97" s="5">
        <v>60.5</v>
      </c>
      <c r="K97" s="5">
        <v>46.6</v>
      </c>
      <c r="L97" s="10">
        <v>0.41458333333333336</v>
      </c>
      <c r="M97" s="10">
        <v>0.66180555555555554</v>
      </c>
      <c r="N97" s="11">
        <f t="shared" si="82"/>
        <v>99.84</v>
      </c>
      <c r="O97" s="11">
        <f t="shared" si="83"/>
        <v>97.76</v>
      </c>
      <c r="P97" s="11">
        <f t="shared" si="84"/>
        <v>99.84</v>
      </c>
      <c r="Q97" s="11">
        <f t="shared" si="1"/>
        <v>99.14666666666669</v>
      </c>
      <c r="R97" s="5">
        <v>2</v>
      </c>
      <c r="S97" s="5" t="s">
        <v>16</v>
      </c>
      <c r="T97" s="5" t="s">
        <v>9</v>
      </c>
      <c r="U97" s="5" t="s">
        <v>56</v>
      </c>
      <c r="V97" s="5">
        <v>11.6</v>
      </c>
      <c r="W97" s="5" t="s">
        <v>8</v>
      </c>
      <c r="X97" s="5" t="s">
        <v>8</v>
      </c>
      <c r="Y97" s="5">
        <v>1.5</v>
      </c>
      <c r="Z97" s="5"/>
      <c r="AA97" s="5" t="s">
        <v>92</v>
      </c>
      <c r="AB97" s="6"/>
    </row>
    <row r="98" spans="1:28" ht="16" x14ac:dyDescent="0.2">
      <c r="A98" s="4">
        <v>45797</v>
      </c>
      <c r="B98" s="19">
        <v>25140</v>
      </c>
      <c r="C98" s="5" t="s">
        <v>42</v>
      </c>
      <c r="D98" s="6"/>
      <c r="E98" s="15">
        <v>41.323402777799998</v>
      </c>
      <c r="F98" s="15">
        <v>-75.202116666699993</v>
      </c>
      <c r="G98" s="5" t="s">
        <v>78</v>
      </c>
      <c r="H98" s="5">
        <v>45.9</v>
      </c>
      <c r="I98" s="5">
        <v>68.099999999999994</v>
      </c>
      <c r="J98" s="5">
        <v>60.5</v>
      </c>
      <c r="K98" s="5">
        <v>46.6</v>
      </c>
      <c r="L98" s="10">
        <v>0.41458333333333336</v>
      </c>
      <c r="M98" s="10">
        <v>0.66180555555555554</v>
      </c>
      <c r="N98" s="11">
        <f t="shared" si="82"/>
        <v>99.84</v>
      </c>
      <c r="O98" s="11">
        <f t="shared" si="83"/>
        <v>97.76</v>
      </c>
      <c r="P98" s="11">
        <f t="shared" si="84"/>
        <v>99.84</v>
      </c>
      <c r="Q98" s="11">
        <f t="shared" si="1"/>
        <v>99.14666666666669</v>
      </c>
      <c r="R98" s="5">
        <v>2</v>
      </c>
      <c r="S98" s="5" t="s">
        <v>16</v>
      </c>
      <c r="T98" s="5" t="s">
        <v>9</v>
      </c>
      <c r="U98" s="5" t="s">
        <v>64</v>
      </c>
      <c r="V98" s="5">
        <v>20.3</v>
      </c>
      <c r="W98" s="5">
        <v>6.5</v>
      </c>
      <c r="X98" s="5">
        <v>20</v>
      </c>
      <c r="Y98" s="5">
        <v>2.5</v>
      </c>
      <c r="Z98" s="5"/>
      <c r="AA98" s="5" t="s">
        <v>93</v>
      </c>
      <c r="AB98" s="6"/>
    </row>
    <row r="99" spans="1:28" ht="16" x14ac:dyDescent="0.2">
      <c r="A99" s="4">
        <v>45797</v>
      </c>
      <c r="B99" s="19">
        <v>25140</v>
      </c>
      <c r="C99" s="5" t="s">
        <v>42</v>
      </c>
      <c r="D99" s="6"/>
      <c r="E99" s="15">
        <v>41.323402777799998</v>
      </c>
      <c r="F99" s="15">
        <v>-75.202116666699993</v>
      </c>
      <c r="G99" s="5" t="s">
        <v>78</v>
      </c>
      <c r="H99" s="5">
        <v>45.9</v>
      </c>
      <c r="I99" s="5">
        <v>68.099999999999994</v>
      </c>
      <c r="J99" s="5">
        <v>60.5</v>
      </c>
      <c r="K99" s="5">
        <v>46.6</v>
      </c>
      <c r="L99" s="10">
        <v>0.41458333333333336</v>
      </c>
      <c r="M99" s="10">
        <v>0.66180555555555554</v>
      </c>
      <c r="N99" s="11">
        <f t="shared" si="82"/>
        <v>99.84</v>
      </c>
      <c r="O99" s="11">
        <f t="shared" si="83"/>
        <v>97.76</v>
      </c>
      <c r="P99" s="11">
        <f t="shared" si="84"/>
        <v>99.84</v>
      </c>
      <c r="Q99" s="11">
        <f t="shared" si="1"/>
        <v>99.14666666666669</v>
      </c>
      <c r="R99" s="5">
        <v>2</v>
      </c>
      <c r="S99" s="5" t="s">
        <v>14</v>
      </c>
      <c r="T99" s="5" t="s">
        <v>9</v>
      </c>
      <c r="U99" s="5" t="s">
        <v>55</v>
      </c>
      <c r="V99" s="5">
        <v>13.4</v>
      </c>
      <c r="W99" s="5">
        <v>6.1</v>
      </c>
      <c r="X99" s="5">
        <v>50</v>
      </c>
      <c r="Y99" s="5">
        <v>2</v>
      </c>
      <c r="Z99" s="5"/>
      <c r="AA99" s="5" t="s">
        <v>94</v>
      </c>
      <c r="AB99" s="6"/>
    </row>
    <row r="100" spans="1:28" ht="16" x14ac:dyDescent="0.2">
      <c r="A100" s="4">
        <v>45797</v>
      </c>
      <c r="B100" s="19">
        <v>25140</v>
      </c>
      <c r="C100" s="5" t="s">
        <v>42</v>
      </c>
      <c r="D100" s="6"/>
      <c r="E100" s="15">
        <v>41.323402777799998</v>
      </c>
      <c r="F100" s="15">
        <v>-75.202116666699993</v>
      </c>
      <c r="G100" s="5" t="s">
        <v>78</v>
      </c>
      <c r="H100" s="5">
        <v>45.9</v>
      </c>
      <c r="I100" s="5">
        <v>68.099999999999994</v>
      </c>
      <c r="J100" s="5">
        <v>60.5</v>
      </c>
      <c r="K100" s="5">
        <v>46.6</v>
      </c>
      <c r="L100" s="10">
        <v>0.41458333333333336</v>
      </c>
      <c r="M100" s="10">
        <v>0.66180555555555554</v>
      </c>
      <c r="N100" s="11">
        <f t="shared" si="82"/>
        <v>99.84</v>
      </c>
      <c r="O100" s="11">
        <f t="shared" si="83"/>
        <v>97.76</v>
      </c>
      <c r="P100" s="11">
        <f t="shared" si="84"/>
        <v>99.84</v>
      </c>
      <c r="Q100" s="11">
        <f t="shared" si="1"/>
        <v>99.14666666666669</v>
      </c>
      <c r="R100" s="5">
        <v>2</v>
      </c>
      <c r="S100" s="5" t="s">
        <v>14</v>
      </c>
      <c r="T100" s="5" t="s">
        <v>9</v>
      </c>
      <c r="U100" s="5" t="s">
        <v>55</v>
      </c>
      <c r="V100" s="5">
        <v>10</v>
      </c>
      <c r="W100" s="5">
        <v>5.4</v>
      </c>
      <c r="X100" s="5">
        <v>78</v>
      </c>
      <c r="Y100" s="5">
        <v>4.5</v>
      </c>
      <c r="Z100" s="6"/>
      <c r="AA100" s="6"/>
      <c r="AB100" s="6"/>
    </row>
    <row r="101" spans="1:28" ht="16" x14ac:dyDescent="0.2">
      <c r="A101" s="4">
        <v>45797</v>
      </c>
      <c r="B101" s="19">
        <v>25140</v>
      </c>
      <c r="C101" s="5" t="s">
        <v>42</v>
      </c>
      <c r="D101" s="6"/>
      <c r="E101" s="15">
        <v>41.323402777799998</v>
      </c>
      <c r="F101" s="15">
        <v>-75.202116666699993</v>
      </c>
      <c r="G101" s="5" t="s">
        <v>78</v>
      </c>
      <c r="H101" s="5">
        <v>45.9</v>
      </c>
      <c r="I101" s="5">
        <v>68.099999999999994</v>
      </c>
      <c r="J101" s="5">
        <v>60.5</v>
      </c>
      <c r="K101" s="5">
        <v>46.6</v>
      </c>
      <c r="L101" s="10">
        <v>0.41458333333333336</v>
      </c>
      <c r="M101" s="10">
        <v>0.66180555555555554</v>
      </c>
      <c r="N101" s="11">
        <f t="shared" si="82"/>
        <v>99.84</v>
      </c>
      <c r="O101" s="11">
        <f t="shared" si="83"/>
        <v>97.76</v>
      </c>
      <c r="P101" s="11">
        <f t="shared" si="84"/>
        <v>99.84</v>
      </c>
      <c r="Q101" s="11">
        <f t="shared" si="1"/>
        <v>99.14666666666669</v>
      </c>
      <c r="R101" s="5">
        <v>2</v>
      </c>
      <c r="S101" s="5" t="s">
        <v>14</v>
      </c>
      <c r="T101" s="5" t="s">
        <v>9</v>
      </c>
      <c r="U101" s="5" t="s">
        <v>55</v>
      </c>
      <c r="V101" s="5">
        <v>12.4</v>
      </c>
      <c r="W101" s="5">
        <v>5.4</v>
      </c>
      <c r="X101" s="5">
        <v>70</v>
      </c>
      <c r="Y101" s="5">
        <v>1.5</v>
      </c>
      <c r="Z101" s="6"/>
      <c r="AA101" s="6"/>
      <c r="AB101" s="6"/>
    </row>
    <row r="102" spans="1:28" ht="16" x14ac:dyDescent="0.2">
      <c r="A102" s="4">
        <v>45797</v>
      </c>
      <c r="B102" s="19">
        <v>25140</v>
      </c>
      <c r="C102" s="5" t="s">
        <v>42</v>
      </c>
      <c r="D102" s="6"/>
      <c r="E102" s="15">
        <v>41.323402777799998</v>
      </c>
      <c r="F102" s="15">
        <v>-75.202116666699993</v>
      </c>
      <c r="G102" s="5" t="s">
        <v>78</v>
      </c>
      <c r="H102" s="5">
        <v>45.9</v>
      </c>
      <c r="I102" s="5">
        <v>68.099999999999994</v>
      </c>
      <c r="J102" s="5">
        <v>60.5</v>
      </c>
      <c r="K102" s="5">
        <v>46.6</v>
      </c>
      <c r="L102" s="10">
        <v>0.41458333333333336</v>
      </c>
      <c r="M102" s="10">
        <v>0.66180555555555554</v>
      </c>
      <c r="N102" s="11">
        <f t="shared" si="82"/>
        <v>99.84</v>
      </c>
      <c r="O102" s="11">
        <f t="shared" si="83"/>
        <v>97.76</v>
      </c>
      <c r="P102" s="11">
        <f t="shared" si="84"/>
        <v>99.84</v>
      </c>
      <c r="Q102" s="11">
        <f t="shared" si="1"/>
        <v>99.14666666666669</v>
      </c>
      <c r="R102" s="5">
        <v>2</v>
      </c>
      <c r="S102" s="5" t="s">
        <v>15</v>
      </c>
      <c r="T102" s="5" t="s">
        <v>4</v>
      </c>
      <c r="U102" s="5" t="s">
        <v>55</v>
      </c>
      <c r="V102" s="5">
        <v>12.4</v>
      </c>
      <c r="W102" s="5">
        <v>5.8</v>
      </c>
      <c r="X102" s="5">
        <v>65</v>
      </c>
      <c r="Y102" s="5">
        <v>4</v>
      </c>
      <c r="Z102" s="6"/>
      <c r="AA102" s="6"/>
      <c r="AB102" s="6"/>
    </row>
    <row r="103" spans="1:28" ht="16" x14ac:dyDescent="0.2">
      <c r="A103" s="4">
        <v>45797</v>
      </c>
      <c r="B103" s="19">
        <v>25140</v>
      </c>
      <c r="C103" s="5" t="s">
        <v>42</v>
      </c>
      <c r="D103" s="6"/>
      <c r="E103" s="15">
        <v>41.323402777799998</v>
      </c>
      <c r="F103" s="15">
        <v>-75.202116666699993</v>
      </c>
      <c r="G103" s="5" t="s">
        <v>78</v>
      </c>
      <c r="H103" s="5">
        <v>45.9</v>
      </c>
      <c r="I103" s="5">
        <v>68.099999999999994</v>
      </c>
      <c r="J103" s="5">
        <v>60.5</v>
      </c>
      <c r="K103" s="5">
        <v>46.6</v>
      </c>
      <c r="L103" s="10">
        <v>0.41458333333333336</v>
      </c>
      <c r="M103" s="10">
        <v>0.66180555555555554</v>
      </c>
      <c r="N103" s="11">
        <f t="shared" si="82"/>
        <v>99.84</v>
      </c>
      <c r="O103" s="11">
        <f t="shared" si="83"/>
        <v>97.76</v>
      </c>
      <c r="P103" s="11">
        <f t="shared" si="84"/>
        <v>99.84</v>
      </c>
      <c r="Q103" s="11">
        <f t="shared" si="1"/>
        <v>99.14666666666669</v>
      </c>
      <c r="R103" s="5">
        <v>3</v>
      </c>
      <c r="S103" s="5" t="s">
        <v>15</v>
      </c>
      <c r="T103" s="5" t="s">
        <v>4</v>
      </c>
      <c r="U103" s="5" t="s">
        <v>55</v>
      </c>
      <c r="V103" s="5">
        <v>9.1999999999999993</v>
      </c>
      <c r="W103" s="5">
        <v>5.5</v>
      </c>
      <c r="X103" s="5">
        <v>70</v>
      </c>
      <c r="Y103" s="5">
        <v>2</v>
      </c>
      <c r="Z103" s="5"/>
      <c r="AA103" s="5" t="s">
        <v>95</v>
      </c>
      <c r="AB103" s="6"/>
    </row>
    <row r="104" spans="1:28" ht="16" x14ac:dyDescent="0.2">
      <c r="A104" s="4">
        <v>45797</v>
      </c>
      <c r="B104" s="19">
        <v>25140</v>
      </c>
      <c r="C104" s="5" t="s">
        <v>42</v>
      </c>
      <c r="D104" s="6"/>
      <c r="E104" s="15">
        <v>41.323402777799998</v>
      </c>
      <c r="F104" s="15">
        <v>-75.202116666699993</v>
      </c>
      <c r="G104" s="5" t="s">
        <v>78</v>
      </c>
      <c r="H104" s="5">
        <v>45.9</v>
      </c>
      <c r="I104" s="5">
        <v>68.099999999999994</v>
      </c>
      <c r="J104" s="5">
        <v>60.5</v>
      </c>
      <c r="K104" s="5">
        <v>46.6</v>
      </c>
      <c r="L104" s="10">
        <v>0.41458333333333336</v>
      </c>
      <c r="M104" s="10">
        <v>0.66180555555555554</v>
      </c>
      <c r="N104" s="11">
        <f t="shared" si="82"/>
        <v>99.84</v>
      </c>
      <c r="O104" s="11">
        <f t="shared" si="83"/>
        <v>97.76</v>
      </c>
      <c r="P104" s="11">
        <f t="shared" si="84"/>
        <v>99.84</v>
      </c>
      <c r="Q104" s="11">
        <f t="shared" si="1"/>
        <v>99.14666666666669</v>
      </c>
      <c r="R104" s="5">
        <v>3</v>
      </c>
      <c r="S104" s="5" t="s">
        <v>15</v>
      </c>
      <c r="T104" s="5" t="s">
        <v>9</v>
      </c>
      <c r="U104" s="5" t="s">
        <v>55</v>
      </c>
      <c r="V104" s="5">
        <v>10.4</v>
      </c>
      <c r="W104" s="5" t="s">
        <v>8</v>
      </c>
      <c r="X104" s="5" t="s">
        <v>8</v>
      </c>
      <c r="Y104" s="5">
        <v>1.5</v>
      </c>
      <c r="Z104" s="5"/>
      <c r="AA104" s="5" t="s">
        <v>58</v>
      </c>
      <c r="AB104" s="6"/>
    </row>
    <row r="105" spans="1:28" ht="16" x14ac:dyDescent="0.2">
      <c r="A105" s="4">
        <v>45797</v>
      </c>
      <c r="B105" s="19">
        <v>25140</v>
      </c>
      <c r="C105" s="5" t="s">
        <v>42</v>
      </c>
      <c r="D105" s="6"/>
      <c r="E105" s="15">
        <v>41.323402777799998</v>
      </c>
      <c r="F105" s="15">
        <v>-75.202116666699993</v>
      </c>
      <c r="G105" s="5" t="s">
        <v>78</v>
      </c>
      <c r="H105" s="5">
        <v>45.9</v>
      </c>
      <c r="I105" s="5">
        <v>68.099999999999994</v>
      </c>
      <c r="J105" s="5">
        <v>60.5</v>
      </c>
      <c r="K105" s="5">
        <v>46.6</v>
      </c>
      <c r="L105" s="10">
        <v>0.41458333333333336</v>
      </c>
      <c r="M105" s="10">
        <v>0.66180555555555554</v>
      </c>
      <c r="N105" s="11">
        <f t="shared" si="82"/>
        <v>99.84</v>
      </c>
      <c r="O105" s="11">
        <f t="shared" si="83"/>
        <v>97.76</v>
      </c>
      <c r="P105" s="11">
        <f t="shared" si="84"/>
        <v>99.84</v>
      </c>
      <c r="Q105" s="11">
        <f t="shared" si="1"/>
        <v>99.14666666666669</v>
      </c>
      <c r="R105" s="5">
        <v>3</v>
      </c>
      <c r="S105" s="5" t="s">
        <v>15</v>
      </c>
      <c r="T105" s="5" t="s">
        <v>9</v>
      </c>
      <c r="U105" s="5" t="s">
        <v>56</v>
      </c>
      <c r="V105" s="5">
        <v>13.2</v>
      </c>
      <c r="W105" s="5" t="s">
        <v>8</v>
      </c>
      <c r="X105" s="5" t="s">
        <v>8</v>
      </c>
      <c r="Y105" s="5">
        <v>2</v>
      </c>
      <c r="Z105" s="5"/>
      <c r="AA105" s="5" t="s">
        <v>58</v>
      </c>
      <c r="AB105" s="6"/>
    </row>
    <row r="106" spans="1:28" ht="16" x14ac:dyDescent="0.2">
      <c r="A106" s="4">
        <v>45797</v>
      </c>
      <c r="B106" s="19">
        <v>25140</v>
      </c>
      <c r="C106" s="5" t="s">
        <v>42</v>
      </c>
      <c r="D106" s="6"/>
      <c r="E106" s="15">
        <v>41.323402777799998</v>
      </c>
      <c r="F106" s="15">
        <v>-75.202116666699993</v>
      </c>
      <c r="G106" s="5" t="s">
        <v>96</v>
      </c>
      <c r="H106" s="5">
        <v>45.9</v>
      </c>
      <c r="I106" s="5">
        <v>68.099999999999994</v>
      </c>
      <c r="J106" s="5">
        <v>60.5</v>
      </c>
      <c r="K106" s="5">
        <v>46.6</v>
      </c>
      <c r="L106" s="10">
        <v>0.41458333333333336</v>
      </c>
      <c r="M106" s="10">
        <v>0.66180555555555554</v>
      </c>
      <c r="N106" s="11">
        <f t="shared" si="82"/>
        <v>99.84</v>
      </c>
      <c r="O106" s="11">
        <f t="shared" si="83"/>
        <v>97.76</v>
      </c>
      <c r="P106" s="11">
        <f t="shared" si="84"/>
        <v>99.84</v>
      </c>
      <c r="Q106" s="11">
        <f t="shared" si="1"/>
        <v>99.14666666666669</v>
      </c>
      <c r="R106" s="5">
        <v>3</v>
      </c>
      <c r="S106" s="5" t="s">
        <v>15</v>
      </c>
      <c r="T106" s="5" t="s">
        <v>9</v>
      </c>
      <c r="U106" s="5" t="s">
        <v>55</v>
      </c>
      <c r="V106" s="5">
        <v>13.3</v>
      </c>
      <c r="W106" s="5">
        <v>5.0999999999999996</v>
      </c>
      <c r="X106" s="5">
        <v>70</v>
      </c>
      <c r="Y106" s="5">
        <v>2</v>
      </c>
      <c r="Z106" s="6"/>
      <c r="AA106" s="6"/>
      <c r="AB106" s="6"/>
    </row>
    <row r="107" spans="1:28" ht="16" x14ac:dyDescent="0.2">
      <c r="A107" s="4">
        <v>45797</v>
      </c>
      <c r="B107" s="19">
        <v>25140</v>
      </c>
      <c r="C107" s="5" t="s">
        <v>42</v>
      </c>
      <c r="D107" s="6"/>
      <c r="E107" s="15">
        <v>41.323402777799998</v>
      </c>
      <c r="F107" s="15">
        <v>-75.202116666699993</v>
      </c>
      <c r="G107" s="5" t="s">
        <v>96</v>
      </c>
      <c r="H107" s="5">
        <v>45.9</v>
      </c>
      <c r="I107" s="5">
        <v>68.099999999999994</v>
      </c>
      <c r="J107" s="5">
        <v>60.5</v>
      </c>
      <c r="K107" s="5">
        <v>46.6</v>
      </c>
      <c r="L107" s="10">
        <v>0.41458333333333336</v>
      </c>
      <c r="M107" s="10">
        <v>0.66180555555555554</v>
      </c>
      <c r="N107" s="11">
        <f t="shared" si="82"/>
        <v>99.84</v>
      </c>
      <c r="O107" s="11">
        <f t="shared" si="83"/>
        <v>97.76</v>
      </c>
      <c r="P107" s="11">
        <f t="shared" si="84"/>
        <v>99.84</v>
      </c>
      <c r="Q107" s="11">
        <f t="shared" si="1"/>
        <v>99.14666666666669</v>
      </c>
      <c r="R107" s="5">
        <v>3</v>
      </c>
      <c r="S107" s="5" t="s">
        <v>16</v>
      </c>
      <c r="T107" s="5" t="s">
        <v>9</v>
      </c>
      <c r="U107" s="5" t="s">
        <v>55</v>
      </c>
      <c r="V107" s="5">
        <v>17.100000000000001</v>
      </c>
      <c r="W107" s="5">
        <v>5</v>
      </c>
      <c r="X107" s="5">
        <v>65</v>
      </c>
      <c r="Y107" s="5">
        <v>2.5</v>
      </c>
      <c r="Z107" s="5"/>
      <c r="AA107" s="5" t="s">
        <v>97</v>
      </c>
      <c r="AB107" s="6"/>
    </row>
    <row r="108" spans="1:28" ht="16" x14ac:dyDescent="0.2">
      <c r="A108" s="4">
        <v>45797</v>
      </c>
      <c r="B108" s="19">
        <v>25140</v>
      </c>
      <c r="C108" s="5" t="s">
        <v>42</v>
      </c>
      <c r="D108" s="6"/>
      <c r="E108" s="15">
        <v>41.323402777799998</v>
      </c>
      <c r="F108" s="15">
        <v>-75.202116666699993</v>
      </c>
      <c r="G108" s="5" t="s">
        <v>96</v>
      </c>
      <c r="H108" s="5">
        <v>45.9</v>
      </c>
      <c r="I108" s="5">
        <v>68.099999999999994</v>
      </c>
      <c r="J108" s="5">
        <v>60.5</v>
      </c>
      <c r="K108" s="5">
        <v>46.6</v>
      </c>
      <c r="L108" s="10">
        <v>0.41458333333333336</v>
      </c>
      <c r="M108" s="10">
        <v>0.66180555555555554</v>
      </c>
      <c r="N108" s="11">
        <f t="shared" si="82"/>
        <v>99.84</v>
      </c>
      <c r="O108" s="11">
        <f t="shared" si="83"/>
        <v>97.76</v>
      </c>
      <c r="P108" s="11">
        <f t="shared" si="84"/>
        <v>99.84</v>
      </c>
      <c r="Q108" s="11">
        <f t="shared" si="1"/>
        <v>99.14666666666669</v>
      </c>
      <c r="R108" s="5">
        <v>3</v>
      </c>
      <c r="S108" s="5" t="s">
        <v>16</v>
      </c>
      <c r="T108" s="5" t="s">
        <v>9</v>
      </c>
      <c r="U108" s="5" t="s">
        <v>55</v>
      </c>
      <c r="V108" s="5">
        <v>13.9</v>
      </c>
      <c r="W108" s="5">
        <v>5.2</v>
      </c>
      <c r="X108" s="5">
        <v>68</v>
      </c>
      <c r="Y108" s="5">
        <v>1</v>
      </c>
      <c r="Z108" s="6"/>
      <c r="AA108" s="6"/>
      <c r="AB108" s="6"/>
    </row>
    <row r="109" spans="1:28" ht="16" x14ac:dyDescent="0.2">
      <c r="A109" s="4">
        <v>45797</v>
      </c>
      <c r="B109" s="19">
        <v>25140</v>
      </c>
      <c r="C109" s="5" t="s">
        <v>42</v>
      </c>
      <c r="D109" s="6"/>
      <c r="E109" s="15">
        <v>41.323402777799998</v>
      </c>
      <c r="F109" s="15">
        <v>-75.202116666699993</v>
      </c>
      <c r="G109" s="5" t="s">
        <v>96</v>
      </c>
      <c r="H109" s="5">
        <v>45.9</v>
      </c>
      <c r="I109" s="5">
        <v>68.099999999999994</v>
      </c>
      <c r="J109" s="5">
        <v>60.5</v>
      </c>
      <c r="K109" s="5">
        <v>46.6</v>
      </c>
      <c r="L109" s="10">
        <v>0.41458333333333336</v>
      </c>
      <c r="M109" s="10">
        <v>0.66180555555555554</v>
      </c>
      <c r="N109" s="11">
        <f t="shared" si="82"/>
        <v>99.84</v>
      </c>
      <c r="O109" s="11">
        <f t="shared" si="83"/>
        <v>97.76</v>
      </c>
      <c r="P109" s="11">
        <f t="shared" si="84"/>
        <v>99.84</v>
      </c>
      <c r="Q109" s="11">
        <f t="shared" si="1"/>
        <v>99.14666666666669</v>
      </c>
      <c r="R109" s="5">
        <v>3</v>
      </c>
      <c r="S109" s="5" t="s">
        <v>16</v>
      </c>
      <c r="T109" s="5" t="s">
        <v>9</v>
      </c>
      <c r="U109" s="5" t="s">
        <v>55</v>
      </c>
      <c r="V109" s="5">
        <v>16.399999999999999</v>
      </c>
      <c r="W109" s="5" t="s">
        <v>8</v>
      </c>
      <c r="X109" s="5" t="s">
        <v>8</v>
      </c>
      <c r="Y109" s="5">
        <v>4.5</v>
      </c>
      <c r="Z109" s="5"/>
      <c r="AA109" s="5" t="s">
        <v>58</v>
      </c>
      <c r="AB109" s="6"/>
    </row>
    <row r="110" spans="1:28" ht="16" x14ac:dyDescent="0.2">
      <c r="A110" s="4">
        <v>45797</v>
      </c>
      <c r="B110" s="19">
        <v>25140</v>
      </c>
      <c r="C110" s="5" t="s">
        <v>42</v>
      </c>
      <c r="D110" s="6"/>
      <c r="E110" s="15">
        <v>41.323402777799998</v>
      </c>
      <c r="F110" s="15">
        <v>-75.202116666699993</v>
      </c>
      <c r="G110" s="5" t="s">
        <v>96</v>
      </c>
      <c r="H110" s="5">
        <v>45.9</v>
      </c>
      <c r="I110" s="5">
        <v>68.099999999999994</v>
      </c>
      <c r="J110" s="5">
        <v>60.5</v>
      </c>
      <c r="K110" s="5">
        <v>46.6</v>
      </c>
      <c r="L110" s="10">
        <v>0.41458333333333336</v>
      </c>
      <c r="M110" s="10">
        <v>0.66180555555555554</v>
      </c>
      <c r="N110" s="11">
        <f t="shared" si="82"/>
        <v>99.84</v>
      </c>
      <c r="O110" s="11">
        <f t="shared" si="83"/>
        <v>97.76</v>
      </c>
      <c r="P110" s="11">
        <f t="shared" si="84"/>
        <v>99.84</v>
      </c>
      <c r="Q110" s="11">
        <f t="shared" si="1"/>
        <v>99.14666666666669</v>
      </c>
      <c r="R110" s="5">
        <v>3</v>
      </c>
      <c r="S110" s="5" t="s">
        <v>14</v>
      </c>
      <c r="T110" s="5" t="s">
        <v>9</v>
      </c>
      <c r="U110" s="5" t="s">
        <v>55</v>
      </c>
      <c r="V110" s="5">
        <v>13.1</v>
      </c>
      <c r="W110" s="5">
        <v>5.4</v>
      </c>
      <c r="X110" s="5">
        <v>12</v>
      </c>
      <c r="Y110" s="5">
        <v>4</v>
      </c>
      <c r="Z110" s="5"/>
      <c r="AA110" s="5" t="s">
        <v>98</v>
      </c>
      <c r="AB110" s="6"/>
    </row>
    <row r="111" spans="1:28" ht="16" x14ac:dyDescent="0.2">
      <c r="A111" s="4">
        <v>45797</v>
      </c>
      <c r="B111" s="19">
        <v>25140</v>
      </c>
      <c r="C111" s="5" t="s">
        <v>42</v>
      </c>
      <c r="D111" s="6"/>
      <c r="E111" s="15">
        <v>41.323402777799998</v>
      </c>
      <c r="F111" s="15">
        <v>-75.202116666699993</v>
      </c>
      <c r="G111" s="5" t="s">
        <v>96</v>
      </c>
      <c r="H111" s="5">
        <v>45.9</v>
      </c>
      <c r="I111" s="5">
        <v>68.099999999999994</v>
      </c>
      <c r="J111" s="5">
        <v>60.5</v>
      </c>
      <c r="K111" s="5">
        <v>46.6</v>
      </c>
      <c r="L111" s="10">
        <v>0.41458333333333336</v>
      </c>
      <c r="M111" s="10">
        <v>0.66180555555555554</v>
      </c>
      <c r="N111" s="11">
        <f t="shared" si="82"/>
        <v>99.84</v>
      </c>
      <c r="O111" s="11">
        <f t="shared" si="83"/>
        <v>97.76</v>
      </c>
      <c r="P111" s="11">
        <f t="shared" si="84"/>
        <v>99.84</v>
      </c>
      <c r="Q111" s="11">
        <f t="shared" si="1"/>
        <v>99.14666666666669</v>
      </c>
      <c r="R111" s="5">
        <v>3</v>
      </c>
      <c r="S111" s="5" t="s">
        <v>14</v>
      </c>
      <c r="T111" s="5" t="s">
        <v>9</v>
      </c>
      <c r="U111" s="5" t="s">
        <v>55</v>
      </c>
      <c r="V111" s="5">
        <v>15.1</v>
      </c>
      <c r="W111" s="5">
        <v>5.6</v>
      </c>
      <c r="X111" s="5">
        <v>65</v>
      </c>
      <c r="Y111" s="5">
        <v>3</v>
      </c>
      <c r="Z111" s="6"/>
      <c r="AA111" s="6"/>
      <c r="AB111" s="6"/>
    </row>
    <row r="112" spans="1:28" ht="16" x14ac:dyDescent="0.2">
      <c r="A112" s="4">
        <v>45797</v>
      </c>
      <c r="B112" s="19">
        <v>25140</v>
      </c>
      <c r="C112" s="5" t="s">
        <v>42</v>
      </c>
      <c r="D112" s="6"/>
      <c r="E112" s="15">
        <v>41.323402777799998</v>
      </c>
      <c r="F112" s="15">
        <v>-75.202116666699993</v>
      </c>
      <c r="G112" s="5" t="s">
        <v>96</v>
      </c>
      <c r="H112" s="5">
        <v>45.9</v>
      </c>
      <c r="I112" s="5">
        <v>68.099999999999994</v>
      </c>
      <c r="J112" s="5">
        <v>60.5</v>
      </c>
      <c r="K112" s="5">
        <v>46.6</v>
      </c>
      <c r="L112" s="10">
        <v>0.41458333333333336</v>
      </c>
      <c r="M112" s="10">
        <v>0.66180555555555554</v>
      </c>
      <c r="N112" s="11">
        <f t="shared" si="82"/>
        <v>99.84</v>
      </c>
      <c r="O112" s="11">
        <f t="shared" si="83"/>
        <v>97.76</v>
      </c>
      <c r="P112" s="11">
        <f t="shared" si="84"/>
        <v>99.84</v>
      </c>
      <c r="Q112" s="11">
        <f t="shared" si="1"/>
        <v>99.14666666666669</v>
      </c>
      <c r="R112" s="5">
        <v>3</v>
      </c>
      <c r="S112" s="5" t="s">
        <v>14</v>
      </c>
      <c r="T112" s="5" t="s">
        <v>9</v>
      </c>
      <c r="U112" s="5" t="s">
        <v>55</v>
      </c>
      <c r="V112" s="5">
        <v>15.6</v>
      </c>
      <c r="W112" s="5" t="s">
        <v>8</v>
      </c>
      <c r="X112" s="5" t="s">
        <v>8</v>
      </c>
      <c r="Y112" s="5">
        <v>1.5</v>
      </c>
      <c r="Z112" s="5"/>
      <c r="AA112" s="5" t="s">
        <v>99</v>
      </c>
      <c r="AB112" s="6"/>
    </row>
    <row r="113" spans="1:28" ht="16" x14ac:dyDescent="0.2">
      <c r="A113" s="4">
        <v>45797</v>
      </c>
      <c r="B113" s="19">
        <v>25140</v>
      </c>
      <c r="C113" s="5" t="s">
        <v>42</v>
      </c>
      <c r="D113" s="6"/>
      <c r="E113" s="15">
        <v>41.323402777799998</v>
      </c>
      <c r="F113" s="15">
        <v>-75.202116666699993</v>
      </c>
      <c r="G113" s="5" t="s">
        <v>96</v>
      </c>
      <c r="H113" s="5">
        <v>45.9</v>
      </c>
      <c r="I113" s="5">
        <v>68.099999999999994</v>
      </c>
      <c r="J113" s="5">
        <v>60.5</v>
      </c>
      <c r="K113" s="5">
        <v>46.6</v>
      </c>
      <c r="L113" s="10">
        <v>0.41458333333333336</v>
      </c>
      <c r="M113" s="10">
        <v>0.66180555555555554</v>
      </c>
      <c r="N113" s="11">
        <f t="shared" si="82"/>
        <v>99.84</v>
      </c>
      <c r="O113" s="11">
        <f t="shared" si="83"/>
        <v>97.76</v>
      </c>
      <c r="P113" s="11">
        <f t="shared" si="84"/>
        <v>99.84</v>
      </c>
      <c r="Q113" s="11">
        <f t="shared" si="1"/>
        <v>99.14666666666669</v>
      </c>
      <c r="R113" s="5">
        <v>3</v>
      </c>
      <c r="S113" s="5" t="s">
        <v>16</v>
      </c>
      <c r="T113" s="5" t="s">
        <v>4</v>
      </c>
      <c r="U113" s="5" t="s">
        <v>56</v>
      </c>
      <c r="V113" s="5">
        <v>13.1</v>
      </c>
      <c r="W113" s="5" t="s">
        <v>8</v>
      </c>
      <c r="X113" s="5" t="s">
        <v>8</v>
      </c>
      <c r="Y113" s="5">
        <v>0.5</v>
      </c>
      <c r="Z113" s="5"/>
      <c r="AA113" s="5" t="s">
        <v>100</v>
      </c>
      <c r="AB113" s="6"/>
    </row>
    <row r="114" spans="1:28" ht="16" x14ac:dyDescent="0.2">
      <c r="A114" s="4">
        <v>45800</v>
      </c>
      <c r="B114" s="19">
        <v>25143</v>
      </c>
      <c r="C114" s="5" t="s">
        <v>20</v>
      </c>
      <c r="D114" s="5" t="s">
        <v>101</v>
      </c>
      <c r="E114" s="15">
        <v>41.5780583333</v>
      </c>
      <c r="F114" s="15">
        <v>-75.707727777800002</v>
      </c>
      <c r="G114" s="5" t="s">
        <v>102</v>
      </c>
      <c r="H114" s="5">
        <v>50.3</v>
      </c>
      <c r="I114" s="5">
        <v>91</v>
      </c>
      <c r="J114" s="5">
        <v>55.5</v>
      </c>
      <c r="K114" s="5">
        <v>84.4</v>
      </c>
      <c r="L114" s="10">
        <v>0.40694444444444444</v>
      </c>
      <c r="M114" s="10">
        <v>0.63541666666666663</v>
      </c>
      <c r="N114" s="11">
        <f t="shared" si="82"/>
        <v>99.84</v>
      </c>
      <c r="O114" s="11">
        <f t="shared" ref="O114:P114" si="85">AVERAGE(96,96,96,96)*1.04</f>
        <v>99.84</v>
      </c>
      <c r="P114" s="11">
        <f t="shared" si="85"/>
        <v>99.84</v>
      </c>
      <c r="Q114" s="11">
        <f t="shared" si="1"/>
        <v>99.839999999999989</v>
      </c>
      <c r="R114" s="5">
        <v>1</v>
      </c>
      <c r="S114" s="5" t="s">
        <v>15</v>
      </c>
      <c r="T114" s="5" t="s">
        <v>9</v>
      </c>
      <c r="U114" s="5" t="s">
        <v>62</v>
      </c>
      <c r="V114" s="5">
        <v>10.7</v>
      </c>
      <c r="W114" s="5">
        <v>5.4</v>
      </c>
      <c r="X114" s="5">
        <v>80</v>
      </c>
      <c r="Y114" s="5">
        <v>2</v>
      </c>
      <c r="Z114" s="6"/>
      <c r="AA114" s="6"/>
      <c r="AB114" s="6"/>
    </row>
    <row r="115" spans="1:28" ht="16" x14ac:dyDescent="0.2">
      <c r="A115" s="4">
        <v>45800</v>
      </c>
      <c r="B115" s="19">
        <v>25143</v>
      </c>
      <c r="C115" s="5" t="s">
        <v>20</v>
      </c>
      <c r="D115" s="6"/>
      <c r="E115" s="15">
        <v>41.5780583333</v>
      </c>
      <c r="F115" s="15">
        <v>-75.707727777800002</v>
      </c>
      <c r="G115" s="5" t="s">
        <v>102</v>
      </c>
      <c r="H115" s="5">
        <v>50.3</v>
      </c>
      <c r="I115" s="5">
        <v>91</v>
      </c>
      <c r="J115" s="5">
        <v>55.5</v>
      </c>
      <c r="K115" s="5">
        <v>84.4</v>
      </c>
      <c r="L115" s="10">
        <v>0.40694444444444444</v>
      </c>
      <c r="M115" s="10">
        <v>0.63541666666666663</v>
      </c>
      <c r="N115" s="11">
        <f t="shared" si="82"/>
        <v>99.84</v>
      </c>
      <c r="O115" s="11">
        <f t="shared" ref="O115:P115" si="86">AVERAGE(96,96,96,96)*1.04</f>
        <v>99.84</v>
      </c>
      <c r="P115" s="11">
        <f t="shared" si="86"/>
        <v>99.84</v>
      </c>
      <c r="Q115" s="11">
        <f t="shared" si="1"/>
        <v>99.839999999999989</v>
      </c>
      <c r="R115" s="5">
        <v>1</v>
      </c>
      <c r="S115" s="5" t="s">
        <v>15</v>
      </c>
      <c r="T115" s="5" t="s">
        <v>9</v>
      </c>
      <c r="U115" s="5" t="s">
        <v>55</v>
      </c>
      <c r="V115" s="5">
        <v>10.8</v>
      </c>
      <c r="W115" s="5">
        <v>5.7</v>
      </c>
      <c r="X115" s="5">
        <v>80</v>
      </c>
      <c r="Y115" s="5">
        <v>4</v>
      </c>
      <c r="Z115" s="6"/>
      <c r="AA115" s="6"/>
      <c r="AB115" s="6"/>
    </row>
    <row r="116" spans="1:28" ht="16" x14ac:dyDescent="0.2">
      <c r="A116" s="4">
        <v>45800</v>
      </c>
      <c r="B116" s="19">
        <v>25143</v>
      </c>
      <c r="C116" s="5" t="s">
        <v>20</v>
      </c>
      <c r="D116" s="6"/>
      <c r="E116" s="15">
        <v>41.5780583333</v>
      </c>
      <c r="F116" s="15">
        <v>-75.707727777800002</v>
      </c>
      <c r="G116" s="5" t="s">
        <v>102</v>
      </c>
      <c r="H116" s="5">
        <v>50.3</v>
      </c>
      <c r="I116" s="5">
        <v>91</v>
      </c>
      <c r="J116" s="5">
        <v>55.5</v>
      </c>
      <c r="K116" s="5">
        <v>84.4</v>
      </c>
      <c r="L116" s="10">
        <v>0.40694444444444444</v>
      </c>
      <c r="M116" s="10">
        <v>0.63541666666666663</v>
      </c>
      <c r="N116" s="11">
        <f t="shared" si="82"/>
        <v>99.84</v>
      </c>
      <c r="O116" s="11">
        <f t="shared" ref="O116:P116" si="87">AVERAGE(96,96,96,96)*1.04</f>
        <v>99.84</v>
      </c>
      <c r="P116" s="11">
        <f t="shared" si="87"/>
        <v>99.84</v>
      </c>
      <c r="Q116" s="11">
        <f t="shared" si="1"/>
        <v>99.839999999999989</v>
      </c>
      <c r="R116" s="5">
        <v>1</v>
      </c>
      <c r="S116" s="5" t="s">
        <v>15</v>
      </c>
      <c r="T116" s="5" t="s">
        <v>9</v>
      </c>
      <c r="U116" s="5" t="s">
        <v>56</v>
      </c>
      <c r="V116" s="5">
        <v>10</v>
      </c>
      <c r="W116" s="5" t="s">
        <v>8</v>
      </c>
      <c r="X116" s="5" t="s">
        <v>8</v>
      </c>
      <c r="Y116" s="5">
        <v>2</v>
      </c>
      <c r="Z116" s="5"/>
      <c r="AA116" s="5" t="s">
        <v>103</v>
      </c>
      <c r="AB116" s="6"/>
    </row>
    <row r="117" spans="1:28" ht="16" x14ac:dyDescent="0.2">
      <c r="A117" s="4">
        <v>45800</v>
      </c>
      <c r="B117" s="19">
        <v>25143</v>
      </c>
      <c r="C117" s="5" t="s">
        <v>20</v>
      </c>
      <c r="D117" s="6"/>
      <c r="E117" s="15">
        <v>41.5780583333</v>
      </c>
      <c r="F117" s="15">
        <v>-75.707727777800002</v>
      </c>
      <c r="G117" s="5" t="s">
        <v>102</v>
      </c>
      <c r="H117" s="5">
        <v>50.3</v>
      </c>
      <c r="I117" s="5">
        <v>91</v>
      </c>
      <c r="J117" s="5">
        <v>55.5</v>
      </c>
      <c r="K117" s="5">
        <v>84.4</v>
      </c>
      <c r="L117" s="10">
        <v>0.40694444444444444</v>
      </c>
      <c r="M117" s="10">
        <v>0.63541666666666663</v>
      </c>
      <c r="N117" s="11">
        <f t="shared" si="82"/>
        <v>99.84</v>
      </c>
      <c r="O117" s="11">
        <f t="shared" ref="O117:P117" si="88">AVERAGE(96,96,96,96)*1.04</f>
        <v>99.84</v>
      </c>
      <c r="P117" s="11">
        <f t="shared" si="88"/>
        <v>99.84</v>
      </c>
      <c r="Q117" s="11">
        <f t="shared" si="1"/>
        <v>99.839999999999989</v>
      </c>
      <c r="R117" s="5">
        <v>1</v>
      </c>
      <c r="S117" s="5" t="s">
        <v>16</v>
      </c>
      <c r="T117" s="5" t="s">
        <v>9</v>
      </c>
      <c r="U117" s="5" t="s">
        <v>56</v>
      </c>
      <c r="V117" s="5">
        <v>9.9</v>
      </c>
      <c r="W117" s="5">
        <v>5.3</v>
      </c>
      <c r="X117" s="5">
        <v>60</v>
      </c>
      <c r="Y117" s="5">
        <v>1.5</v>
      </c>
      <c r="Z117" s="6"/>
      <c r="AA117" s="6"/>
      <c r="AB117" s="6"/>
    </row>
    <row r="118" spans="1:28" ht="16" x14ac:dyDescent="0.2">
      <c r="A118" s="4">
        <v>45800</v>
      </c>
      <c r="B118" s="19">
        <v>25143</v>
      </c>
      <c r="C118" s="5" t="s">
        <v>20</v>
      </c>
      <c r="D118" s="6"/>
      <c r="E118" s="15">
        <v>41.5780583333</v>
      </c>
      <c r="F118" s="15">
        <v>-75.707727777800002</v>
      </c>
      <c r="G118" s="5" t="s">
        <v>102</v>
      </c>
      <c r="H118" s="5">
        <v>50.3</v>
      </c>
      <c r="I118" s="5">
        <v>91</v>
      </c>
      <c r="J118" s="5">
        <v>55.5</v>
      </c>
      <c r="K118" s="5">
        <v>84.4</v>
      </c>
      <c r="L118" s="10">
        <v>0.40694444444444444</v>
      </c>
      <c r="M118" s="10">
        <v>0.63541666666666663</v>
      </c>
      <c r="N118" s="11">
        <f t="shared" si="82"/>
        <v>99.84</v>
      </c>
      <c r="O118" s="11">
        <f t="shared" ref="O118:P118" si="89">AVERAGE(96,96,96,96)*1.04</f>
        <v>99.84</v>
      </c>
      <c r="P118" s="11">
        <f t="shared" si="89"/>
        <v>99.84</v>
      </c>
      <c r="Q118" s="11">
        <f t="shared" si="1"/>
        <v>99.839999999999989</v>
      </c>
      <c r="R118" s="5">
        <v>1</v>
      </c>
      <c r="S118" s="5" t="s">
        <v>16</v>
      </c>
      <c r="T118" s="5" t="s">
        <v>9</v>
      </c>
      <c r="U118" s="5" t="s">
        <v>56</v>
      </c>
      <c r="V118" s="5">
        <v>10.199999999999999</v>
      </c>
      <c r="W118" s="5">
        <v>5.9</v>
      </c>
      <c r="X118" s="5">
        <v>55</v>
      </c>
      <c r="Y118" s="5">
        <v>0.5</v>
      </c>
      <c r="Z118" s="6"/>
      <c r="AA118" s="6"/>
      <c r="AB118" s="6"/>
    </row>
    <row r="119" spans="1:28" ht="16" x14ac:dyDescent="0.2">
      <c r="A119" s="4">
        <v>45800</v>
      </c>
      <c r="B119" s="19">
        <v>25143</v>
      </c>
      <c r="C119" s="5" t="s">
        <v>20</v>
      </c>
      <c r="D119" s="6"/>
      <c r="E119" s="15">
        <v>41.5780583333</v>
      </c>
      <c r="F119" s="15">
        <v>-75.707727777800002</v>
      </c>
      <c r="G119" s="5" t="s">
        <v>102</v>
      </c>
      <c r="H119" s="5">
        <v>50.3</v>
      </c>
      <c r="I119" s="5">
        <v>91</v>
      </c>
      <c r="J119" s="5">
        <v>55.5</v>
      </c>
      <c r="K119" s="5">
        <v>84.4</v>
      </c>
      <c r="L119" s="10">
        <v>0.40694444444444444</v>
      </c>
      <c r="M119" s="10">
        <v>0.63541666666666663</v>
      </c>
      <c r="N119" s="11">
        <f t="shared" si="82"/>
        <v>99.84</v>
      </c>
      <c r="O119" s="11">
        <f t="shared" ref="O119:P119" si="90">AVERAGE(96,96,96,96)*1.04</f>
        <v>99.84</v>
      </c>
      <c r="P119" s="11">
        <f t="shared" si="90"/>
        <v>99.84</v>
      </c>
      <c r="Q119" s="11">
        <f t="shared" si="1"/>
        <v>99.839999999999989</v>
      </c>
      <c r="R119" s="5">
        <v>1</v>
      </c>
      <c r="S119" s="5" t="s">
        <v>16</v>
      </c>
      <c r="T119" s="5" t="s">
        <v>9</v>
      </c>
      <c r="U119" s="5" t="s">
        <v>62</v>
      </c>
      <c r="V119" s="5">
        <v>10.199999999999999</v>
      </c>
      <c r="W119" s="5">
        <v>6</v>
      </c>
      <c r="X119" s="5">
        <v>50</v>
      </c>
      <c r="Y119" s="5">
        <v>2</v>
      </c>
      <c r="Z119" s="6"/>
      <c r="AA119" s="6"/>
      <c r="AB119" s="6"/>
    </row>
    <row r="120" spans="1:28" ht="16" x14ac:dyDescent="0.2">
      <c r="A120" s="4">
        <v>45800</v>
      </c>
      <c r="B120" s="19">
        <v>25143</v>
      </c>
      <c r="C120" s="5" t="s">
        <v>20</v>
      </c>
      <c r="D120" s="6"/>
      <c r="E120" s="15">
        <v>41.5780583333</v>
      </c>
      <c r="F120" s="15">
        <v>-75.707727777800002</v>
      </c>
      <c r="G120" s="5" t="s">
        <v>102</v>
      </c>
      <c r="H120" s="5">
        <v>50.3</v>
      </c>
      <c r="I120" s="5">
        <v>91</v>
      </c>
      <c r="J120" s="5">
        <v>55.5</v>
      </c>
      <c r="K120" s="5">
        <v>84.4</v>
      </c>
      <c r="L120" s="10">
        <v>0.40694444444444444</v>
      </c>
      <c r="M120" s="10">
        <v>0.63541666666666663</v>
      </c>
      <c r="N120" s="11">
        <f t="shared" si="82"/>
        <v>99.84</v>
      </c>
      <c r="O120" s="11">
        <f t="shared" ref="O120:P120" si="91">AVERAGE(96,96,96,96)*1.04</f>
        <v>99.84</v>
      </c>
      <c r="P120" s="11">
        <f t="shared" si="91"/>
        <v>99.84</v>
      </c>
      <c r="Q120" s="11">
        <f t="shared" si="1"/>
        <v>99.839999999999989</v>
      </c>
      <c r="R120" s="5">
        <v>1</v>
      </c>
      <c r="S120" s="5" t="s">
        <v>14</v>
      </c>
      <c r="T120" s="5" t="s">
        <v>9</v>
      </c>
      <c r="U120" s="5" t="s">
        <v>62</v>
      </c>
      <c r="V120" s="5">
        <v>10.5</v>
      </c>
      <c r="W120" s="5">
        <v>6.3</v>
      </c>
      <c r="X120" s="5">
        <v>34</v>
      </c>
      <c r="Y120" s="5">
        <v>2.5</v>
      </c>
      <c r="Z120" s="6"/>
      <c r="AA120" s="6"/>
      <c r="AB120" s="6"/>
    </row>
    <row r="121" spans="1:28" ht="16" x14ac:dyDescent="0.2">
      <c r="A121" s="4">
        <v>45800</v>
      </c>
      <c r="B121" s="19">
        <v>25143</v>
      </c>
      <c r="C121" s="5" t="s">
        <v>20</v>
      </c>
      <c r="D121" s="6"/>
      <c r="E121" s="15">
        <v>41.5780583333</v>
      </c>
      <c r="F121" s="15">
        <v>-75.707727777800002</v>
      </c>
      <c r="G121" s="5" t="s">
        <v>102</v>
      </c>
      <c r="H121" s="5">
        <v>50.3</v>
      </c>
      <c r="I121" s="5">
        <v>91</v>
      </c>
      <c r="J121" s="5">
        <v>55.5</v>
      </c>
      <c r="K121" s="5">
        <v>84.4</v>
      </c>
      <c r="L121" s="10">
        <v>0.40694444444444444</v>
      </c>
      <c r="M121" s="10">
        <v>0.63541666666666663</v>
      </c>
      <c r="N121" s="11">
        <f t="shared" si="82"/>
        <v>99.84</v>
      </c>
      <c r="O121" s="11">
        <f t="shared" ref="O121:P121" si="92">AVERAGE(96,96,96,96)*1.04</f>
        <v>99.84</v>
      </c>
      <c r="P121" s="11">
        <f t="shared" si="92"/>
        <v>99.84</v>
      </c>
      <c r="Q121" s="11">
        <f t="shared" si="1"/>
        <v>99.839999999999989</v>
      </c>
      <c r="R121" s="5">
        <v>1</v>
      </c>
      <c r="S121" s="5" t="s">
        <v>14</v>
      </c>
      <c r="T121" s="5" t="s">
        <v>9</v>
      </c>
      <c r="U121" s="5" t="s">
        <v>62</v>
      </c>
      <c r="V121" s="5">
        <v>11.2</v>
      </c>
      <c r="W121" s="5">
        <v>5.6</v>
      </c>
      <c r="X121" s="5">
        <v>55</v>
      </c>
      <c r="Y121" s="5">
        <v>2</v>
      </c>
      <c r="Z121" s="6"/>
      <c r="AA121" s="6"/>
      <c r="AB121" s="6"/>
    </row>
    <row r="122" spans="1:28" ht="16" x14ac:dyDescent="0.2">
      <c r="A122" s="4">
        <v>45800</v>
      </c>
      <c r="B122" s="19">
        <v>25143</v>
      </c>
      <c r="C122" s="5" t="s">
        <v>20</v>
      </c>
      <c r="D122" s="6"/>
      <c r="E122" s="15">
        <v>41.5780583333</v>
      </c>
      <c r="F122" s="15">
        <v>-75.707727777800002</v>
      </c>
      <c r="G122" s="5" t="s">
        <v>102</v>
      </c>
      <c r="H122" s="5">
        <v>50.3</v>
      </c>
      <c r="I122" s="5">
        <v>91</v>
      </c>
      <c r="J122" s="5">
        <v>55.5</v>
      </c>
      <c r="K122" s="5">
        <v>84.4</v>
      </c>
      <c r="L122" s="10">
        <v>0.40694444444444444</v>
      </c>
      <c r="M122" s="10">
        <v>0.63541666666666663</v>
      </c>
      <c r="N122" s="11">
        <f t="shared" si="82"/>
        <v>99.84</v>
      </c>
      <c r="O122" s="11">
        <f t="shared" ref="O122:P122" si="93">AVERAGE(96,96,96,96)*1.04</f>
        <v>99.84</v>
      </c>
      <c r="P122" s="11">
        <f t="shared" si="93"/>
        <v>99.84</v>
      </c>
      <c r="Q122" s="11">
        <f t="shared" si="1"/>
        <v>99.839999999999989</v>
      </c>
      <c r="R122" s="5">
        <v>1</v>
      </c>
      <c r="S122" s="5" t="s">
        <v>14</v>
      </c>
      <c r="T122" s="5" t="s">
        <v>9</v>
      </c>
      <c r="U122" s="5" t="s">
        <v>55</v>
      </c>
      <c r="V122" s="5">
        <v>10</v>
      </c>
      <c r="W122" s="5">
        <v>6</v>
      </c>
      <c r="X122" s="5">
        <v>30</v>
      </c>
      <c r="Y122" s="5">
        <v>2.5</v>
      </c>
      <c r="Z122" s="6"/>
      <c r="AA122" s="6"/>
      <c r="AB122" s="6"/>
    </row>
    <row r="123" spans="1:28" ht="16" x14ac:dyDescent="0.2">
      <c r="A123" s="4">
        <v>45800</v>
      </c>
      <c r="B123" s="19">
        <v>25143</v>
      </c>
      <c r="C123" s="5" t="s">
        <v>20</v>
      </c>
      <c r="D123" s="6"/>
      <c r="E123" s="15">
        <v>41.5780583333</v>
      </c>
      <c r="F123" s="15">
        <v>-75.707727777800002</v>
      </c>
      <c r="G123" s="5" t="s">
        <v>102</v>
      </c>
      <c r="H123" s="5">
        <v>50.3</v>
      </c>
      <c r="I123" s="5">
        <v>91</v>
      </c>
      <c r="J123" s="5">
        <v>55.5</v>
      </c>
      <c r="K123" s="5">
        <v>84.4</v>
      </c>
      <c r="L123" s="10">
        <v>0.40694444444444444</v>
      </c>
      <c r="M123" s="10">
        <v>0.63541666666666663</v>
      </c>
      <c r="N123" s="11">
        <f t="shared" si="82"/>
        <v>99.84</v>
      </c>
      <c r="O123" s="11">
        <f t="shared" ref="O123:P123" si="94">AVERAGE(96,96,96,96)*1.04</f>
        <v>99.84</v>
      </c>
      <c r="P123" s="11">
        <f t="shared" si="94"/>
        <v>99.84</v>
      </c>
      <c r="Q123" s="11">
        <f t="shared" si="1"/>
        <v>99.839999999999989</v>
      </c>
      <c r="R123" s="5">
        <v>1</v>
      </c>
      <c r="S123" s="5">
        <v>5.8</v>
      </c>
      <c r="T123" s="5" t="s">
        <v>4</v>
      </c>
      <c r="U123" s="5" t="s">
        <v>62</v>
      </c>
      <c r="V123" s="5">
        <v>11.2</v>
      </c>
      <c r="W123" s="5">
        <v>5.6</v>
      </c>
      <c r="X123" s="5">
        <v>70</v>
      </c>
      <c r="Y123" s="5">
        <v>1.5</v>
      </c>
      <c r="Z123" s="6"/>
      <c r="AA123" s="6"/>
      <c r="AB123" s="6"/>
    </row>
    <row r="124" spans="1:28" ht="16" x14ac:dyDescent="0.2">
      <c r="A124" s="4">
        <v>45800</v>
      </c>
      <c r="B124" s="19">
        <v>25143</v>
      </c>
      <c r="C124" s="5" t="s">
        <v>20</v>
      </c>
      <c r="D124" s="6"/>
      <c r="E124" s="15">
        <v>41.5780583333</v>
      </c>
      <c r="F124" s="15">
        <v>-75.707727777800002</v>
      </c>
      <c r="G124" s="5" t="s">
        <v>102</v>
      </c>
      <c r="H124" s="5">
        <v>50.3</v>
      </c>
      <c r="I124" s="5">
        <v>91</v>
      </c>
      <c r="J124" s="5">
        <v>55.5</v>
      </c>
      <c r="K124" s="5">
        <v>84.4</v>
      </c>
      <c r="L124" s="10">
        <v>0.40694444444444444</v>
      </c>
      <c r="M124" s="10">
        <v>0.63541666666666663</v>
      </c>
      <c r="N124" s="11">
        <f t="shared" si="82"/>
        <v>99.84</v>
      </c>
      <c r="O124" s="11">
        <f t="shared" ref="O124:P124" si="95">AVERAGE(96,96,96,96)*1.04</f>
        <v>99.84</v>
      </c>
      <c r="P124" s="11">
        <f t="shared" si="95"/>
        <v>99.84</v>
      </c>
      <c r="Q124" s="11">
        <f t="shared" si="1"/>
        <v>99.839999999999989</v>
      </c>
      <c r="R124" s="5">
        <v>2</v>
      </c>
      <c r="S124" s="5">
        <v>6.5</v>
      </c>
      <c r="T124" s="5" t="s">
        <v>4</v>
      </c>
      <c r="U124" s="5" t="s">
        <v>56</v>
      </c>
      <c r="V124" s="5">
        <v>11.6</v>
      </c>
      <c r="W124" s="5">
        <v>5.5</v>
      </c>
      <c r="X124" s="5">
        <v>70</v>
      </c>
      <c r="Y124" s="5">
        <v>2.5</v>
      </c>
      <c r="Z124" s="6"/>
      <c r="AA124" s="6"/>
      <c r="AB124" s="6"/>
    </row>
    <row r="125" spans="1:28" ht="16" x14ac:dyDescent="0.2">
      <c r="A125" s="4">
        <v>45800</v>
      </c>
      <c r="B125" s="19">
        <v>25143</v>
      </c>
      <c r="C125" s="5" t="s">
        <v>20</v>
      </c>
      <c r="D125" s="6"/>
      <c r="E125" s="15">
        <v>41.5780583333</v>
      </c>
      <c r="F125" s="15">
        <v>-75.707727777800002</v>
      </c>
      <c r="G125" s="5" t="s">
        <v>102</v>
      </c>
      <c r="H125" s="5">
        <v>50.3</v>
      </c>
      <c r="I125" s="5">
        <v>91</v>
      </c>
      <c r="J125" s="5">
        <v>55.5</v>
      </c>
      <c r="K125" s="5">
        <v>84.4</v>
      </c>
      <c r="L125" s="10">
        <v>0.40694444444444444</v>
      </c>
      <c r="M125" s="10">
        <v>0.63541666666666663</v>
      </c>
      <c r="N125" s="11">
        <f t="shared" si="82"/>
        <v>99.84</v>
      </c>
      <c r="O125" s="11">
        <f t="shared" ref="O125:P125" si="96">AVERAGE(96,96,96,96)*1.04</f>
        <v>99.84</v>
      </c>
      <c r="P125" s="11">
        <f t="shared" si="96"/>
        <v>99.84</v>
      </c>
      <c r="Q125" s="11">
        <f t="shared" si="1"/>
        <v>99.839999999999989</v>
      </c>
      <c r="R125" s="5">
        <v>2</v>
      </c>
      <c r="S125" s="5" t="s">
        <v>15</v>
      </c>
      <c r="T125" s="5" t="s">
        <v>9</v>
      </c>
      <c r="U125" s="5" t="s">
        <v>55</v>
      </c>
      <c r="V125" s="5">
        <v>11.3</v>
      </c>
      <c r="W125" s="5">
        <v>5.3</v>
      </c>
      <c r="X125" s="5">
        <v>75</v>
      </c>
      <c r="Y125" s="5">
        <v>1.5</v>
      </c>
      <c r="Z125" s="5"/>
      <c r="AA125" s="5" t="s">
        <v>104</v>
      </c>
      <c r="AB125" s="6"/>
    </row>
    <row r="126" spans="1:28" ht="16" x14ac:dyDescent="0.2">
      <c r="A126" s="4">
        <v>45800</v>
      </c>
      <c r="B126" s="19">
        <v>25143</v>
      </c>
      <c r="C126" s="5" t="s">
        <v>20</v>
      </c>
      <c r="D126" s="6"/>
      <c r="E126" s="15">
        <v>41.5780583333</v>
      </c>
      <c r="F126" s="15">
        <v>-75.707727777800002</v>
      </c>
      <c r="G126" s="5" t="s">
        <v>102</v>
      </c>
      <c r="H126" s="5">
        <v>50.3</v>
      </c>
      <c r="I126" s="5">
        <v>91</v>
      </c>
      <c r="J126" s="5">
        <v>55.5</v>
      </c>
      <c r="K126" s="5">
        <v>84.4</v>
      </c>
      <c r="L126" s="10">
        <v>0.40694444444444444</v>
      </c>
      <c r="M126" s="10">
        <v>0.63541666666666663</v>
      </c>
      <c r="N126" s="11">
        <f t="shared" si="82"/>
        <v>99.84</v>
      </c>
      <c r="O126" s="11">
        <f t="shared" ref="O126:P126" si="97">AVERAGE(96,96,96,96)*1.04</f>
        <v>99.84</v>
      </c>
      <c r="P126" s="11">
        <f t="shared" si="97"/>
        <v>99.84</v>
      </c>
      <c r="Q126" s="11">
        <f t="shared" si="1"/>
        <v>99.839999999999989</v>
      </c>
      <c r="R126" s="5">
        <v>2</v>
      </c>
      <c r="S126" s="5" t="s">
        <v>15</v>
      </c>
      <c r="T126" s="5" t="s">
        <v>9</v>
      </c>
      <c r="U126" s="5" t="s">
        <v>62</v>
      </c>
      <c r="V126" s="5">
        <v>11.3</v>
      </c>
      <c r="W126" s="5">
        <v>6.4</v>
      </c>
      <c r="X126" s="5">
        <v>25</v>
      </c>
      <c r="Y126" s="5">
        <v>1.5</v>
      </c>
      <c r="Z126" s="6"/>
      <c r="AA126" s="6"/>
      <c r="AB126" s="6"/>
    </row>
    <row r="127" spans="1:28" ht="16" x14ac:dyDescent="0.2">
      <c r="A127" s="4">
        <v>45800</v>
      </c>
      <c r="B127" s="19">
        <v>25143</v>
      </c>
      <c r="C127" s="5" t="s">
        <v>20</v>
      </c>
      <c r="D127" s="6"/>
      <c r="E127" s="15">
        <v>41.5780583333</v>
      </c>
      <c r="F127" s="15">
        <v>-75.707727777800002</v>
      </c>
      <c r="G127" s="5" t="s">
        <v>102</v>
      </c>
      <c r="H127" s="5">
        <v>50.3</v>
      </c>
      <c r="I127" s="5">
        <v>91</v>
      </c>
      <c r="J127" s="5">
        <v>55.5</v>
      </c>
      <c r="K127" s="5">
        <v>84.4</v>
      </c>
      <c r="L127" s="10">
        <v>0.40694444444444444</v>
      </c>
      <c r="M127" s="10">
        <v>0.63541666666666663</v>
      </c>
      <c r="N127" s="11">
        <f t="shared" si="82"/>
        <v>99.84</v>
      </c>
      <c r="O127" s="11">
        <f t="shared" ref="O127:P127" si="98">AVERAGE(96,96,96,96)*1.04</f>
        <v>99.84</v>
      </c>
      <c r="P127" s="11">
        <f t="shared" si="98"/>
        <v>99.84</v>
      </c>
      <c r="Q127" s="11">
        <f t="shared" si="1"/>
        <v>99.839999999999989</v>
      </c>
      <c r="R127" s="5">
        <v>2</v>
      </c>
      <c r="S127" s="5" t="s">
        <v>15</v>
      </c>
      <c r="T127" s="5" t="s">
        <v>9</v>
      </c>
      <c r="U127" s="5" t="s">
        <v>62</v>
      </c>
      <c r="V127" s="5">
        <v>11.8</v>
      </c>
      <c r="W127" s="5">
        <v>5</v>
      </c>
      <c r="X127" s="5">
        <v>32</v>
      </c>
      <c r="Y127" s="5">
        <v>2.5</v>
      </c>
      <c r="Z127" s="6"/>
      <c r="AA127" s="6"/>
      <c r="AB127" s="6"/>
    </row>
    <row r="128" spans="1:28" ht="16" x14ac:dyDescent="0.2">
      <c r="A128" s="4">
        <v>45800</v>
      </c>
      <c r="B128" s="19">
        <v>25143</v>
      </c>
      <c r="C128" s="5" t="s">
        <v>20</v>
      </c>
      <c r="D128" s="6"/>
      <c r="E128" s="15">
        <v>41.5780583333</v>
      </c>
      <c r="F128" s="15">
        <v>-75.707727777800002</v>
      </c>
      <c r="G128" s="5" t="s">
        <v>102</v>
      </c>
      <c r="H128" s="5">
        <v>50.3</v>
      </c>
      <c r="I128" s="5">
        <v>91</v>
      </c>
      <c r="J128" s="5">
        <v>55.5</v>
      </c>
      <c r="K128" s="5">
        <v>84.4</v>
      </c>
      <c r="L128" s="10">
        <v>0.40694444444444444</v>
      </c>
      <c r="M128" s="10">
        <v>0.63541666666666663</v>
      </c>
      <c r="N128" s="11">
        <f t="shared" si="82"/>
        <v>99.84</v>
      </c>
      <c r="O128" s="11">
        <f t="shared" ref="O128:P128" si="99">AVERAGE(96,96,96,96)*1.04</f>
        <v>99.84</v>
      </c>
      <c r="P128" s="11">
        <f t="shared" si="99"/>
        <v>99.84</v>
      </c>
      <c r="Q128" s="11">
        <f t="shared" si="1"/>
        <v>99.839999999999989</v>
      </c>
      <c r="R128" s="5">
        <v>2</v>
      </c>
      <c r="S128" s="5" t="s">
        <v>105</v>
      </c>
      <c r="T128" s="5" t="s">
        <v>9</v>
      </c>
      <c r="U128" s="5" t="s">
        <v>62</v>
      </c>
      <c r="V128" s="5">
        <v>10.5</v>
      </c>
      <c r="W128" s="5">
        <v>5.4</v>
      </c>
      <c r="X128" s="5">
        <v>60</v>
      </c>
      <c r="Y128" s="5">
        <v>2</v>
      </c>
      <c r="Z128" s="6"/>
      <c r="AA128" s="6"/>
      <c r="AB128" s="6"/>
    </row>
    <row r="129" spans="1:28" ht="16" x14ac:dyDescent="0.2">
      <c r="A129" s="4">
        <v>45800</v>
      </c>
      <c r="B129" s="19">
        <v>25143</v>
      </c>
      <c r="C129" s="5" t="s">
        <v>20</v>
      </c>
      <c r="D129" s="6"/>
      <c r="E129" s="15">
        <v>41.5780583333</v>
      </c>
      <c r="F129" s="15">
        <v>-75.707727777800002</v>
      </c>
      <c r="G129" s="5" t="s">
        <v>102</v>
      </c>
      <c r="H129" s="5">
        <v>50.3</v>
      </c>
      <c r="I129" s="5">
        <v>91</v>
      </c>
      <c r="J129" s="5">
        <v>55.5</v>
      </c>
      <c r="K129" s="5">
        <v>84.4</v>
      </c>
      <c r="L129" s="10">
        <v>0.40694444444444444</v>
      </c>
      <c r="M129" s="10">
        <v>0.63541666666666663</v>
      </c>
      <c r="N129" s="11">
        <f t="shared" si="82"/>
        <v>99.84</v>
      </c>
      <c r="O129" s="11">
        <f t="shared" ref="O129:P129" si="100">AVERAGE(96,96,96,96)*1.04</f>
        <v>99.84</v>
      </c>
      <c r="P129" s="11">
        <f t="shared" si="100"/>
        <v>99.84</v>
      </c>
      <c r="Q129" s="11">
        <f t="shared" si="1"/>
        <v>99.839999999999989</v>
      </c>
      <c r="R129" s="5">
        <v>2</v>
      </c>
      <c r="S129" s="5">
        <v>23.5</v>
      </c>
      <c r="T129" s="5" t="s">
        <v>4</v>
      </c>
      <c r="U129" s="5" t="s">
        <v>56</v>
      </c>
      <c r="V129" s="5">
        <v>11</v>
      </c>
      <c r="W129" s="5" t="s">
        <v>8</v>
      </c>
      <c r="X129" s="5" t="s">
        <v>8</v>
      </c>
      <c r="Y129" s="5">
        <v>0.5</v>
      </c>
      <c r="Z129" s="5"/>
      <c r="AA129" s="5" t="s">
        <v>58</v>
      </c>
      <c r="AB129" s="6"/>
    </row>
    <row r="130" spans="1:28" ht="16" x14ac:dyDescent="0.2">
      <c r="A130" s="4">
        <v>45800</v>
      </c>
      <c r="B130" s="19">
        <v>25143</v>
      </c>
      <c r="C130" s="5" t="s">
        <v>20</v>
      </c>
      <c r="D130" s="6"/>
      <c r="E130" s="15">
        <v>41.5780583333</v>
      </c>
      <c r="F130" s="15">
        <v>-75.707727777800002</v>
      </c>
      <c r="G130" s="5" t="s">
        <v>102</v>
      </c>
      <c r="H130" s="5">
        <v>50.3</v>
      </c>
      <c r="I130" s="5">
        <v>91</v>
      </c>
      <c r="J130" s="5">
        <v>55.5</v>
      </c>
      <c r="K130" s="5">
        <v>84.4</v>
      </c>
      <c r="L130" s="10">
        <v>0.40694444444444444</v>
      </c>
      <c r="M130" s="10">
        <v>0.63541666666666663</v>
      </c>
      <c r="N130" s="11">
        <f t="shared" si="82"/>
        <v>99.84</v>
      </c>
      <c r="O130" s="11">
        <f t="shared" ref="O130:P130" si="101">AVERAGE(96,96,96,96)*1.04</f>
        <v>99.84</v>
      </c>
      <c r="P130" s="11">
        <f t="shared" si="101"/>
        <v>99.84</v>
      </c>
      <c r="Q130" s="11">
        <f t="shared" si="1"/>
        <v>99.839999999999989</v>
      </c>
      <c r="R130" s="5">
        <v>2</v>
      </c>
      <c r="S130" s="5" t="s">
        <v>105</v>
      </c>
      <c r="T130" s="5" t="s">
        <v>9</v>
      </c>
      <c r="U130" s="5" t="s">
        <v>62</v>
      </c>
      <c r="V130" s="5">
        <v>11</v>
      </c>
      <c r="W130" s="5">
        <v>5.2</v>
      </c>
      <c r="X130" s="5">
        <v>52</v>
      </c>
      <c r="Y130" s="5">
        <v>4</v>
      </c>
      <c r="Z130" s="6"/>
      <c r="AA130" s="6"/>
      <c r="AB130" s="6"/>
    </row>
    <row r="131" spans="1:28" ht="16" x14ac:dyDescent="0.2">
      <c r="A131" s="4">
        <v>45800</v>
      </c>
      <c r="B131" s="19">
        <v>25143</v>
      </c>
      <c r="C131" s="5" t="s">
        <v>20</v>
      </c>
      <c r="D131" s="6"/>
      <c r="E131" s="15">
        <v>41.5780583333</v>
      </c>
      <c r="F131" s="15">
        <v>-75.707727777800002</v>
      </c>
      <c r="G131" s="5" t="s">
        <v>102</v>
      </c>
      <c r="H131" s="5">
        <v>50.3</v>
      </c>
      <c r="I131" s="5">
        <v>91</v>
      </c>
      <c r="J131" s="5">
        <v>55.5</v>
      </c>
      <c r="K131" s="5">
        <v>84.4</v>
      </c>
      <c r="L131" s="10">
        <v>0.40694444444444444</v>
      </c>
      <c r="M131" s="10">
        <v>0.63541666666666663</v>
      </c>
      <c r="N131" s="11">
        <f t="shared" si="82"/>
        <v>99.84</v>
      </c>
      <c r="O131" s="11">
        <f t="shared" ref="O131:P131" si="102">AVERAGE(96,96,96,96)*1.04</f>
        <v>99.84</v>
      </c>
      <c r="P131" s="11">
        <f t="shared" si="102"/>
        <v>99.84</v>
      </c>
      <c r="Q131" s="11">
        <f t="shared" si="1"/>
        <v>99.839999999999989</v>
      </c>
      <c r="R131" s="5">
        <v>2</v>
      </c>
      <c r="S131" s="5" t="s">
        <v>105</v>
      </c>
      <c r="T131" s="5" t="s">
        <v>9</v>
      </c>
      <c r="U131" s="5" t="s">
        <v>62</v>
      </c>
      <c r="V131" s="5">
        <v>10.8</v>
      </c>
      <c r="W131" s="5">
        <v>5.0999999999999996</v>
      </c>
      <c r="X131" s="5">
        <v>85</v>
      </c>
      <c r="Y131" s="5">
        <v>0.3</v>
      </c>
      <c r="Z131" s="6"/>
      <c r="AA131" s="6"/>
      <c r="AB131" s="6"/>
    </row>
    <row r="132" spans="1:28" ht="16" x14ac:dyDescent="0.2">
      <c r="A132" s="4">
        <v>45800</v>
      </c>
      <c r="B132" s="19">
        <v>25143</v>
      </c>
      <c r="C132" s="5" t="s">
        <v>20</v>
      </c>
      <c r="D132" s="6"/>
      <c r="E132" s="15">
        <v>41.5780583333</v>
      </c>
      <c r="F132" s="15">
        <v>-75.707727777800002</v>
      </c>
      <c r="G132" s="5" t="s">
        <v>102</v>
      </c>
      <c r="H132" s="5">
        <v>50.3</v>
      </c>
      <c r="I132" s="5">
        <v>91</v>
      </c>
      <c r="J132" s="5">
        <v>55.5</v>
      </c>
      <c r="K132" s="5">
        <v>84.4</v>
      </c>
      <c r="L132" s="10">
        <v>0.40694444444444444</v>
      </c>
      <c r="M132" s="10">
        <v>0.63541666666666663</v>
      </c>
      <c r="N132" s="11">
        <f t="shared" si="82"/>
        <v>99.84</v>
      </c>
      <c r="O132" s="11">
        <f t="shared" ref="O132:P132" si="103">AVERAGE(96,96,96,96)*1.04</f>
        <v>99.84</v>
      </c>
      <c r="P132" s="11">
        <f t="shared" si="103"/>
        <v>99.84</v>
      </c>
      <c r="Q132" s="11">
        <f t="shared" si="1"/>
        <v>99.839999999999989</v>
      </c>
      <c r="R132" s="5">
        <v>2</v>
      </c>
      <c r="S132" s="5" t="s">
        <v>14</v>
      </c>
      <c r="T132" s="5" t="s">
        <v>9</v>
      </c>
      <c r="U132" s="5" t="s">
        <v>56</v>
      </c>
      <c r="V132" s="5">
        <v>11.6</v>
      </c>
      <c r="W132" s="5" t="s">
        <v>8</v>
      </c>
      <c r="X132" s="5" t="s">
        <v>8</v>
      </c>
      <c r="Y132" s="5">
        <v>1</v>
      </c>
      <c r="Z132" s="5"/>
      <c r="AA132" s="5" t="s">
        <v>106</v>
      </c>
      <c r="AB132" s="6"/>
    </row>
    <row r="133" spans="1:28" ht="16" x14ac:dyDescent="0.2">
      <c r="A133" s="4">
        <v>45800</v>
      </c>
      <c r="B133" s="19">
        <v>25143</v>
      </c>
      <c r="C133" s="5" t="s">
        <v>20</v>
      </c>
      <c r="D133" s="6"/>
      <c r="E133" s="15">
        <v>41.5780583333</v>
      </c>
      <c r="F133" s="15">
        <v>-75.707727777800002</v>
      </c>
      <c r="G133" s="5" t="s">
        <v>102</v>
      </c>
      <c r="H133" s="5">
        <v>50.3</v>
      </c>
      <c r="I133" s="5">
        <v>91</v>
      </c>
      <c r="J133" s="5">
        <v>55.5</v>
      </c>
      <c r="K133" s="5">
        <v>84.4</v>
      </c>
      <c r="L133" s="10">
        <v>0.40694444444444444</v>
      </c>
      <c r="M133" s="10">
        <v>0.63541666666666663</v>
      </c>
      <c r="N133" s="11">
        <f t="shared" si="82"/>
        <v>99.84</v>
      </c>
      <c r="O133" s="11">
        <f t="shared" ref="O133:P133" si="104">AVERAGE(96,96,96,96)*1.04</f>
        <v>99.84</v>
      </c>
      <c r="P133" s="11">
        <f t="shared" si="104"/>
        <v>99.84</v>
      </c>
      <c r="Q133" s="11">
        <f t="shared" si="1"/>
        <v>99.839999999999989</v>
      </c>
      <c r="R133" s="5">
        <v>2</v>
      </c>
      <c r="S133" s="5" t="s">
        <v>14</v>
      </c>
      <c r="T133" s="5" t="s">
        <v>9</v>
      </c>
      <c r="U133" s="5" t="s">
        <v>56</v>
      </c>
      <c r="V133" s="5">
        <v>11.5</v>
      </c>
      <c r="W133" s="5">
        <v>6.5</v>
      </c>
      <c r="X133" s="5">
        <v>33</v>
      </c>
      <c r="Y133" s="5">
        <v>0.5</v>
      </c>
      <c r="Z133" s="6"/>
      <c r="AA133" s="6"/>
      <c r="AB133" s="6"/>
    </row>
    <row r="134" spans="1:28" ht="16" x14ac:dyDescent="0.2">
      <c r="A134" s="4">
        <v>45800</v>
      </c>
      <c r="B134" s="19">
        <v>25143</v>
      </c>
      <c r="C134" s="5" t="s">
        <v>20</v>
      </c>
      <c r="D134" s="6"/>
      <c r="E134" s="15">
        <v>41.5780583333</v>
      </c>
      <c r="F134" s="15">
        <v>-75.707727777800002</v>
      </c>
      <c r="G134" s="5" t="s">
        <v>102</v>
      </c>
      <c r="H134" s="5">
        <v>50.3</v>
      </c>
      <c r="I134" s="5">
        <v>91</v>
      </c>
      <c r="J134" s="5">
        <v>55.5</v>
      </c>
      <c r="K134" s="5">
        <v>84.4</v>
      </c>
      <c r="L134" s="10">
        <v>0.40694444444444444</v>
      </c>
      <c r="M134" s="10">
        <v>0.63541666666666663</v>
      </c>
      <c r="N134" s="11">
        <f t="shared" si="82"/>
        <v>99.84</v>
      </c>
      <c r="O134" s="11">
        <f t="shared" ref="O134:P134" si="105">AVERAGE(96,96,96,96)*1.04</f>
        <v>99.84</v>
      </c>
      <c r="P134" s="11">
        <f t="shared" si="105"/>
        <v>99.84</v>
      </c>
      <c r="Q134" s="11">
        <f t="shared" si="1"/>
        <v>99.839999999999989</v>
      </c>
      <c r="R134" s="5">
        <v>2</v>
      </c>
      <c r="S134" s="5" t="s">
        <v>14</v>
      </c>
      <c r="T134" s="5" t="s">
        <v>9</v>
      </c>
      <c r="U134" s="5" t="s">
        <v>55</v>
      </c>
      <c r="V134" s="5">
        <v>12.7</v>
      </c>
      <c r="W134" s="5">
        <v>5.6</v>
      </c>
      <c r="X134" s="5">
        <v>60</v>
      </c>
      <c r="Y134" s="5">
        <v>2</v>
      </c>
      <c r="Z134" s="6"/>
      <c r="AA134" s="6"/>
      <c r="AB134" s="6"/>
    </row>
    <row r="135" spans="1:28" ht="16" x14ac:dyDescent="0.2">
      <c r="A135" s="4">
        <v>45800</v>
      </c>
      <c r="B135" s="19">
        <v>25143</v>
      </c>
      <c r="C135" s="5" t="s">
        <v>20</v>
      </c>
      <c r="D135" s="6"/>
      <c r="E135" s="15">
        <v>41.5780583333</v>
      </c>
      <c r="F135" s="15">
        <v>-75.707727777800002</v>
      </c>
      <c r="G135" s="5" t="s">
        <v>102</v>
      </c>
      <c r="H135" s="5">
        <v>50.3</v>
      </c>
      <c r="I135" s="5">
        <v>91</v>
      </c>
      <c r="J135" s="5">
        <v>55.5</v>
      </c>
      <c r="K135" s="5">
        <v>84.4</v>
      </c>
      <c r="L135" s="10">
        <v>0.40694444444444444</v>
      </c>
      <c r="M135" s="10">
        <v>0.63541666666666663</v>
      </c>
      <c r="N135" s="11">
        <f t="shared" si="82"/>
        <v>99.84</v>
      </c>
      <c r="O135" s="11">
        <f t="shared" ref="O135:P135" si="106">AVERAGE(96,96,96,96)*1.04</f>
        <v>99.84</v>
      </c>
      <c r="P135" s="11">
        <f t="shared" si="106"/>
        <v>99.84</v>
      </c>
      <c r="Q135" s="11">
        <f t="shared" si="1"/>
        <v>99.839999999999989</v>
      </c>
      <c r="R135" s="5">
        <v>3</v>
      </c>
      <c r="S135" s="5" t="s">
        <v>15</v>
      </c>
      <c r="T135" s="5" t="s">
        <v>9</v>
      </c>
      <c r="U135" s="5" t="s">
        <v>62</v>
      </c>
      <c r="V135" s="5">
        <v>12.4</v>
      </c>
      <c r="W135" s="5">
        <v>5.6</v>
      </c>
      <c r="X135" s="5">
        <v>55</v>
      </c>
      <c r="Y135" s="5">
        <v>2</v>
      </c>
      <c r="Z135" s="6"/>
      <c r="AA135" s="6"/>
      <c r="AB135" s="6"/>
    </row>
    <row r="136" spans="1:28" ht="16" x14ac:dyDescent="0.2">
      <c r="A136" s="4">
        <v>45800</v>
      </c>
      <c r="B136" s="19">
        <v>25143</v>
      </c>
      <c r="C136" s="5" t="s">
        <v>20</v>
      </c>
      <c r="D136" s="6"/>
      <c r="E136" s="15">
        <v>41.5780583333</v>
      </c>
      <c r="F136" s="15">
        <v>-75.707727777800002</v>
      </c>
      <c r="G136" s="5" t="s">
        <v>102</v>
      </c>
      <c r="H136" s="5">
        <v>50.3</v>
      </c>
      <c r="I136" s="5">
        <v>91</v>
      </c>
      <c r="J136" s="5">
        <v>55.5</v>
      </c>
      <c r="K136" s="5">
        <v>84.4</v>
      </c>
      <c r="L136" s="10">
        <v>0.40694444444444444</v>
      </c>
      <c r="M136" s="10">
        <v>0.63541666666666663</v>
      </c>
      <c r="N136" s="11">
        <f t="shared" si="82"/>
        <v>99.84</v>
      </c>
      <c r="O136" s="11">
        <f t="shared" ref="O136:P136" si="107">AVERAGE(96,96,96,96)*1.04</f>
        <v>99.84</v>
      </c>
      <c r="P136" s="11">
        <f t="shared" si="107"/>
        <v>99.84</v>
      </c>
      <c r="Q136" s="11">
        <f t="shared" si="1"/>
        <v>99.839999999999989</v>
      </c>
      <c r="R136" s="5">
        <v>3</v>
      </c>
      <c r="S136" s="5" t="s">
        <v>15</v>
      </c>
      <c r="T136" s="5" t="s">
        <v>9</v>
      </c>
      <c r="U136" s="5" t="s">
        <v>62</v>
      </c>
      <c r="V136" s="5">
        <v>12.5</v>
      </c>
      <c r="W136" s="5">
        <v>5.8</v>
      </c>
      <c r="X136" s="5">
        <v>49</v>
      </c>
      <c r="Y136" s="5">
        <v>2</v>
      </c>
      <c r="Z136" s="6"/>
      <c r="AA136" s="6"/>
      <c r="AB136" s="6"/>
    </row>
    <row r="137" spans="1:28" ht="16" x14ac:dyDescent="0.2">
      <c r="A137" s="4">
        <v>45800</v>
      </c>
      <c r="B137" s="19">
        <v>25143</v>
      </c>
      <c r="C137" s="5" t="s">
        <v>20</v>
      </c>
      <c r="D137" s="6"/>
      <c r="E137" s="15">
        <v>41.5780583333</v>
      </c>
      <c r="F137" s="15">
        <v>-75.707727777800002</v>
      </c>
      <c r="G137" s="5" t="s">
        <v>102</v>
      </c>
      <c r="H137" s="5">
        <v>50.3</v>
      </c>
      <c r="I137" s="5">
        <v>91</v>
      </c>
      <c r="J137" s="5">
        <v>55.5</v>
      </c>
      <c r="K137" s="5">
        <v>84.4</v>
      </c>
      <c r="L137" s="10">
        <v>0.40694444444444444</v>
      </c>
      <c r="M137" s="10">
        <v>0.63541666666666663</v>
      </c>
      <c r="N137" s="11">
        <f t="shared" si="82"/>
        <v>99.84</v>
      </c>
      <c r="O137" s="11">
        <f t="shared" ref="O137:P137" si="108">AVERAGE(96,96,96,96)*1.04</f>
        <v>99.84</v>
      </c>
      <c r="P137" s="11">
        <f t="shared" si="108"/>
        <v>99.84</v>
      </c>
      <c r="Q137" s="11">
        <f t="shared" si="1"/>
        <v>99.839999999999989</v>
      </c>
      <c r="R137" s="5">
        <v>3</v>
      </c>
      <c r="S137" s="5" t="s">
        <v>15</v>
      </c>
      <c r="T137" s="5" t="s">
        <v>9</v>
      </c>
      <c r="U137" s="5" t="s">
        <v>55</v>
      </c>
      <c r="V137" s="5">
        <v>12.7</v>
      </c>
      <c r="W137" s="5">
        <v>6</v>
      </c>
      <c r="X137" s="5">
        <v>45</v>
      </c>
      <c r="Y137" s="5">
        <v>2</v>
      </c>
      <c r="Z137" s="6"/>
      <c r="AA137" s="6"/>
      <c r="AB137" s="6"/>
    </row>
    <row r="138" spans="1:28" ht="16" x14ac:dyDescent="0.2">
      <c r="A138" s="4">
        <v>45800</v>
      </c>
      <c r="B138" s="19">
        <v>25143</v>
      </c>
      <c r="C138" s="5" t="s">
        <v>20</v>
      </c>
      <c r="D138" s="6"/>
      <c r="E138" s="15">
        <v>41.5780583333</v>
      </c>
      <c r="F138" s="15">
        <v>-75.707727777800002</v>
      </c>
      <c r="G138" s="5" t="s">
        <v>102</v>
      </c>
      <c r="H138" s="5">
        <v>50.3</v>
      </c>
      <c r="I138" s="5">
        <v>91</v>
      </c>
      <c r="J138" s="5">
        <v>55.5</v>
      </c>
      <c r="K138" s="5">
        <v>84.4</v>
      </c>
      <c r="L138" s="10">
        <v>0.40694444444444444</v>
      </c>
      <c r="M138" s="10">
        <v>0.63541666666666663</v>
      </c>
      <c r="N138" s="11">
        <f t="shared" si="82"/>
        <v>99.84</v>
      </c>
      <c r="O138" s="11">
        <f t="shared" ref="O138:P138" si="109">AVERAGE(96,96,96,96)*1.04</f>
        <v>99.84</v>
      </c>
      <c r="P138" s="11">
        <f t="shared" si="109"/>
        <v>99.84</v>
      </c>
      <c r="Q138" s="11">
        <f t="shared" si="1"/>
        <v>99.839999999999989</v>
      </c>
      <c r="R138" s="5">
        <v>3</v>
      </c>
      <c r="S138" s="5" t="s">
        <v>105</v>
      </c>
      <c r="T138" s="5" t="s">
        <v>9</v>
      </c>
      <c r="U138" s="5" t="s">
        <v>56</v>
      </c>
      <c r="V138" s="5">
        <v>13</v>
      </c>
      <c r="W138" s="5" t="s">
        <v>8</v>
      </c>
      <c r="X138" s="5" t="s">
        <v>8</v>
      </c>
      <c r="Y138" s="5">
        <v>1.5</v>
      </c>
      <c r="Z138" s="5"/>
      <c r="AA138" s="5" t="s">
        <v>58</v>
      </c>
      <c r="AB138" s="6"/>
    </row>
    <row r="139" spans="1:28" ht="16" x14ac:dyDescent="0.2">
      <c r="A139" s="4">
        <v>45800</v>
      </c>
      <c r="B139" s="19">
        <v>25143</v>
      </c>
      <c r="C139" s="5" t="s">
        <v>20</v>
      </c>
      <c r="D139" s="6"/>
      <c r="E139" s="15">
        <v>41.5780583333</v>
      </c>
      <c r="F139" s="15">
        <v>-75.707727777800002</v>
      </c>
      <c r="G139" s="5" t="s">
        <v>102</v>
      </c>
      <c r="H139" s="5">
        <v>50.3</v>
      </c>
      <c r="I139" s="5">
        <v>91</v>
      </c>
      <c r="J139" s="5">
        <v>55.5</v>
      </c>
      <c r="K139" s="5">
        <v>84.4</v>
      </c>
      <c r="L139" s="10">
        <v>0.40694444444444444</v>
      </c>
      <c r="M139" s="10">
        <v>0.63541666666666663</v>
      </c>
      <c r="N139" s="11">
        <f t="shared" si="82"/>
        <v>99.84</v>
      </c>
      <c r="O139" s="11">
        <f t="shared" ref="O139:P139" si="110">AVERAGE(96,96,96,96)*1.04</f>
        <v>99.84</v>
      </c>
      <c r="P139" s="11">
        <f t="shared" si="110"/>
        <v>99.84</v>
      </c>
      <c r="Q139" s="11">
        <f t="shared" si="1"/>
        <v>99.839999999999989</v>
      </c>
      <c r="R139" s="5">
        <v>3</v>
      </c>
      <c r="S139" s="5">
        <v>21.5</v>
      </c>
      <c r="T139" s="5" t="s">
        <v>4</v>
      </c>
      <c r="U139" s="5" t="s">
        <v>62</v>
      </c>
      <c r="V139" s="5">
        <v>12</v>
      </c>
      <c r="W139" s="5">
        <v>5.2</v>
      </c>
      <c r="X139" s="5">
        <v>38</v>
      </c>
      <c r="Y139" s="5">
        <v>1.5</v>
      </c>
      <c r="Z139" s="6"/>
      <c r="AA139" s="6"/>
      <c r="AB139" s="6"/>
    </row>
    <row r="140" spans="1:28" ht="16" x14ac:dyDescent="0.2">
      <c r="A140" s="4">
        <v>45800</v>
      </c>
      <c r="B140" s="19">
        <v>25143</v>
      </c>
      <c r="C140" s="5" t="s">
        <v>20</v>
      </c>
      <c r="D140" s="6"/>
      <c r="E140" s="15">
        <v>41.5780583333</v>
      </c>
      <c r="F140" s="15">
        <v>-75.707727777800002</v>
      </c>
      <c r="G140" s="5" t="s">
        <v>102</v>
      </c>
      <c r="H140" s="5">
        <v>50.3</v>
      </c>
      <c r="I140" s="5">
        <v>91</v>
      </c>
      <c r="J140" s="5">
        <v>55.5</v>
      </c>
      <c r="K140" s="5">
        <v>84.4</v>
      </c>
      <c r="L140" s="10">
        <v>0.40694444444444444</v>
      </c>
      <c r="M140" s="10">
        <v>0.63541666666666663</v>
      </c>
      <c r="N140" s="11">
        <f t="shared" si="82"/>
        <v>99.84</v>
      </c>
      <c r="O140" s="11">
        <f t="shared" ref="O140:P140" si="111">AVERAGE(96,96,96,96)*1.04</f>
        <v>99.84</v>
      </c>
      <c r="P140" s="11">
        <f t="shared" si="111"/>
        <v>99.84</v>
      </c>
      <c r="Q140" s="11">
        <f t="shared" si="1"/>
        <v>99.839999999999989</v>
      </c>
      <c r="R140" s="5">
        <v>3</v>
      </c>
      <c r="S140" s="5" t="s">
        <v>105</v>
      </c>
      <c r="T140" s="5" t="s">
        <v>9</v>
      </c>
      <c r="U140" s="5" t="s">
        <v>56</v>
      </c>
      <c r="V140" s="5">
        <v>13.9</v>
      </c>
      <c r="W140" s="5">
        <v>5.8</v>
      </c>
      <c r="X140" s="5">
        <v>40</v>
      </c>
      <c r="Y140" s="5">
        <v>1.5</v>
      </c>
      <c r="Z140" s="6"/>
      <c r="AA140" s="6"/>
      <c r="AB140" s="6"/>
    </row>
    <row r="141" spans="1:28" ht="16" x14ac:dyDescent="0.2">
      <c r="A141" s="4">
        <v>45800</v>
      </c>
      <c r="B141" s="19">
        <v>25143</v>
      </c>
      <c r="C141" s="5" t="s">
        <v>20</v>
      </c>
      <c r="D141" s="6"/>
      <c r="E141" s="15">
        <v>41.5780583333</v>
      </c>
      <c r="F141" s="15">
        <v>-75.707727777800002</v>
      </c>
      <c r="G141" s="5" t="s">
        <v>102</v>
      </c>
      <c r="H141" s="5">
        <v>50.3</v>
      </c>
      <c r="I141" s="5">
        <v>91</v>
      </c>
      <c r="J141" s="5">
        <v>55.5</v>
      </c>
      <c r="K141" s="5">
        <v>84.4</v>
      </c>
      <c r="L141" s="10">
        <v>0.40694444444444444</v>
      </c>
      <c r="M141" s="10">
        <v>0.63541666666666663</v>
      </c>
      <c r="N141" s="11">
        <f t="shared" si="82"/>
        <v>99.84</v>
      </c>
      <c r="O141" s="11">
        <f t="shared" ref="O141:P141" si="112">AVERAGE(96,96,96,96)*1.04</f>
        <v>99.84</v>
      </c>
      <c r="P141" s="11">
        <f t="shared" si="112"/>
        <v>99.84</v>
      </c>
      <c r="Q141" s="11">
        <f t="shared" si="1"/>
        <v>99.839999999999989</v>
      </c>
      <c r="R141" s="5">
        <v>3</v>
      </c>
      <c r="S141" s="5" t="s">
        <v>105</v>
      </c>
      <c r="T141" s="5" t="s">
        <v>9</v>
      </c>
      <c r="U141" s="5" t="s">
        <v>55</v>
      </c>
      <c r="V141" s="5">
        <v>12.7</v>
      </c>
      <c r="W141" s="5">
        <v>4.5999999999999996</v>
      </c>
      <c r="X141" s="5">
        <v>75</v>
      </c>
      <c r="Y141" s="5">
        <v>1.5</v>
      </c>
      <c r="Z141" s="6"/>
      <c r="AA141" s="6"/>
      <c r="AB141" s="6"/>
    </row>
    <row r="142" spans="1:28" ht="16" x14ac:dyDescent="0.2">
      <c r="A142" s="4">
        <v>45800</v>
      </c>
      <c r="B142" s="19">
        <v>25143</v>
      </c>
      <c r="C142" s="5" t="s">
        <v>20</v>
      </c>
      <c r="D142" s="6"/>
      <c r="E142" s="15">
        <v>41.5780583333</v>
      </c>
      <c r="F142" s="15">
        <v>-75.707727777800002</v>
      </c>
      <c r="G142" s="5" t="s">
        <v>102</v>
      </c>
      <c r="H142" s="5">
        <v>50.3</v>
      </c>
      <c r="I142" s="5">
        <v>91</v>
      </c>
      <c r="J142" s="5">
        <v>55.5</v>
      </c>
      <c r="K142" s="5">
        <v>84.4</v>
      </c>
      <c r="L142" s="10">
        <v>0.40694444444444444</v>
      </c>
      <c r="M142" s="10">
        <v>0.63541666666666663</v>
      </c>
      <c r="N142" s="11">
        <f t="shared" si="82"/>
        <v>99.84</v>
      </c>
      <c r="O142" s="11">
        <f t="shared" ref="O142:P142" si="113">AVERAGE(96,96,96,96)*1.04</f>
        <v>99.84</v>
      </c>
      <c r="P142" s="11">
        <f t="shared" si="113"/>
        <v>99.84</v>
      </c>
      <c r="Q142" s="11">
        <f t="shared" si="1"/>
        <v>99.839999999999989</v>
      </c>
      <c r="R142" s="5">
        <v>3</v>
      </c>
      <c r="S142" s="5" t="s">
        <v>14</v>
      </c>
      <c r="T142" s="5" t="s">
        <v>9</v>
      </c>
      <c r="U142" s="5" t="s">
        <v>62</v>
      </c>
      <c r="V142" s="5">
        <v>11.5</v>
      </c>
      <c r="W142" s="5">
        <v>6</v>
      </c>
      <c r="X142" s="5">
        <v>40</v>
      </c>
      <c r="Y142" s="5">
        <v>2</v>
      </c>
      <c r="Z142" s="6"/>
      <c r="AA142" s="6"/>
      <c r="AB142" s="6"/>
    </row>
    <row r="143" spans="1:28" ht="16" x14ac:dyDescent="0.2">
      <c r="A143" s="4">
        <v>45800</v>
      </c>
      <c r="B143" s="19">
        <v>25143</v>
      </c>
      <c r="C143" s="5" t="s">
        <v>20</v>
      </c>
      <c r="D143" s="6"/>
      <c r="E143" s="15">
        <v>41.5780583333</v>
      </c>
      <c r="F143" s="15">
        <v>-75.707727777800002</v>
      </c>
      <c r="G143" s="5" t="s">
        <v>102</v>
      </c>
      <c r="H143" s="5">
        <v>50.3</v>
      </c>
      <c r="I143" s="5">
        <v>91</v>
      </c>
      <c r="J143" s="5">
        <v>55.5</v>
      </c>
      <c r="K143" s="5">
        <v>84.4</v>
      </c>
      <c r="L143" s="10">
        <v>0.40694444444444444</v>
      </c>
      <c r="M143" s="10">
        <v>0.63541666666666663</v>
      </c>
      <c r="N143" s="11">
        <f t="shared" si="82"/>
        <v>99.84</v>
      </c>
      <c r="O143" s="11">
        <f t="shared" ref="O143:P143" si="114">AVERAGE(96,96,96,96)*1.04</f>
        <v>99.84</v>
      </c>
      <c r="P143" s="11">
        <f t="shared" si="114"/>
        <v>99.84</v>
      </c>
      <c r="Q143" s="11">
        <f t="shared" si="1"/>
        <v>99.839999999999989</v>
      </c>
      <c r="R143" s="5">
        <v>3</v>
      </c>
      <c r="S143" s="5" t="s">
        <v>14</v>
      </c>
      <c r="T143" s="5" t="s">
        <v>9</v>
      </c>
      <c r="U143" s="5" t="s">
        <v>56</v>
      </c>
      <c r="V143" s="5">
        <v>10.8</v>
      </c>
      <c r="W143" s="5" t="s">
        <v>8</v>
      </c>
      <c r="X143" s="5" t="s">
        <v>8</v>
      </c>
      <c r="Y143" s="5">
        <v>1.5</v>
      </c>
      <c r="Z143" s="5"/>
      <c r="AA143" s="5" t="s">
        <v>58</v>
      </c>
      <c r="AB143" s="6"/>
    </row>
    <row r="144" spans="1:28" ht="16" x14ac:dyDescent="0.2">
      <c r="A144" s="4">
        <v>45800</v>
      </c>
      <c r="B144" s="19">
        <v>25143</v>
      </c>
      <c r="C144" s="5" t="s">
        <v>20</v>
      </c>
      <c r="D144" s="6"/>
      <c r="E144" s="15">
        <v>41.5780583333</v>
      </c>
      <c r="F144" s="15">
        <v>-75.707727777800002</v>
      </c>
      <c r="G144" s="5" t="s">
        <v>102</v>
      </c>
      <c r="H144" s="5">
        <v>50.3</v>
      </c>
      <c r="I144" s="5">
        <v>91</v>
      </c>
      <c r="J144" s="5">
        <v>55.5</v>
      </c>
      <c r="K144" s="5">
        <v>84.4</v>
      </c>
      <c r="L144" s="10">
        <v>0.40694444444444444</v>
      </c>
      <c r="M144" s="10">
        <v>0.63541666666666663</v>
      </c>
      <c r="N144" s="11">
        <f t="shared" si="82"/>
        <v>99.84</v>
      </c>
      <c r="O144" s="11">
        <f t="shared" ref="O144:P144" si="115">AVERAGE(96,96,96,96)*1.04</f>
        <v>99.84</v>
      </c>
      <c r="P144" s="11">
        <f t="shared" si="115"/>
        <v>99.84</v>
      </c>
      <c r="Q144" s="11">
        <f t="shared" si="1"/>
        <v>99.839999999999989</v>
      </c>
      <c r="R144" s="5">
        <v>3</v>
      </c>
      <c r="S144" s="5" t="s">
        <v>14</v>
      </c>
      <c r="T144" s="5" t="s">
        <v>9</v>
      </c>
      <c r="U144" s="5" t="s">
        <v>55</v>
      </c>
      <c r="V144" s="5">
        <v>12.8</v>
      </c>
      <c r="W144" s="5">
        <v>5.9</v>
      </c>
      <c r="X144" s="5">
        <v>45</v>
      </c>
      <c r="Y144" s="5">
        <v>1.5</v>
      </c>
      <c r="Z144" s="6"/>
      <c r="AA144" s="6"/>
      <c r="AB144" s="6"/>
    </row>
    <row r="145" spans="1:28" ht="16" x14ac:dyDescent="0.2">
      <c r="A145" s="4">
        <v>45803</v>
      </c>
      <c r="B145" s="19">
        <v>25146</v>
      </c>
      <c r="C145" s="5" t="s">
        <v>23</v>
      </c>
      <c r="D145" s="5" t="s">
        <v>107</v>
      </c>
      <c r="E145" s="15">
        <v>41.649602777799998</v>
      </c>
      <c r="F145" s="15">
        <v>-76.566858333300004</v>
      </c>
      <c r="G145" s="5" t="s">
        <v>96</v>
      </c>
      <c r="H145" s="5">
        <v>59.4</v>
      </c>
      <c r="I145" s="5">
        <v>60.5</v>
      </c>
      <c r="J145" s="5">
        <v>67.599999999999994</v>
      </c>
      <c r="K145" s="5">
        <v>42.5</v>
      </c>
      <c r="L145" s="10">
        <v>0.41666666666666669</v>
      </c>
      <c r="M145" s="10">
        <v>0.63194444444444442</v>
      </c>
      <c r="N145" s="11">
        <f t="shared" si="82"/>
        <v>99.84</v>
      </c>
      <c r="O145" s="11">
        <f t="shared" ref="O145:P145" si="116">AVERAGE(96,96,96,96)*1.04</f>
        <v>99.84</v>
      </c>
      <c r="P145" s="11">
        <f t="shared" si="116"/>
        <v>99.84</v>
      </c>
      <c r="Q145" s="11">
        <f t="shared" si="1"/>
        <v>99.839999999999989</v>
      </c>
      <c r="R145" s="5">
        <v>1</v>
      </c>
      <c r="S145" s="5" t="s">
        <v>15</v>
      </c>
      <c r="T145" s="5" t="s">
        <v>9</v>
      </c>
      <c r="U145" s="5" t="s">
        <v>55</v>
      </c>
      <c r="V145" s="5">
        <v>11.6</v>
      </c>
      <c r="W145" s="5">
        <v>6.4</v>
      </c>
      <c r="X145" s="5">
        <v>40</v>
      </c>
      <c r="Y145" s="5">
        <v>3.5</v>
      </c>
      <c r="Z145" s="6"/>
      <c r="AA145" s="6"/>
      <c r="AB145" s="6"/>
    </row>
    <row r="146" spans="1:28" ht="16" x14ac:dyDescent="0.2">
      <c r="A146" s="4">
        <v>45803</v>
      </c>
      <c r="B146" s="19">
        <v>25146</v>
      </c>
      <c r="C146" s="5" t="s">
        <v>23</v>
      </c>
      <c r="D146" s="6"/>
      <c r="E146" s="15">
        <v>41.649602777799998</v>
      </c>
      <c r="F146" s="15">
        <v>-76.566858333300004</v>
      </c>
      <c r="G146" s="5" t="s">
        <v>96</v>
      </c>
      <c r="H146" s="5">
        <v>59.4</v>
      </c>
      <c r="I146" s="5">
        <v>60.5</v>
      </c>
      <c r="J146" s="5">
        <v>67.599999999999994</v>
      </c>
      <c r="K146" s="5">
        <v>42.5</v>
      </c>
      <c r="L146" s="10">
        <v>0.41666666666666669</v>
      </c>
      <c r="M146" s="10">
        <v>0.63194444444444442</v>
      </c>
      <c r="N146" s="11">
        <f t="shared" si="82"/>
        <v>99.84</v>
      </c>
      <c r="O146" s="11">
        <f t="shared" ref="O146:P146" si="117">AVERAGE(96,96,96,96)*1.04</f>
        <v>99.84</v>
      </c>
      <c r="P146" s="11">
        <f t="shared" si="117"/>
        <v>99.84</v>
      </c>
      <c r="Q146" s="11">
        <f t="shared" si="1"/>
        <v>99.839999999999989</v>
      </c>
      <c r="R146" s="5">
        <v>1</v>
      </c>
      <c r="S146" s="5" t="s">
        <v>15</v>
      </c>
      <c r="T146" s="5" t="s">
        <v>9</v>
      </c>
      <c r="U146" s="5" t="s">
        <v>55</v>
      </c>
      <c r="V146" s="5">
        <v>11.9</v>
      </c>
      <c r="W146" s="5">
        <v>6.6</v>
      </c>
      <c r="X146" s="5">
        <v>55</v>
      </c>
      <c r="Y146" s="5">
        <v>3.5</v>
      </c>
      <c r="Z146" s="6"/>
      <c r="AA146" s="6"/>
      <c r="AB146" s="6"/>
    </row>
    <row r="147" spans="1:28" ht="16" x14ac:dyDescent="0.2">
      <c r="A147" s="4">
        <v>45803</v>
      </c>
      <c r="B147" s="19">
        <v>25146</v>
      </c>
      <c r="C147" s="5" t="s">
        <v>23</v>
      </c>
      <c r="D147" s="6"/>
      <c r="E147" s="15">
        <v>41.649602777799998</v>
      </c>
      <c r="F147" s="15">
        <v>-76.566858333300004</v>
      </c>
      <c r="G147" s="5" t="s">
        <v>96</v>
      </c>
      <c r="H147" s="5">
        <v>59.4</v>
      </c>
      <c r="I147" s="5">
        <v>60.5</v>
      </c>
      <c r="J147" s="5">
        <v>67.599999999999994</v>
      </c>
      <c r="K147" s="5">
        <v>42.5</v>
      </c>
      <c r="L147" s="10">
        <v>0.41666666666666669</v>
      </c>
      <c r="M147" s="10">
        <v>0.63194444444444442</v>
      </c>
      <c r="N147" s="11">
        <f t="shared" si="82"/>
        <v>99.84</v>
      </c>
      <c r="O147" s="11">
        <f t="shared" ref="O147:P147" si="118">AVERAGE(96,96,96,96)*1.04</f>
        <v>99.84</v>
      </c>
      <c r="P147" s="11">
        <f t="shared" si="118"/>
        <v>99.84</v>
      </c>
      <c r="Q147" s="11">
        <f t="shared" si="1"/>
        <v>99.839999999999989</v>
      </c>
      <c r="R147" s="5">
        <v>1</v>
      </c>
      <c r="S147" s="5" t="s">
        <v>15</v>
      </c>
      <c r="T147" s="5" t="s">
        <v>9</v>
      </c>
      <c r="U147" s="5" t="s">
        <v>56</v>
      </c>
      <c r="V147" s="5">
        <v>11.8</v>
      </c>
      <c r="W147" s="5" t="s">
        <v>8</v>
      </c>
      <c r="X147" s="5" t="s">
        <v>8</v>
      </c>
      <c r="Y147" s="5">
        <v>1</v>
      </c>
      <c r="Z147" s="5" t="s">
        <v>108</v>
      </c>
      <c r="AA147" s="5" t="s">
        <v>109</v>
      </c>
      <c r="AB147" s="6"/>
    </row>
    <row r="148" spans="1:28" ht="16" x14ac:dyDescent="0.2">
      <c r="A148" s="4">
        <v>45803</v>
      </c>
      <c r="B148" s="19">
        <v>25146</v>
      </c>
      <c r="C148" s="5" t="s">
        <v>23</v>
      </c>
      <c r="D148" s="6"/>
      <c r="E148" s="15">
        <v>41.649602777799998</v>
      </c>
      <c r="F148" s="15">
        <v>-76.566858333300004</v>
      </c>
      <c r="G148" s="5" t="s">
        <v>96</v>
      </c>
      <c r="H148" s="5">
        <v>59.4</v>
      </c>
      <c r="I148" s="5">
        <v>60.5</v>
      </c>
      <c r="J148" s="5">
        <v>67.599999999999994</v>
      </c>
      <c r="K148" s="5">
        <v>42.5</v>
      </c>
      <c r="L148" s="10">
        <v>0.41666666666666669</v>
      </c>
      <c r="M148" s="10">
        <v>0.63194444444444442</v>
      </c>
      <c r="N148" s="11">
        <f t="shared" si="82"/>
        <v>99.84</v>
      </c>
      <c r="O148" s="11">
        <f t="shared" ref="O148:P148" si="119">AVERAGE(96,96,96,96)*1.04</f>
        <v>99.84</v>
      </c>
      <c r="P148" s="11">
        <f t="shared" si="119"/>
        <v>99.84</v>
      </c>
      <c r="Q148" s="11">
        <f t="shared" si="1"/>
        <v>99.839999999999989</v>
      </c>
      <c r="R148" s="5">
        <v>1</v>
      </c>
      <c r="S148" s="5" t="s">
        <v>105</v>
      </c>
      <c r="T148" s="5" t="s">
        <v>9</v>
      </c>
      <c r="U148" s="5" t="s">
        <v>55</v>
      </c>
      <c r="V148" s="5">
        <v>14.6</v>
      </c>
      <c r="W148" s="5">
        <v>6</v>
      </c>
      <c r="X148" s="5">
        <v>56</v>
      </c>
      <c r="Y148" s="5">
        <v>3.5</v>
      </c>
      <c r="Z148" s="5"/>
      <c r="AA148" s="5" t="s">
        <v>110</v>
      </c>
      <c r="AB148" s="6"/>
    </row>
    <row r="149" spans="1:28" ht="16" x14ac:dyDescent="0.2">
      <c r="A149" s="4">
        <v>45803</v>
      </c>
      <c r="B149" s="19">
        <v>25146</v>
      </c>
      <c r="C149" s="5" t="s">
        <v>23</v>
      </c>
      <c r="D149" s="6"/>
      <c r="E149" s="15">
        <v>41.649602777799998</v>
      </c>
      <c r="F149" s="15">
        <v>-76.566858333300004</v>
      </c>
      <c r="G149" s="5" t="s">
        <v>96</v>
      </c>
      <c r="H149" s="5">
        <v>59.4</v>
      </c>
      <c r="I149" s="5">
        <v>60.5</v>
      </c>
      <c r="J149" s="5">
        <v>67.599999999999994</v>
      </c>
      <c r="K149" s="5">
        <v>42.5</v>
      </c>
      <c r="L149" s="10">
        <v>0.41666666666666669</v>
      </c>
      <c r="M149" s="10">
        <v>0.63194444444444442</v>
      </c>
      <c r="N149" s="11">
        <f t="shared" si="82"/>
        <v>99.84</v>
      </c>
      <c r="O149" s="11">
        <f t="shared" ref="O149:P149" si="120">AVERAGE(96,96,96,96)*1.04</f>
        <v>99.84</v>
      </c>
      <c r="P149" s="11">
        <f t="shared" si="120"/>
        <v>99.84</v>
      </c>
      <c r="Q149" s="11">
        <f t="shared" si="1"/>
        <v>99.839999999999989</v>
      </c>
      <c r="R149" s="5">
        <v>1</v>
      </c>
      <c r="S149" s="5" t="s">
        <v>105</v>
      </c>
      <c r="T149" s="5" t="s">
        <v>9</v>
      </c>
      <c r="U149" s="5" t="s">
        <v>55</v>
      </c>
      <c r="V149" s="5">
        <v>13.4</v>
      </c>
      <c r="W149" s="5">
        <v>6.2</v>
      </c>
      <c r="X149" s="5">
        <v>60</v>
      </c>
      <c r="Y149" s="5">
        <v>7.5</v>
      </c>
      <c r="Z149" s="6"/>
      <c r="AA149" s="6"/>
      <c r="AB149" s="6"/>
    </row>
    <row r="150" spans="1:28" ht="16" x14ac:dyDescent="0.2">
      <c r="A150" s="4">
        <v>45803</v>
      </c>
      <c r="B150" s="19">
        <v>25146</v>
      </c>
      <c r="C150" s="5" t="s">
        <v>23</v>
      </c>
      <c r="D150" s="6"/>
      <c r="E150" s="15">
        <v>41.649602777799998</v>
      </c>
      <c r="F150" s="15">
        <v>-76.566858333300004</v>
      </c>
      <c r="G150" s="5" t="s">
        <v>96</v>
      </c>
      <c r="H150" s="5">
        <v>59.4</v>
      </c>
      <c r="I150" s="5">
        <v>60.5</v>
      </c>
      <c r="J150" s="5">
        <v>67.599999999999994</v>
      </c>
      <c r="K150" s="5">
        <v>42.5</v>
      </c>
      <c r="L150" s="10">
        <v>0.41666666666666669</v>
      </c>
      <c r="M150" s="10">
        <v>0.63194444444444442</v>
      </c>
      <c r="N150" s="11">
        <f t="shared" si="82"/>
        <v>99.84</v>
      </c>
      <c r="O150" s="11">
        <f t="shared" ref="O150:P150" si="121">AVERAGE(96,96,96,96)*1.04</f>
        <v>99.84</v>
      </c>
      <c r="P150" s="11">
        <f t="shared" si="121"/>
        <v>99.84</v>
      </c>
      <c r="Q150" s="11">
        <f t="shared" si="1"/>
        <v>99.839999999999989</v>
      </c>
      <c r="R150" s="5">
        <v>1</v>
      </c>
      <c r="S150" s="5" t="s">
        <v>105</v>
      </c>
      <c r="T150" s="5" t="s">
        <v>9</v>
      </c>
      <c r="U150" s="5" t="s">
        <v>55</v>
      </c>
      <c r="V150" s="5">
        <v>16.8</v>
      </c>
      <c r="W150" s="5">
        <v>6.4</v>
      </c>
      <c r="X150" s="5">
        <v>50</v>
      </c>
      <c r="Y150" s="5">
        <v>2</v>
      </c>
      <c r="Z150" s="5"/>
      <c r="AA150" s="5" t="s">
        <v>110</v>
      </c>
      <c r="AB150" s="6"/>
    </row>
    <row r="151" spans="1:28" ht="16" x14ac:dyDescent="0.2">
      <c r="A151" s="4">
        <v>45803</v>
      </c>
      <c r="B151" s="19">
        <v>25146</v>
      </c>
      <c r="C151" s="5" t="s">
        <v>23</v>
      </c>
      <c r="D151" s="6"/>
      <c r="E151" s="15">
        <v>41.649602777799998</v>
      </c>
      <c r="F151" s="15">
        <v>-76.566858333300004</v>
      </c>
      <c r="G151" s="5" t="s">
        <v>96</v>
      </c>
      <c r="H151" s="5">
        <v>59.4</v>
      </c>
      <c r="I151" s="5">
        <v>60.5</v>
      </c>
      <c r="J151" s="5">
        <v>67.599999999999994</v>
      </c>
      <c r="K151" s="5">
        <v>42.5</v>
      </c>
      <c r="L151" s="10">
        <v>0.41666666666666669</v>
      </c>
      <c r="M151" s="10">
        <v>0.63194444444444442</v>
      </c>
      <c r="N151" s="11">
        <f t="shared" si="82"/>
        <v>99.84</v>
      </c>
      <c r="O151" s="11">
        <f t="shared" ref="O151:P151" si="122">AVERAGE(96,96,96,96)*1.04</f>
        <v>99.84</v>
      </c>
      <c r="P151" s="11">
        <f t="shared" si="122"/>
        <v>99.84</v>
      </c>
      <c r="Q151" s="11">
        <f t="shared" si="1"/>
        <v>99.839999999999989</v>
      </c>
      <c r="R151" s="5">
        <v>1</v>
      </c>
      <c r="S151" s="5" t="s">
        <v>14</v>
      </c>
      <c r="T151" s="5" t="s">
        <v>9</v>
      </c>
      <c r="U151" s="5" t="s">
        <v>56</v>
      </c>
      <c r="V151" s="5">
        <v>11.4</v>
      </c>
      <c r="W151" s="5" t="s">
        <v>8</v>
      </c>
      <c r="X151" s="5" t="s">
        <v>8</v>
      </c>
      <c r="Y151" s="5">
        <v>4</v>
      </c>
      <c r="Z151" s="5"/>
      <c r="AA151" s="5" t="s">
        <v>58</v>
      </c>
      <c r="AB151" s="6"/>
    </row>
    <row r="152" spans="1:28" ht="16" x14ac:dyDescent="0.2">
      <c r="A152" s="4">
        <v>45803</v>
      </c>
      <c r="B152" s="19">
        <v>25146</v>
      </c>
      <c r="C152" s="5" t="s">
        <v>23</v>
      </c>
      <c r="D152" s="6"/>
      <c r="E152" s="15">
        <v>41.649602777799998</v>
      </c>
      <c r="F152" s="15">
        <v>-76.566858333300004</v>
      </c>
      <c r="G152" s="5" t="s">
        <v>96</v>
      </c>
      <c r="H152" s="5">
        <v>59.4</v>
      </c>
      <c r="I152" s="5">
        <v>60.5</v>
      </c>
      <c r="J152" s="5">
        <v>67.599999999999994</v>
      </c>
      <c r="K152" s="5">
        <v>42.5</v>
      </c>
      <c r="L152" s="10">
        <v>0.41666666666666669</v>
      </c>
      <c r="M152" s="10">
        <v>0.63194444444444442</v>
      </c>
      <c r="N152" s="11">
        <f t="shared" si="82"/>
        <v>99.84</v>
      </c>
      <c r="O152" s="11">
        <f t="shared" ref="O152:P152" si="123">AVERAGE(96,96,96,96)*1.04</f>
        <v>99.84</v>
      </c>
      <c r="P152" s="11">
        <f t="shared" si="123"/>
        <v>99.84</v>
      </c>
      <c r="Q152" s="11">
        <f t="shared" si="1"/>
        <v>99.839999999999989</v>
      </c>
      <c r="R152" s="5">
        <v>1</v>
      </c>
      <c r="S152" s="5" t="s">
        <v>14</v>
      </c>
      <c r="T152" s="5" t="s">
        <v>9</v>
      </c>
      <c r="U152" s="5" t="s">
        <v>55</v>
      </c>
      <c r="V152" s="5">
        <v>11.4</v>
      </c>
      <c r="W152" s="5" t="s">
        <v>8</v>
      </c>
      <c r="X152" s="5" t="s">
        <v>8</v>
      </c>
      <c r="Y152" s="5">
        <v>3</v>
      </c>
      <c r="Z152" s="5"/>
      <c r="AA152" s="5" t="s">
        <v>58</v>
      </c>
      <c r="AB152" s="6"/>
    </row>
    <row r="153" spans="1:28" ht="16" x14ac:dyDescent="0.2">
      <c r="A153" s="4">
        <v>45803</v>
      </c>
      <c r="B153" s="19">
        <v>25146</v>
      </c>
      <c r="C153" s="5" t="s">
        <v>23</v>
      </c>
      <c r="D153" s="6"/>
      <c r="E153" s="15">
        <v>41.649602777799998</v>
      </c>
      <c r="F153" s="15">
        <v>-76.566858333300004</v>
      </c>
      <c r="G153" s="5" t="s">
        <v>96</v>
      </c>
      <c r="H153" s="5">
        <v>59.4</v>
      </c>
      <c r="I153" s="5">
        <v>60.5</v>
      </c>
      <c r="J153" s="5">
        <v>67.599999999999994</v>
      </c>
      <c r="K153" s="5">
        <v>42.5</v>
      </c>
      <c r="L153" s="10">
        <v>0.41666666666666669</v>
      </c>
      <c r="M153" s="10">
        <v>0.63194444444444442</v>
      </c>
      <c r="N153" s="11">
        <f t="shared" si="82"/>
        <v>99.84</v>
      </c>
      <c r="O153" s="11">
        <f t="shared" ref="O153:P153" si="124">AVERAGE(96,96,96,96)*1.04</f>
        <v>99.84</v>
      </c>
      <c r="P153" s="11">
        <f t="shared" si="124"/>
        <v>99.84</v>
      </c>
      <c r="Q153" s="11">
        <f t="shared" si="1"/>
        <v>99.839999999999989</v>
      </c>
      <c r="R153" s="5">
        <v>1</v>
      </c>
      <c r="S153" s="5" t="s">
        <v>14</v>
      </c>
      <c r="T153" s="5" t="s">
        <v>9</v>
      </c>
      <c r="U153" s="5" t="s">
        <v>55</v>
      </c>
      <c r="V153" s="5">
        <v>11.4</v>
      </c>
      <c r="W153" s="5" t="s">
        <v>8</v>
      </c>
      <c r="X153" s="5" t="s">
        <v>8</v>
      </c>
      <c r="Y153" s="5">
        <v>3</v>
      </c>
      <c r="Z153" s="5"/>
      <c r="AA153" s="5" t="s">
        <v>58</v>
      </c>
      <c r="AB153" s="6"/>
    </row>
    <row r="154" spans="1:28" ht="16" x14ac:dyDescent="0.2">
      <c r="A154" s="4">
        <v>45803</v>
      </c>
      <c r="B154" s="19">
        <v>25146</v>
      </c>
      <c r="C154" s="5" t="s">
        <v>23</v>
      </c>
      <c r="D154" s="6"/>
      <c r="E154" s="15">
        <v>41.649602777799998</v>
      </c>
      <c r="F154" s="15">
        <v>-76.566858333300004</v>
      </c>
      <c r="G154" s="5" t="s">
        <v>96</v>
      </c>
      <c r="H154" s="5">
        <v>59.4</v>
      </c>
      <c r="I154" s="5">
        <v>60.5</v>
      </c>
      <c r="J154" s="5">
        <v>67.599999999999994</v>
      </c>
      <c r="K154" s="5">
        <v>42.5</v>
      </c>
      <c r="L154" s="10">
        <v>0.41666666666666669</v>
      </c>
      <c r="M154" s="10">
        <v>0.63194444444444442</v>
      </c>
      <c r="N154" s="11">
        <f t="shared" si="82"/>
        <v>99.84</v>
      </c>
      <c r="O154" s="11">
        <f t="shared" ref="O154:P154" si="125">AVERAGE(96,96,96,96)*1.04</f>
        <v>99.84</v>
      </c>
      <c r="P154" s="11">
        <f t="shared" si="125"/>
        <v>99.84</v>
      </c>
      <c r="Q154" s="11">
        <f t="shared" si="1"/>
        <v>99.839999999999989</v>
      </c>
      <c r="R154" s="5">
        <v>1</v>
      </c>
      <c r="S154" s="5">
        <v>2.1</v>
      </c>
      <c r="T154" s="5" t="s">
        <v>4</v>
      </c>
      <c r="U154" s="5" t="s">
        <v>55</v>
      </c>
      <c r="V154" s="5">
        <v>12.4</v>
      </c>
      <c r="W154" s="5">
        <v>6.4</v>
      </c>
      <c r="X154" s="5">
        <v>42</v>
      </c>
      <c r="Y154" s="5">
        <v>2</v>
      </c>
      <c r="Z154" s="5"/>
      <c r="AA154" s="5" t="s">
        <v>111</v>
      </c>
      <c r="AB154" s="6"/>
    </row>
    <row r="155" spans="1:28" ht="16" x14ac:dyDescent="0.2">
      <c r="A155" s="4">
        <v>45803</v>
      </c>
      <c r="B155" s="19">
        <v>25146</v>
      </c>
      <c r="C155" s="5" t="s">
        <v>23</v>
      </c>
      <c r="D155" s="6"/>
      <c r="E155" s="15">
        <v>41.649602777799998</v>
      </c>
      <c r="F155" s="15">
        <v>-76.566858333300004</v>
      </c>
      <c r="G155" s="5" t="s">
        <v>96</v>
      </c>
      <c r="H155" s="5">
        <v>59.4</v>
      </c>
      <c r="I155" s="5">
        <v>60.5</v>
      </c>
      <c r="J155" s="5">
        <v>67.599999999999994</v>
      </c>
      <c r="K155" s="5">
        <v>42.5</v>
      </c>
      <c r="L155" s="10">
        <v>0.41666666666666669</v>
      </c>
      <c r="M155" s="10">
        <v>0.63194444444444442</v>
      </c>
      <c r="N155" s="11">
        <f t="shared" si="82"/>
        <v>99.84</v>
      </c>
      <c r="O155" s="11">
        <f t="shared" ref="O155:P155" si="126">AVERAGE(96,96,96,96)*1.04</f>
        <v>99.84</v>
      </c>
      <c r="P155" s="11">
        <f t="shared" si="126"/>
        <v>99.84</v>
      </c>
      <c r="Q155" s="11">
        <f t="shared" si="1"/>
        <v>99.839999999999989</v>
      </c>
      <c r="R155" s="5">
        <v>2</v>
      </c>
      <c r="S155" s="5" t="s">
        <v>15</v>
      </c>
      <c r="T155" s="5" t="s">
        <v>9</v>
      </c>
      <c r="U155" s="5" t="s">
        <v>55</v>
      </c>
      <c r="V155" s="5">
        <v>11.4</v>
      </c>
      <c r="W155" s="5">
        <v>6.1</v>
      </c>
      <c r="X155" s="5">
        <v>45</v>
      </c>
      <c r="Y155" s="5">
        <v>3</v>
      </c>
      <c r="Z155" s="5" t="s">
        <v>108</v>
      </c>
      <c r="AA155" s="5" t="s">
        <v>112</v>
      </c>
      <c r="AB155" s="6"/>
    </row>
    <row r="156" spans="1:28" ht="16" x14ac:dyDescent="0.2">
      <c r="A156" s="4">
        <v>45803</v>
      </c>
      <c r="B156" s="19">
        <v>25146</v>
      </c>
      <c r="C156" s="5" t="s">
        <v>23</v>
      </c>
      <c r="D156" s="6"/>
      <c r="E156" s="15">
        <v>41.649602777799998</v>
      </c>
      <c r="F156" s="15">
        <v>-76.566858333300004</v>
      </c>
      <c r="G156" s="5" t="s">
        <v>96</v>
      </c>
      <c r="H156" s="5">
        <v>59.4</v>
      </c>
      <c r="I156" s="5">
        <v>60.5</v>
      </c>
      <c r="J156" s="5">
        <v>67.599999999999994</v>
      </c>
      <c r="K156" s="5">
        <v>42.5</v>
      </c>
      <c r="L156" s="10">
        <v>0.41666666666666669</v>
      </c>
      <c r="M156" s="10">
        <v>0.63194444444444442</v>
      </c>
      <c r="N156" s="11">
        <f t="shared" si="82"/>
        <v>99.84</v>
      </c>
      <c r="O156" s="11">
        <f t="shared" ref="O156:P156" si="127">AVERAGE(96,96,96,96)*1.04</f>
        <v>99.84</v>
      </c>
      <c r="P156" s="11">
        <f t="shared" si="127"/>
        <v>99.84</v>
      </c>
      <c r="Q156" s="11">
        <f t="shared" si="1"/>
        <v>99.839999999999989</v>
      </c>
      <c r="R156" s="5">
        <v>2</v>
      </c>
      <c r="S156" s="5" t="s">
        <v>15</v>
      </c>
      <c r="T156" s="5" t="s">
        <v>9</v>
      </c>
      <c r="U156" s="5" t="s">
        <v>55</v>
      </c>
      <c r="V156" s="5">
        <v>13</v>
      </c>
      <c r="W156" s="5">
        <v>6.4</v>
      </c>
      <c r="X156" s="5">
        <v>45</v>
      </c>
      <c r="Y156" s="5">
        <v>2.5</v>
      </c>
      <c r="Z156" s="6"/>
      <c r="AA156" s="6"/>
      <c r="AB156" s="6"/>
    </row>
    <row r="157" spans="1:28" ht="16" x14ac:dyDescent="0.2">
      <c r="A157" s="4">
        <v>45803</v>
      </c>
      <c r="B157" s="19">
        <v>25146</v>
      </c>
      <c r="C157" s="5" t="s">
        <v>23</v>
      </c>
      <c r="D157" s="6"/>
      <c r="E157" s="15">
        <v>41.649602777799998</v>
      </c>
      <c r="F157" s="15">
        <v>-76.566858333300004</v>
      </c>
      <c r="G157" s="5" t="s">
        <v>96</v>
      </c>
      <c r="H157" s="5">
        <v>59.4</v>
      </c>
      <c r="I157" s="5">
        <v>60.5</v>
      </c>
      <c r="J157" s="5">
        <v>67.599999999999994</v>
      </c>
      <c r="K157" s="5">
        <v>42.5</v>
      </c>
      <c r="L157" s="10">
        <v>0.41666666666666669</v>
      </c>
      <c r="M157" s="10">
        <v>0.63194444444444442</v>
      </c>
      <c r="N157" s="11">
        <f t="shared" si="82"/>
        <v>99.84</v>
      </c>
      <c r="O157" s="11">
        <f t="shared" ref="O157:P157" si="128">AVERAGE(96,96,96,96)*1.04</f>
        <v>99.84</v>
      </c>
      <c r="P157" s="11">
        <f t="shared" si="128"/>
        <v>99.84</v>
      </c>
      <c r="Q157" s="11">
        <f t="shared" si="1"/>
        <v>99.839999999999989</v>
      </c>
      <c r="R157" s="5">
        <v>2</v>
      </c>
      <c r="S157" s="5" t="s">
        <v>15</v>
      </c>
      <c r="T157" s="5" t="s">
        <v>9</v>
      </c>
      <c r="U157" s="5" t="s">
        <v>55</v>
      </c>
      <c r="V157" s="5">
        <v>13.5</v>
      </c>
      <c r="W157" s="5">
        <v>6.2</v>
      </c>
      <c r="X157" s="5">
        <v>50</v>
      </c>
      <c r="Y157" s="5">
        <v>1.5</v>
      </c>
      <c r="Z157" s="6"/>
      <c r="AA157" s="6"/>
      <c r="AB157" s="6"/>
    </row>
    <row r="158" spans="1:28" ht="16" x14ac:dyDescent="0.2">
      <c r="A158" s="4">
        <v>45803</v>
      </c>
      <c r="B158" s="19">
        <v>25146</v>
      </c>
      <c r="C158" s="5" t="s">
        <v>23</v>
      </c>
      <c r="D158" s="6"/>
      <c r="E158" s="15">
        <v>41.649602777799998</v>
      </c>
      <c r="F158" s="15">
        <v>-76.566858333300004</v>
      </c>
      <c r="G158" s="5" t="s">
        <v>96</v>
      </c>
      <c r="H158" s="5">
        <v>59.4</v>
      </c>
      <c r="I158" s="5">
        <v>60.5</v>
      </c>
      <c r="J158" s="5">
        <v>67.599999999999994</v>
      </c>
      <c r="K158" s="5">
        <v>42.5</v>
      </c>
      <c r="L158" s="10">
        <v>0.41666666666666669</v>
      </c>
      <c r="M158" s="10">
        <v>0.63194444444444442</v>
      </c>
      <c r="N158" s="11">
        <f t="shared" si="82"/>
        <v>99.84</v>
      </c>
      <c r="O158" s="11">
        <f t="shared" ref="O158:P158" si="129">AVERAGE(96,96,96,96)*1.04</f>
        <v>99.84</v>
      </c>
      <c r="P158" s="11">
        <f t="shared" si="129"/>
        <v>99.84</v>
      </c>
      <c r="Q158" s="11">
        <f t="shared" si="1"/>
        <v>99.839999999999989</v>
      </c>
      <c r="R158" s="5">
        <v>2</v>
      </c>
      <c r="S158" s="5" t="s">
        <v>105</v>
      </c>
      <c r="T158" s="5" t="s">
        <v>9</v>
      </c>
      <c r="U158" s="5" t="s">
        <v>55</v>
      </c>
      <c r="V158" s="5">
        <v>14.6</v>
      </c>
      <c r="W158" s="5">
        <v>5.3</v>
      </c>
      <c r="X158" s="5">
        <v>55</v>
      </c>
      <c r="Y158" s="5">
        <v>2</v>
      </c>
      <c r="Z158" s="6"/>
      <c r="AA158" s="6"/>
      <c r="AB158" s="6"/>
    </row>
    <row r="159" spans="1:28" ht="16" x14ac:dyDescent="0.2">
      <c r="A159" s="4">
        <v>45803</v>
      </c>
      <c r="B159" s="19">
        <v>25146</v>
      </c>
      <c r="C159" s="5" t="s">
        <v>23</v>
      </c>
      <c r="D159" s="6"/>
      <c r="E159" s="15">
        <v>41.649602777799998</v>
      </c>
      <c r="F159" s="15">
        <v>-76.566858333300004</v>
      </c>
      <c r="G159" s="5" t="s">
        <v>96</v>
      </c>
      <c r="H159" s="5">
        <v>59.4</v>
      </c>
      <c r="I159" s="5">
        <v>60.5</v>
      </c>
      <c r="J159" s="5">
        <v>67.599999999999994</v>
      </c>
      <c r="K159" s="5">
        <v>42.5</v>
      </c>
      <c r="L159" s="10">
        <v>0.41666666666666669</v>
      </c>
      <c r="M159" s="10">
        <v>0.63194444444444442</v>
      </c>
      <c r="N159" s="11">
        <f t="shared" si="82"/>
        <v>99.84</v>
      </c>
      <c r="O159" s="11">
        <f t="shared" ref="O159:P159" si="130">AVERAGE(96,96,96,96)*1.04</f>
        <v>99.84</v>
      </c>
      <c r="P159" s="11">
        <f t="shared" si="130"/>
        <v>99.84</v>
      </c>
      <c r="Q159" s="11">
        <f t="shared" si="1"/>
        <v>99.839999999999989</v>
      </c>
      <c r="R159" s="5">
        <v>2</v>
      </c>
      <c r="S159" s="5" t="s">
        <v>105</v>
      </c>
      <c r="T159" s="5" t="s">
        <v>9</v>
      </c>
      <c r="U159" s="5" t="s">
        <v>55</v>
      </c>
      <c r="V159" s="5">
        <v>15.9</v>
      </c>
      <c r="W159" s="5">
        <v>6</v>
      </c>
      <c r="X159" s="5">
        <v>59</v>
      </c>
      <c r="Y159" s="5">
        <v>3.5</v>
      </c>
      <c r="Z159" s="6"/>
      <c r="AA159" s="6"/>
      <c r="AB159" s="6"/>
    </row>
    <row r="160" spans="1:28" ht="16" x14ac:dyDescent="0.2">
      <c r="A160" s="4">
        <v>45803</v>
      </c>
      <c r="B160" s="19">
        <v>25146</v>
      </c>
      <c r="C160" s="5" t="s">
        <v>23</v>
      </c>
      <c r="D160" s="6"/>
      <c r="E160" s="15">
        <v>41.649602777799998</v>
      </c>
      <c r="F160" s="15">
        <v>-76.566858333300004</v>
      </c>
      <c r="G160" s="5" t="s">
        <v>96</v>
      </c>
      <c r="H160" s="5">
        <v>59.4</v>
      </c>
      <c r="I160" s="5">
        <v>60.5</v>
      </c>
      <c r="J160" s="5">
        <v>67.599999999999994</v>
      </c>
      <c r="K160" s="5">
        <v>42.5</v>
      </c>
      <c r="L160" s="10">
        <v>0.41666666666666669</v>
      </c>
      <c r="M160" s="10">
        <v>0.63194444444444442</v>
      </c>
      <c r="N160" s="11">
        <f t="shared" si="82"/>
        <v>99.84</v>
      </c>
      <c r="O160" s="11">
        <f t="shared" ref="O160:P160" si="131">AVERAGE(96,96,96,96)*1.04</f>
        <v>99.84</v>
      </c>
      <c r="P160" s="11">
        <f t="shared" si="131"/>
        <v>99.84</v>
      </c>
      <c r="Q160" s="11">
        <f t="shared" si="1"/>
        <v>99.839999999999989</v>
      </c>
      <c r="R160" s="5">
        <v>2</v>
      </c>
      <c r="S160" s="5" t="s">
        <v>105</v>
      </c>
      <c r="T160" s="5" t="s">
        <v>9</v>
      </c>
      <c r="U160" s="5" t="s">
        <v>55</v>
      </c>
      <c r="V160" s="5">
        <v>15.4</v>
      </c>
      <c r="W160" s="5">
        <v>6.3</v>
      </c>
      <c r="X160" s="5">
        <v>56</v>
      </c>
      <c r="Y160" s="5">
        <v>3</v>
      </c>
      <c r="Z160" s="5" t="s">
        <v>108</v>
      </c>
      <c r="AA160" s="5" t="s">
        <v>113</v>
      </c>
      <c r="AB160" s="6"/>
    </row>
    <row r="161" spans="1:28" ht="16" x14ac:dyDescent="0.2">
      <c r="A161" s="4">
        <v>45803</v>
      </c>
      <c r="B161" s="19">
        <v>25146</v>
      </c>
      <c r="C161" s="5" t="s">
        <v>23</v>
      </c>
      <c r="D161" s="6"/>
      <c r="E161" s="15">
        <v>41.649602777799998</v>
      </c>
      <c r="F161" s="15">
        <v>-76.566858333300004</v>
      </c>
      <c r="G161" s="5" t="s">
        <v>96</v>
      </c>
      <c r="H161" s="5">
        <v>59.4</v>
      </c>
      <c r="I161" s="5">
        <v>60.5</v>
      </c>
      <c r="J161" s="5">
        <v>67.599999999999994</v>
      </c>
      <c r="K161" s="5">
        <v>42.5</v>
      </c>
      <c r="L161" s="10">
        <v>0.41666666666666669</v>
      </c>
      <c r="M161" s="10">
        <v>0.63194444444444442</v>
      </c>
      <c r="N161" s="11">
        <f t="shared" si="82"/>
        <v>99.84</v>
      </c>
      <c r="O161" s="11">
        <f t="shared" ref="O161:P161" si="132">AVERAGE(96,96,96,96)*1.04</f>
        <v>99.84</v>
      </c>
      <c r="P161" s="11">
        <f t="shared" si="132"/>
        <v>99.84</v>
      </c>
      <c r="Q161" s="11">
        <f t="shared" si="1"/>
        <v>99.839999999999989</v>
      </c>
      <c r="R161" s="5">
        <v>2</v>
      </c>
      <c r="S161" s="5" t="s">
        <v>14</v>
      </c>
      <c r="T161" s="5" t="s">
        <v>9</v>
      </c>
      <c r="U161" s="5" t="s">
        <v>55</v>
      </c>
      <c r="V161" s="5">
        <v>12.4</v>
      </c>
      <c r="W161" s="5">
        <v>6.4</v>
      </c>
      <c r="X161" s="5">
        <v>45</v>
      </c>
      <c r="Y161" s="5">
        <v>3</v>
      </c>
      <c r="Z161" s="5" t="s">
        <v>108</v>
      </c>
      <c r="AA161" s="5" t="s">
        <v>112</v>
      </c>
      <c r="AB161" s="6"/>
    </row>
    <row r="162" spans="1:28" ht="16" x14ac:dyDescent="0.2">
      <c r="A162" s="4">
        <v>45803</v>
      </c>
      <c r="B162" s="19">
        <v>25146</v>
      </c>
      <c r="C162" s="5" t="s">
        <v>23</v>
      </c>
      <c r="D162" s="6"/>
      <c r="E162" s="15">
        <v>41.649602777799998</v>
      </c>
      <c r="F162" s="15">
        <v>-76.566858333300004</v>
      </c>
      <c r="G162" s="5" t="s">
        <v>96</v>
      </c>
      <c r="H162" s="5">
        <v>59.4</v>
      </c>
      <c r="I162" s="5">
        <v>60.5</v>
      </c>
      <c r="J162" s="5">
        <v>67.599999999999994</v>
      </c>
      <c r="K162" s="5">
        <v>42.5</v>
      </c>
      <c r="L162" s="10">
        <v>0.41666666666666669</v>
      </c>
      <c r="M162" s="10">
        <v>0.63194444444444442</v>
      </c>
      <c r="N162" s="11">
        <f t="shared" si="82"/>
        <v>99.84</v>
      </c>
      <c r="O162" s="11">
        <f t="shared" ref="O162:P162" si="133">AVERAGE(96,96,96,96)*1.04</f>
        <v>99.84</v>
      </c>
      <c r="P162" s="11">
        <f t="shared" si="133"/>
        <v>99.84</v>
      </c>
      <c r="Q162" s="11">
        <f t="shared" si="1"/>
        <v>99.839999999999989</v>
      </c>
      <c r="R162" s="5">
        <v>2</v>
      </c>
      <c r="S162" s="5" t="s">
        <v>14</v>
      </c>
      <c r="T162" s="5" t="s">
        <v>9</v>
      </c>
      <c r="U162" s="5" t="s">
        <v>55</v>
      </c>
      <c r="V162" s="5">
        <v>12.9</v>
      </c>
      <c r="W162" s="5">
        <v>5.5</v>
      </c>
      <c r="X162" s="5">
        <v>46</v>
      </c>
      <c r="Y162" s="5">
        <v>1.5</v>
      </c>
      <c r="Z162" s="6"/>
      <c r="AA162" s="6"/>
      <c r="AB162" s="6"/>
    </row>
    <row r="163" spans="1:28" ht="16" x14ac:dyDescent="0.2">
      <c r="A163" s="4">
        <v>45803</v>
      </c>
      <c r="B163" s="19">
        <v>25146</v>
      </c>
      <c r="C163" s="5" t="s">
        <v>23</v>
      </c>
      <c r="D163" s="6"/>
      <c r="E163" s="15">
        <v>41.649602777799998</v>
      </c>
      <c r="F163" s="15">
        <v>-76.566858333300004</v>
      </c>
      <c r="G163" s="5" t="s">
        <v>96</v>
      </c>
      <c r="H163" s="5">
        <v>59.4</v>
      </c>
      <c r="I163" s="5">
        <v>60.5</v>
      </c>
      <c r="J163" s="5">
        <v>67.599999999999994</v>
      </c>
      <c r="K163" s="5">
        <v>42.5</v>
      </c>
      <c r="L163" s="10">
        <v>0.41666666666666669</v>
      </c>
      <c r="M163" s="10">
        <v>0.63194444444444442</v>
      </c>
      <c r="N163" s="11">
        <f t="shared" si="82"/>
        <v>99.84</v>
      </c>
      <c r="O163" s="11">
        <f t="shared" ref="O163:P163" si="134">AVERAGE(96,96,96,96)*1.04</f>
        <v>99.84</v>
      </c>
      <c r="P163" s="11">
        <f t="shared" si="134"/>
        <v>99.84</v>
      </c>
      <c r="Q163" s="11">
        <f t="shared" si="1"/>
        <v>99.839999999999989</v>
      </c>
      <c r="R163" s="5">
        <v>2</v>
      </c>
      <c r="S163" s="5" t="s">
        <v>14</v>
      </c>
      <c r="T163" s="5" t="s">
        <v>9</v>
      </c>
      <c r="U163" s="5" t="s">
        <v>55</v>
      </c>
      <c r="V163" s="5">
        <v>13.2</v>
      </c>
      <c r="W163" s="5">
        <v>6.3</v>
      </c>
      <c r="X163" s="5">
        <v>48</v>
      </c>
      <c r="Y163" s="5">
        <v>3.5</v>
      </c>
      <c r="Z163" s="6"/>
      <c r="AA163" s="6"/>
      <c r="AB163" s="6"/>
    </row>
    <row r="164" spans="1:28" ht="16" x14ac:dyDescent="0.2">
      <c r="A164" s="4">
        <v>45803</v>
      </c>
      <c r="B164" s="19">
        <v>25146</v>
      </c>
      <c r="C164" s="5" t="s">
        <v>23</v>
      </c>
      <c r="D164" s="6"/>
      <c r="E164" s="15">
        <v>41.649602777799998</v>
      </c>
      <c r="F164" s="15">
        <v>-76.566858333300004</v>
      </c>
      <c r="G164" s="5" t="s">
        <v>96</v>
      </c>
      <c r="H164" s="5">
        <v>59.4</v>
      </c>
      <c r="I164" s="5">
        <v>60.5</v>
      </c>
      <c r="J164" s="5">
        <v>67.599999999999994</v>
      </c>
      <c r="K164" s="5">
        <v>42.5</v>
      </c>
      <c r="L164" s="10">
        <v>0.41666666666666669</v>
      </c>
      <c r="M164" s="10">
        <v>0.63194444444444442</v>
      </c>
      <c r="N164" s="11">
        <f t="shared" si="82"/>
        <v>99.84</v>
      </c>
      <c r="O164" s="11">
        <f t="shared" ref="O164:P164" si="135">AVERAGE(96,96,96,96)*1.04</f>
        <v>99.84</v>
      </c>
      <c r="P164" s="11">
        <f t="shared" si="135"/>
        <v>99.84</v>
      </c>
      <c r="Q164" s="11">
        <f t="shared" si="1"/>
        <v>99.839999999999989</v>
      </c>
      <c r="R164" s="5">
        <v>3</v>
      </c>
      <c r="S164" s="5" t="s">
        <v>15</v>
      </c>
      <c r="T164" s="5" t="s">
        <v>9</v>
      </c>
      <c r="U164" s="5" t="s">
        <v>55</v>
      </c>
      <c r="V164" s="5">
        <v>14.7</v>
      </c>
      <c r="W164" s="5">
        <v>5.6</v>
      </c>
      <c r="X164" s="5">
        <v>59</v>
      </c>
      <c r="Y164" s="5">
        <v>3</v>
      </c>
      <c r="Z164" s="5"/>
      <c r="AA164" s="5" t="s">
        <v>114</v>
      </c>
      <c r="AB164" s="6"/>
    </row>
    <row r="165" spans="1:28" ht="16" x14ac:dyDescent="0.2">
      <c r="A165" s="4">
        <v>45803</v>
      </c>
      <c r="B165" s="19">
        <v>25146</v>
      </c>
      <c r="C165" s="5" t="s">
        <v>23</v>
      </c>
      <c r="D165" s="6"/>
      <c r="E165" s="15">
        <v>41.649602777799998</v>
      </c>
      <c r="F165" s="15">
        <v>-76.566858333300004</v>
      </c>
      <c r="G165" s="5" t="s">
        <v>96</v>
      </c>
      <c r="H165" s="5">
        <v>59.4</v>
      </c>
      <c r="I165" s="5">
        <v>60.5</v>
      </c>
      <c r="J165" s="5">
        <v>67.599999999999994</v>
      </c>
      <c r="K165" s="5">
        <v>42.5</v>
      </c>
      <c r="L165" s="10">
        <v>0.41666666666666669</v>
      </c>
      <c r="M165" s="10">
        <v>0.63194444444444442</v>
      </c>
      <c r="N165" s="11">
        <f t="shared" si="82"/>
        <v>99.84</v>
      </c>
      <c r="O165" s="11">
        <f t="shared" ref="O165:P165" si="136">AVERAGE(96,96,96,96)*1.04</f>
        <v>99.84</v>
      </c>
      <c r="P165" s="11">
        <f t="shared" si="136"/>
        <v>99.84</v>
      </c>
      <c r="Q165" s="11">
        <f t="shared" si="1"/>
        <v>99.839999999999989</v>
      </c>
      <c r="R165" s="5">
        <v>3</v>
      </c>
      <c r="S165" s="5" t="s">
        <v>15</v>
      </c>
      <c r="T165" s="5" t="s">
        <v>9</v>
      </c>
      <c r="U165" s="5" t="s">
        <v>55</v>
      </c>
      <c r="V165" s="5">
        <v>14.4</v>
      </c>
      <c r="W165" s="5">
        <v>5.7</v>
      </c>
      <c r="X165" s="5">
        <v>39</v>
      </c>
      <c r="Y165" s="5">
        <v>3</v>
      </c>
      <c r="Z165" s="6"/>
      <c r="AA165" s="6"/>
      <c r="AB165" s="6"/>
    </row>
    <row r="166" spans="1:28" ht="16" x14ac:dyDescent="0.2">
      <c r="A166" s="4">
        <v>45803</v>
      </c>
      <c r="B166" s="19">
        <v>25146</v>
      </c>
      <c r="C166" s="5" t="s">
        <v>23</v>
      </c>
      <c r="D166" s="6"/>
      <c r="E166" s="15">
        <v>41.649602777799998</v>
      </c>
      <c r="F166" s="15">
        <v>-76.566858333300004</v>
      </c>
      <c r="G166" s="5" t="s">
        <v>96</v>
      </c>
      <c r="H166" s="5">
        <v>59.4</v>
      </c>
      <c r="I166" s="5">
        <v>60.5</v>
      </c>
      <c r="J166" s="5">
        <v>67.599999999999994</v>
      </c>
      <c r="K166" s="5">
        <v>42.5</v>
      </c>
      <c r="L166" s="10">
        <v>0.41666666666666669</v>
      </c>
      <c r="M166" s="10">
        <v>0.63194444444444442</v>
      </c>
      <c r="N166" s="11">
        <f t="shared" si="82"/>
        <v>99.84</v>
      </c>
      <c r="O166" s="11">
        <f t="shared" ref="O166:P166" si="137">AVERAGE(96,96,96,96)*1.04</f>
        <v>99.84</v>
      </c>
      <c r="P166" s="11">
        <f t="shared" si="137"/>
        <v>99.84</v>
      </c>
      <c r="Q166" s="11">
        <f t="shared" si="1"/>
        <v>99.839999999999989</v>
      </c>
      <c r="R166" s="5">
        <v>3</v>
      </c>
      <c r="S166" s="5" t="s">
        <v>15</v>
      </c>
      <c r="T166" s="5" t="s">
        <v>8</v>
      </c>
      <c r="U166" s="5" t="s">
        <v>8</v>
      </c>
      <c r="V166" s="5" t="s">
        <v>8</v>
      </c>
      <c r="W166" s="5" t="s">
        <v>8</v>
      </c>
      <c r="X166" s="5" t="s">
        <v>8</v>
      </c>
      <c r="Y166" s="5" t="s">
        <v>8</v>
      </c>
      <c r="Z166" s="5"/>
      <c r="AA166" s="5" t="s">
        <v>115</v>
      </c>
      <c r="AB166" s="6"/>
    </row>
    <row r="167" spans="1:28" ht="16" x14ac:dyDescent="0.2">
      <c r="A167" s="4">
        <v>45803</v>
      </c>
      <c r="B167" s="19">
        <v>25146</v>
      </c>
      <c r="C167" s="5" t="s">
        <v>23</v>
      </c>
      <c r="D167" s="6"/>
      <c r="E167" s="15">
        <v>41.649602777799998</v>
      </c>
      <c r="F167" s="15">
        <v>-76.566858333300004</v>
      </c>
      <c r="G167" s="5" t="s">
        <v>96</v>
      </c>
      <c r="H167" s="5">
        <v>59.4</v>
      </c>
      <c r="I167" s="5">
        <v>60.5</v>
      </c>
      <c r="J167" s="5">
        <v>67.599999999999994</v>
      </c>
      <c r="K167" s="5">
        <v>42.5</v>
      </c>
      <c r="L167" s="10">
        <v>0.41666666666666669</v>
      </c>
      <c r="M167" s="10">
        <v>0.63194444444444442</v>
      </c>
      <c r="N167" s="11">
        <f t="shared" si="82"/>
        <v>99.84</v>
      </c>
      <c r="O167" s="11">
        <f t="shared" ref="O167:P167" si="138">AVERAGE(96,96,96,96)*1.04</f>
        <v>99.84</v>
      </c>
      <c r="P167" s="11">
        <f t="shared" si="138"/>
        <v>99.84</v>
      </c>
      <c r="Q167" s="11">
        <f t="shared" si="1"/>
        <v>99.839999999999989</v>
      </c>
      <c r="R167" s="5">
        <v>3</v>
      </c>
      <c r="S167" s="5" t="s">
        <v>105</v>
      </c>
      <c r="T167" s="5" t="s">
        <v>9</v>
      </c>
      <c r="U167" s="5" t="s">
        <v>55</v>
      </c>
      <c r="V167" s="5">
        <v>13.4</v>
      </c>
      <c r="W167" s="5">
        <v>5.5</v>
      </c>
      <c r="X167" s="5">
        <v>70</v>
      </c>
      <c r="Y167" s="5">
        <v>2.5</v>
      </c>
      <c r="Z167" s="5" t="s">
        <v>108</v>
      </c>
      <c r="AA167" s="5" t="s">
        <v>116</v>
      </c>
      <c r="AB167" s="6"/>
    </row>
    <row r="168" spans="1:28" ht="16" x14ac:dyDescent="0.2">
      <c r="A168" s="4">
        <v>45803</v>
      </c>
      <c r="B168" s="19">
        <v>25146</v>
      </c>
      <c r="C168" s="5" t="s">
        <v>23</v>
      </c>
      <c r="D168" s="6"/>
      <c r="E168" s="15">
        <v>41.649602777799998</v>
      </c>
      <c r="F168" s="15">
        <v>-76.566858333300004</v>
      </c>
      <c r="G168" s="5" t="s">
        <v>96</v>
      </c>
      <c r="H168" s="5">
        <v>59.4</v>
      </c>
      <c r="I168" s="5">
        <v>60.5</v>
      </c>
      <c r="J168" s="5">
        <v>67.599999999999994</v>
      </c>
      <c r="K168" s="5">
        <v>42.5</v>
      </c>
      <c r="L168" s="10">
        <v>0.41666666666666669</v>
      </c>
      <c r="M168" s="10">
        <v>0.63194444444444442</v>
      </c>
      <c r="N168" s="11">
        <f t="shared" si="82"/>
        <v>99.84</v>
      </c>
      <c r="O168" s="11">
        <f t="shared" ref="O168:P168" si="139">AVERAGE(96,96,96,96)*1.04</f>
        <v>99.84</v>
      </c>
      <c r="P168" s="11">
        <f t="shared" si="139"/>
        <v>99.84</v>
      </c>
      <c r="Q168" s="11">
        <f t="shared" si="1"/>
        <v>99.839999999999989</v>
      </c>
      <c r="R168" s="5">
        <v>3</v>
      </c>
      <c r="S168" s="5" t="s">
        <v>105</v>
      </c>
      <c r="T168" s="5" t="s">
        <v>9</v>
      </c>
      <c r="U168" s="5" t="s">
        <v>55</v>
      </c>
      <c r="V168" s="5">
        <v>13.7</v>
      </c>
      <c r="W168" s="5">
        <v>5.2</v>
      </c>
      <c r="X168" s="5">
        <v>58</v>
      </c>
      <c r="Y168" s="5">
        <v>2.5</v>
      </c>
      <c r="Z168" s="6"/>
      <c r="AA168" s="6"/>
      <c r="AB168" s="6"/>
    </row>
    <row r="169" spans="1:28" ht="16" x14ac:dyDescent="0.2">
      <c r="A169" s="4">
        <v>45803</v>
      </c>
      <c r="B169" s="19">
        <v>25146</v>
      </c>
      <c r="C169" s="5" t="s">
        <v>23</v>
      </c>
      <c r="D169" s="6"/>
      <c r="E169" s="15">
        <v>41.649602777799998</v>
      </c>
      <c r="F169" s="15">
        <v>-76.566858333300004</v>
      </c>
      <c r="G169" s="5" t="s">
        <v>96</v>
      </c>
      <c r="H169" s="5">
        <v>59.4</v>
      </c>
      <c r="I169" s="5">
        <v>60.5</v>
      </c>
      <c r="J169" s="5">
        <v>67.599999999999994</v>
      </c>
      <c r="K169" s="5">
        <v>42.5</v>
      </c>
      <c r="L169" s="10">
        <v>0.41666666666666669</v>
      </c>
      <c r="M169" s="10">
        <v>0.63194444444444442</v>
      </c>
      <c r="N169" s="11">
        <f t="shared" si="82"/>
        <v>99.84</v>
      </c>
      <c r="O169" s="11">
        <f t="shared" ref="O169:P169" si="140">AVERAGE(96,96,96,96)*1.04</f>
        <v>99.84</v>
      </c>
      <c r="P169" s="11">
        <f t="shared" si="140"/>
        <v>99.84</v>
      </c>
      <c r="Q169" s="11">
        <f t="shared" si="1"/>
        <v>99.839999999999989</v>
      </c>
      <c r="R169" s="5">
        <v>3</v>
      </c>
      <c r="S169" s="5" t="s">
        <v>105</v>
      </c>
      <c r="T169" s="5" t="s">
        <v>9</v>
      </c>
      <c r="U169" s="5" t="s">
        <v>62</v>
      </c>
      <c r="V169" s="5">
        <v>13.4</v>
      </c>
      <c r="W169" s="5">
        <v>6.2</v>
      </c>
      <c r="X169" s="5">
        <v>38</v>
      </c>
      <c r="Y169" s="5">
        <v>4.5</v>
      </c>
      <c r="Z169" s="5"/>
      <c r="AA169" s="5" t="s">
        <v>117</v>
      </c>
      <c r="AB169" s="6"/>
    </row>
    <row r="170" spans="1:28" ht="16" x14ac:dyDescent="0.2">
      <c r="A170" s="4">
        <v>45803</v>
      </c>
      <c r="B170" s="19">
        <v>25146</v>
      </c>
      <c r="C170" s="5" t="s">
        <v>23</v>
      </c>
      <c r="D170" s="6"/>
      <c r="E170" s="15">
        <v>41.649602777799998</v>
      </c>
      <c r="F170" s="15">
        <v>-76.566858333300004</v>
      </c>
      <c r="G170" s="5" t="s">
        <v>96</v>
      </c>
      <c r="H170" s="5">
        <v>59.4</v>
      </c>
      <c r="I170" s="5">
        <v>60.5</v>
      </c>
      <c r="J170" s="5">
        <v>67.599999999999994</v>
      </c>
      <c r="K170" s="5">
        <v>42.5</v>
      </c>
      <c r="L170" s="10">
        <v>0.41666666666666669</v>
      </c>
      <c r="M170" s="10">
        <v>0.63194444444444442</v>
      </c>
      <c r="N170" s="11">
        <f t="shared" si="82"/>
        <v>99.84</v>
      </c>
      <c r="O170" s="11">
        <f t="shared" ref="O170:P170" si="141">AVERAGE(96,96,96,96)*1.04</f>
        <v>99.84</v>
      </c>
      <c r="P170" s="11">
        <f t="shared" si="141"/>
        <v>99.84</v>
      </c>
      <c r="Q170" s="11">
        <f t="shared" si="1"/>
        <v>99.839999999999989</v>
      </c>
      <c r="R170" s="5">
        <v>3</v>
      </c>
      <c r="S170" s="5" t="s">
        <v>14</v>
      </c>
      <c r="T170" s="5" t="s">
        <v>9</v>
      </c>
      <c r="U170" s="5" t="s">
        <v>55</v>
      </c>
      <c r="V170" s="5">
        <v>14.1</v>
      </c>
      <c r="W170" s="5">
        <v>6.1</v>
      </c>
      <c r="X170" s="5">
        <v>60</v>
      </c>
      <c r="Y170" s="5">
        <v>1.5</v>
      </c>
      <c r="Z170" s="6"/>
      <c r="AA170" s="6"/>
      <c r="AB170" s="6"/>
    </row>
    <row r="171" spans="1:28" ht="16" x14ac:dyDescent="0.2">
      <c r="A171" s="4">
        <v>45803</v>
      </c>
      <c r="B171" s="19">
        <v>25146</v>
      </c>
      <c r="C171" s="5" t="s">
        <v>23</v>
      </c>
      <c r="D171" s="6"/>
      <c r="E171" s="15">
        <v>41.649602777799998</v>
      </c>
      <c r="F171" s="15">
        <v>-76.566858333300004</v>
      </c>
      <c r="G171" s="5" t="s">
        <v>96</v>
      </c>
      <c r="H171" s="5">
        <v>59.4</v>
      </c>
      <c r="I171" s="5">
        <v>60.5</v>
      </c>
      <c r="J171" s="5">
        <v>67.599999999999994</v>
      </c>
      <c r="K171" s="5">
        <v>42.5</v>
      </c>
      <c r="L171" s="10">
        <v>0.41666666666666669</v>
      </c>
      <c r="M171" s="10">
        <v>0.63194444444444442</v>
      </c>
      <c r="N171" s="11">
        <f t="shared" si="82"/>
        <v>99.84</v>
      </c>
      <c r="O171" s="11">
        <f t="shared" ref="O171:P171" si="142">AVERAGE(96,96,96,96)*1.04</f>
        <v>99.84</v>
      </c>
      <c r="P171" s="11">
        <f t="shared" si="142"/>
        <v>99.84</v>
      </c>
      <c r="Q171" s="11">
        <f t="shared" si="1"/>
        <v>99.839999999999989</v>
      </c>
      <c r="R171" s="5">
        <v>3</v>
      </c>
      <c r="S171" s="5" t="s">
        <v>118</v>
      </c>
      <c r="T171" s="5" t="s">
        <v>4</v>
      </c>
      <c r="U171" s="5" t="s">
        <v>55</v>
      </c>
      <c r="V171" s="5">
        <v>14.2</v>
      </c>
      <c r="W171" s="5">
        <v>5.9</v>
      </c>
      <c r="X171" s="5">
        <v>58</v>
      </c>
      <c r="Y171" s="5">
        <v>3.5</v>
      </c>
      <c r="Z171" s="6"/>
      <c r="AA171" s="6"/>
      <c r="AB171" s="6"/>
    </row>
    <row r="172" spans="1:28" ht="16" x14ac:dyDescent="0.2">
      <c r="A172" s="4">
        <v>45803</v>
      </c>
      <c r="B172" s="19">
        <v>25146</v>
      </c>
      <c r="C172" s="5" t="s">
        <v>23</v>
      </c>
      <c r="D172" s="6"/>
      <c r="E172" s="15">
        <v>41.649602777799998</v>
      </c>
      <c r="F172" s="15">
        <v>-76.566858333300004</v>
      </c>
      <c r="G172" s="5" t="s">
        <v>96</v>
      </c>
      <c r="H172" s="5">
        <v>59.4</v>
      </c>
      <c r="I172" s="5">
        <v>60.5</v>
      </c>
      <c r="J172" s="5">
        <v>67.599999999999994</v>
      </c>
      <c r="K172" s="5">
        <v>42.5</v>
      </c>
      <c r="L172" s="10">
        <v>0.41666666666666669</v>
      </c>
      <c r="M172" s="10">
        <v>0.63194444444444442</v>
      </c>
      <c r="N172" s="11">
        <f t="shared" si="82"/>
        <v>99.84</v>
      </c>
      <c r="O172" s="11">
        <f t="shared" ref="O172:P172" si="143">AVERAGE(96,96,96,96)*1.04</f>
        <v>99.84</v>
      </c>
      <c r="P172" s="11">
        <f t="shared" si="143"/>
        <v>99.84</v>
      </c>
      <c r="Q172" s="11">
        <f t="shared" si="1"/>
        <v>99.839999999999989</v>
      </c>
      <c r="R172" s="5">
        <v>3</v>
      </c>
      <c r="S172" s="5" t="s">
        <v>14</v>
      </c>
      <c r="T172" s="5" t="s">
        <v>9</v>
      </c>
      <c r="U172" s="5" t="s">
        <v>55</v>
      </c>
      <c r="V172" s="5">
        <v>12.2</v>
      </c>
      <c r="W172" s="5">
        <v>6</v>
      </c>
      <c r="X172" s="5">
        <v>30</v>
      </c>
      <c r="Y172" s="5">
        <v>2</v>
      </c>
      <c r="Z172" s="6"/>
      <c r="AA172" s="6"/>
      <c r="AB172" s="6"/>
    </row>
    <row r="173" spans="1:28" ht="16" x14ac:dyDescent="0.2">
      <c r="A173" s="4">
        <v>45803</v>
      </c>
      <c r="B173" s="19">
        <v>25146</v>
      </c>
      <c r="C173" s="5" t="s">
        <v>23</v>
      </c>
      <c r="D173" s="6"/>
      <c r="E173" s="15">
        <v>41.649602777799998</v>
      </c>
      <c r="F173" s="15">
        <v>-76.566858333300004</v>
      </c>
      <c r="G173" s="5" t="s">
        <v>96</v>
      </c>
      <c r="H173" s="5">
        <v>59.4</v>
      </c>
      <c r="I173" s="5">
        <v>60.5</v>
      </c>
      <c r="J173" s="5">
        <v>67.599999999999994</v>
      </c>
      <c r="K173" s="5">
        <v>42.5</v>
      </c>
      <c r="L173" s="10">
        <v>0.41666666666666669</v>
      </c>
      <c r="M173" s="10">
        <v>0.63194444444444442</v>
      </c>
      <c r="N173" s="11">
        <f t="shared" si="82"/>
        <v>99.84</v>
      </c>
      <c r="O173" s="11">
        <f t="shared" ref="O173:P173" si="144">AVERAGE(96,96,96,96)*1.04</f>
        <v>99.84</v>
      </c>
      <c r="P173" s="11">
        <f t="shared" si="144"/>
        <v>99.84</v>
      </c>
      <c r="Q173" s="11">
        <f t="shared" si="1"/>
        <v>99.839999999999989</v>
      </c>
      <c r="R173" s="5">
        <v>3</v>
      </c>
      <c r="S173" s="5" t="s">
        <v>14</v>
      </c>
      <c r="T173" s="5" t="s">
        <v>9</v>
      </c>
      <c r="U173" s="5" t="s">
        <v>55</v>
      </c>
      <c r="V173" s="5">
        <v>12.2</v>
      </c>
      <c r="W173" s="5">
        <v>5.6</v>
      </c>
      <c r="X173" s="5">
        <v>60</v>
      </c>
      <c r="Y173" s="5">
        <v>2.5</v>
      </c>
      <c r="Z173" s="6"/>
      <c r="AA173" s="6"/>
      <c r="AB173" s="6"/>
    </row>
    <row r="174" spans="1:28" ht="16" x14ac:dyDescent="0.2">
      <c r="A174" s="4">
        <v>45804</v>
      </c>
      <c r="B174" s="19">
        <v>25147</v>
      </c>
      <c r="C174" s="5" t="s">
        <v>24</v>
      </c>
      <c r="D174" s="5" t="s">
        <v>119</v>
      </c>
      <c r="E174" s="15">
        <v>41.792608333300002</v>
      </c>
      <c r="F174" s="15">
        <v>-75.273122222200001</v>
      </c>
      <c r="G174" s="5" t="s">
        <v>120</v>
      </c>
      <c r="H174" s="5">
        <v>63.9</v>
      </c>
      <c r="I174" s="5">
        <v>69.900000000000006</v>
      </c>
      <c r="J174" s="5">
        <v>15.35</v>
      </c>
      <c r="K174" s="5">
        <v>64.8</v>
      </c>
      <c r="L174" s="10">
        <v>0.44305555555555554</v>
      </c>
      <c r="M174" s="10">
        <v>0.64930555555555558</v>
      </c>
      <c r="N174" s="11">
        <f t="shared" si="82"/>
        <v>99.84</v>
      </c>
      <c r="O174" s="11">
        <f t="shared" ref="O174:P174" si="145">AVERAGE(96,96,96,96)*1.04</f>
        <v>99.84</v>
      </c>
      <c r="P174" s="11">
        <f t="shared" si="145"/>
        <v>99.84</v>
      </c>
      <c r="Q174" s="11">
        <f t="shared" si="1"/>
        <v>99.839999999999989</v>
      </c>
      <c r="R174" s="5">
        <v>1</v>
      </c>
      <c r="S174" s="5">
        <v>2.5</v>
      </c>
      <c r="T174" s="5" t="s">
        <v>4</v>
      </c>
      <c r="U174" s="5" t="s">
        <v>55</v>
      </c>
      <c r="V174" s="5">
        <v>12.4</v>
      </c>
      <c r="W174" s="5" t="s">
        <v>8</v>
      </c>
      <c r="X174" s="5" t="s">
        <v>8</v>
      </c>
      <c r="Y174" s="5">
        <v>2</v>
      </c>
      <c r="Z174" s="5"/>
      <c r="AA174" s="5" t="s">
        <v>121</v>
      </c>
      <c r="AB174" s="6"/>
    </row>
    <row r="175" spans="1:28" ht="16" x14ac:dyDescent="0.2">
      <c r="A175" s="4">
        <v>45804</v>
      </c>
      <c r="B175" s="19">
        <v>25147</v>
      </c>
      <c r="C175" s="5" t="s">
        <v>24</v>
      </c>
      <c r="D175" s="6"/>
      <c r="E175" s="15">
        <v>41.792608333300002</v>
      </c>
      <c r="F175" s="15">
        <v>-75.273122222200001</v>
      </c>
      <c r="G175" s="5" t="s">
        <v>120</v>
      </c>
      <c r="H175" s="5">
        <v>63.9</v>
      </c>
      <c r="I175" s="5">
        <v>69.900000000000006</v>
      </c>
      <c r="J175" s="5">
        <v>15.35</v>
      </c>
      <c r="K175" s="5">
        <v>64.8</v>
      </c>
      <c r="L175" s="10">
        <v>0.44305555555555554</v>
      </c>
      <c r="M175" s="10">
        <v>0.64930555555555558</v>
      </c>
      <c r="N175" s="11">
        <f t="shared" si="82"/>
        <v>99.84</v>
      </c>
      <c r="O175" s="11">
        <f t="shared" ref="O175:P175" si="146">AVERAGE(96,96,96,96)*1.04</f>
        <v>99.84</v>
      </c>
      <c r="P175" s="11">
        <f t="shared" si="146"/>
        <v>99.84</v>
      </c>
      <c r="Q175" s="11">
        <f t="shared" si="1"/>
        <v>99.839999999999989</v>
      </c>
      <c r="R175" s="5">
        <v>1</v>
      </c>
      <c r="S175" s="5" t="s">
        <v>15</v>
      </c>
      <c r="T175" s="5" t="s">
        <v>9</v>
      </c>
      <c r="U175" s="5" t="s">
        <v>55</v>
      </c>
      <c r="V175" s="5">
        <v>13.5</v>
      </c>
      <c r="W175" s="5">
        <v>5.7</v>
      </c>
      <c r="X175" s="5">
        <v>70</v>
      </c>
      <c r="Y175" s="5">
        <v>3</v>
      </c>
      <c r="Z175" s="5"/>
      <c r="AA175" s="5" t="s">
        <v>122</v>
      </c>
      <c r="AB175" s="6"/>
    </row>
    <row r="176" spans="1:28" ht="16" x14ac:dyDescent="0.2">
      <c r="A176" s="4">
        <v>45804</v>
      </c>
      <c r="B176" s="19">
        <v>25147</v>
      </c>
      <c r="C176" s="5" t="s">
        <v>24</v>
      </c>
      <c r="D176" s="6"/>
      <c r="E176" s="15">
        <v>41.792608333300002</v>
      </c>
      <c r="F176" s="15">
        <v>-75.273122222200001</v>
      </c>
      <c r="G176" s="5" t="s">
        <v>120</v>
      </c>
      <c r="H176" s="5">
        <v>63.9</v>
      </c>
      <c r="I176" s="5">
        <v>69.900000000000006</v>
      </c>
      <c r="J176" s="5">
        <v>15.35</v>
      </c>
      <c r="K176" s="5">
        <v>64.8</v>
      </c>
      <c r="L176" s="10">
        <v>0.44305555555555554</v>
      </c>
      <c r="M176" s="10">
        <v>0.64930555555555558</v>
      </c>
      <c r="N176" s="11">
        <f t="shared" si="82"/>
        <v>99.84</v>
      </c>
      <c r="O176" s="11">
        <f t="shared" ref="O176:P176" si="147">AVERAGE(96,96,96,96)*1.04</f>
        <v>99.84</v>
      </c>
      <c r="P176" s="11">
        <f t="shared" si="147"/>
        <v>99.84</v>
      </c>
      <c r="Q176" s="11">
        <f t="shared" si="1"/>
        <v>99.839999999999989</v>
      </c>
      <c r="R176" s="5">
        <v>1</v>
      </c>
      <c r="S176" s="5" t="s">
        <v>15</v>
      </c>
      <c r="T176" s="5" t="s">
        <v>9</v>
      </c>
      <c r="U176" s="5" t="s">
        <v>56</v>
      </c>
      <c r="V176" s="5">
        <v>15</v>
      </c>
      <c r="W176" s="5" t="s">
        <v>8</v>
      </c>
      <c r="X176" s="5" t="s">
        <v>8</v>
      </c>
      <c r="Y176" s="5">
        <v>0.5</v>
      </c>
      <c r="Z176" s="5"/>
      <c r="AA176" s="5" t="s">
        <v>58</v>
      </c>
      <c r="AB176" s="6"/>
    </row>
    <row r="177" spans="1:28" ht="16" x14ac:dyDescent="0.2">
      <c r="A177" s="4">
        <v>45804</v>
      </c>
      <c r="B177" s="19">
        <v>25147</v>
      </c>
      <c r="C177" s="5" t="s">
        <v>24</v>
      </c>
      <c r="D177" s="6"/>
      <c r="E177" s="15">
        <v>41.792608333300002</v>
      </c>
      <c r="F177" s="15">
        <v>-75.273122222200001</v>
      </c>
      <c r="G177" s="5" t="s">
        <v>120</v>
      </c>
      <c r="H177" s="5">
        <v>63.9</v>
      </c>
      <c r="I177" s="5">
        <v>69.900000000000006</v>
      </c>
      <c r="J177" s="5">
        <v>15.35</v>
      </c>
      <c r="K177" s="5">
        <v>64.8</v>
      </c>
      <c r="L177" s="10">
        <v>0.44305555555555554</v>
      </c>
      <c r="M177" s="10">
        <v>0.64930555555555558</v>
      </c>
      <c r="N177" s="11">
        <f t="shared" si="82"/>
        <v>99.84</v>
      </c>
      <c r="O177" s="11">
        <f t="shared" ref="O177:P177" si="148">AVERAGE(96,96,96,96)*1.04</f>
        <v>99.84</v>
      </c>
      <c r="P177" s="11">
        <f t="shared" si="148"/>
        <v>99.84</v>
      </c>
      <c r="Q177" s="11">
        <f t="shared" si="1"/>
        <v>99.839999999999989</v>
      </c>
      <c r="R177" s="5">
        <v>1</v>
      </c>
      <c r="S177" s="5" t="s">
        <v>15</v>
      </c>
      <c r="T177" s="5" t="s">
        <v>9</v>
      </c>
      <c r="U177" s="5" t="s">
        <v>56</v>
      </c>
      <c r="V177" s="5">
        <v>11.1</v>
      </c>
      <c r="W177" s="5" t="s">
        <v>8</v>
      </c>
      <c r="X177" s="5" t="s">
        <v>8</v>
      </c>
      <c r="Y177" s="5">
        <v>0.5</v>
      </c>
      <c r="Z177" s="5"/>
      <c r="AA177" s="5" t="s">
        <v>123</v>
      </c>
      <c r="AB177" s="6"/>
    </row>
    <row r="178" spans="1:28" ht="16" x14ac:dyDescent="0.2">
      <c r="A178" s="4">
        <v>45804</v>
      </c>
      <c r="B178" s="19">
        <v>25147</v>
      </c>
      <c r="C178" s="5" t="s">
        <v>24</v>
      </c>
      <c r="D178" s="6"/>
      <c r="E178" s="15">
        <v>41.792608333300002</v>
      </c>
      <c r="F178" s="15">
        <v>-75.273122222200001</v>
      </c>
      <c r="G178" s="5" t="s">
        <v>120</v>
      </c>
      <c r="H178" s="5">
        <v>63.9</v>
      </c>
      <c r="I178" s="5">
        <v>69.900000000000006</v>
      </c>
      <c r="J178" s="5">
        <v>15.35</v>
      </c>
      <c r="K178" s="5">
        <v>64.8</v>
      </c>
      <c r="L178" s="10">
        <v>0.44305555555555554</v>
      </c>
      <c r="M178" s="10">
        <v>0.64930555555555558</v>
      </c>
      <c r="N178" s="11">
        <f t="shared" si="82"/>
        <v>99.84</v>
      </c>
      <c r="O178" s="11">
        <f t="shared" ref="O178:P178" si="149">AVERAGE(96,96,96,96)*1.04</f>
        <v>99.84</v>
      </c>
      <c r="P178" s="11">
        <f t="shared" si="149"/>
        <v>99.84</v>
      </c>
      <c r="Q178" s="11">
        <f t="shared" si="1"/>
        <v>99.839999999999989</v>
      </c>
      <c r="R178" s="5">
        <v>1</v>
      </c>
      <c r="S178" s="5" t="s">
        <v>105</v>
      </c>
      <c r="T178" s="5" t="s">
        <v>9</v>
      </c>
      <c r="U178" s="5" t="s">
        <v>56</v>
      </c>
      <c r="V178" s="5">
        <v>11.3</v>
      </c>
      <c r="W178" s="5" t="s">
        <v>8</v>
      </c>
      <c r="X178" s="5" t="s">
        <v>8</v>
      </c>
      <c r="Y178" s="5">
        <v>3.5</v>
      </c>
      <c r="Z178" s="5"/>
      <c r="AA178" s="5" t="s">
        <v>123</v>
      </c>
      <c r="AB178" s="6"/>
    </row>
    <row r="179" spans="1:28" ht="16" x14ac:dyDescent="0.2">
      <c r="A179" s="4">
        <v>45804</v>
      </c>
      <c r="B179" s="19">
        <v>25147</v>
      </c>
      <c r="C179" s="5" t="s">
        <v>24</v>
      </c>
      <c r="D179" s="6"/>
      <c r="E179" s="15">
        <v>41.792608333300002</v>
      </c>
      <c r="F179" s="15">
        <v>-75.273122222200001</v>
      </c>
      <c r="G179" s="5" t="s">
        <v>120</v>
      </c>
      <c r="H179" s="5">
        <v>63.9</v>
      </c>
      <c r="I179" s="5">
        <v>69.900000000000006</v>
      </c>
      <c r="J179" s="5">
        <v>15.35</v>
      </c>
      <c r="K179" s="5">
        <v>64.8</v>
      </c>
      <c r="L179" s="10">
        <v>0.44305555555555554</v>
      </c>
      <c r="M179" s="10">
        <v>0.64930555555555558</v>
      </c>
      <c r="N179" s="11">
        <f t="shared" si="82"/>
        <v>99.84</v>
      </c>
      <c r="O179" s="11">
        <f t="shared" ref="O179:P179" si="150">AVERAGE(96,96,96,96)*1.04</f>
        <v>99.84</v>
      </c>
      <c r="P179" s="11">
        <f t="shared" si="150"/>
        <v>99.84</v>
      </c>
      <c r="Q179" s="11">
        <f t="shared" si="1"/>
        <v>99.839999999999989</v>
      </c>
      <c r="R179" s="5">
        <v>1</v>
      </c>
      <c r="S179" s="5" t="s">
        <v>105</v>
      </c>
      <c r="T179" s="5" t="s">
        <v>9</v>
      </c>
      <c r="U179" s="5" t="s">
        <v>56</v>
      </c>
      <c r="V179" s="5">
        <v>12.4</v>
      </c>
      <c r="W179" s="5" t="s">
        <v>8</v>
      </c>
      <c r="X179" s="5" t="s">
        <v>8</v>
      </c>
      <c r="Y179" s="5">
        <v>2</v>
      </c>
      <c r="Z179" s="5"/>
      <c r="AA179" s="5" t="s">
        <v>124</v>
      </c>
      <c r="AB179" s="6"/>
    </row>
    <row r="180" spans="1:28" ht="16" x14ac:dyDescent="0.2">
      <c r="A180" s="4">
        <v>45804</v>
      </c>
      <c r="B180" s="19">
        <v>25147</v>
      </c>
      <c r="C180" s="5" t="s">
        <v>24</v>
      </c>
      <c r="D180" s="6"/>
      <c r="E180" s="15">
        <v>41.792608333300002</v>
      </c>
      <c r="F180" s="15">
        <v>-75.273122222200001</v>
      </c>
      <c r="G180" s="5" t="s">
        <v>120</v>
      </c>
      <c r="H180" s="5">
        <v>63.9</v>
      </c>
      <c r="I180" s="5">
        <v>69.900000000000006</v>
      </c>
      <c r="J180" s="5">
        <v>15.35</v>
      </c>
      <c r="K180" s="5">
        <v>64.8</v>
      </c>
      <c r="L180" s="10">
        <v>0.44305555555555554</v>
      </c>
      <c r="M180" s="10">
        <v>0.64930555555555558</v>
      </c>
      <c r="N180" s="11">
        <f t="shared" si="82"/>
        <v>99.84</v>
      </c>
      <c r="O180" s="11">
        <f t="shared" ref="O180:P180" si="151">AVERAGE(96,96,96,96)*1.04</f>
        <v>99.84</v>
      </c>
      <c r="P180" s="11">
        <f t="shared" si="151"/>
        <v>99.84</v>
      </c>
      <c r="Q180" s="11">
        <f t="shared" si="1"/>
        <v>99.839999999999989</v>
      </c>
      <c r="R180" s="5">
        <v>1</v>
      </c>
      <c r="S180" s="5" t="s">
        <v>105</v>
      </c>
      <c r="T180" s="5" t="s">
        <v>9</v>
      </c>
      <c r="U180" s="5" t="s">
        <v>55</v>
      </c>
      <c r="V180" s="5">
        <v>12.4</v>
      </c>
      <c r="W180" s="5">
        <v>6.8</v>
      </c>
      <c r="X180" s="5">
        <v>60</v>
      </c>
      <c r="Y180" s="5">
        <v>2.5</v>
      </c>
      <c r="Z180" s="5"/>
      <c r="AA180" s="5" t="s">
        <v>125</v>
      </c>
      <c r="AB180" s="6"/>
    </row>
    <row r="181" spans="1:28" ht="16" x14ac:dyDescent="0.2">
      <c r="A181" s="4">
        <v>45804</v>
      </c>
      <c r="B181" s="19">
        <v>25147</v>
      </c>
      <c r="C181" s="5" t="s">
        <v>24</v>
      </c>
      <c r="D181" s="6"/>
      <c r="E181" s="15">
        <v>41.792608333300002</v>
      </c>
      <c r="F181" s="15">
        <v>-75.273122222200001</v>
      </c>
      <c r="G181" s="5" t="s">
        <v>120</v>
      </c>
      <c r="H181" s="5">
        <v>63.9</v>
      </c>
      <c r="I181" s="5">
        <v>69.900000000000006</v>
      </c>
      <c r="J181" s="5">
        <v>15.35</v>
      </c>
      <c r="K181" s="5">
        <v>64.8</v>
      </c>
      <c r="L181" s="10">
        <v>0.44305555555555554</v>
      </c>
      <c r="M181" s="10">
        <v>0.64930555555555558</v>
      </c>
      <c r="N181" s="11">
        <f t="shared" si="82"/>
        <v>99.84</v>
      </c>
      <c r="O181" s="11">
        <f t="shared" ref="O181:P181" si="152">AVERAGE(96,96,96,96)*1.04</f>
        <v>99.84</v>
      </c>
      <c r="P181" s="11">
        <f t="shared" si="152"/>
        <v>99.84</v>
      </c>
      <c r="Q181" s="11">
        <f t="shared" si="1"/>
        <v>99.839999999999989</v>
      </c>
      <c r="R181" s="5">
        <v>1</v>
      </c>
      <c r="S181" s="5" t="s">
        <v>14</v>
      </c>
      <c r="T181" s="5" t="s">
        <v>9</v>
      </c>
      <c r="U181" s="5" t="s">
        <v>64</v>
      </c>
      <c r="V181" s="5">
        <v>13</v>
      </c>
      <c r="W181" s="5">
        <v>6.8</v>
      </c>
      <c r="X181" s="5">
        <v>60</v>
      </c>
      <c r="Y181" s="5">
        <v>2.5</v>
      </c>
      <c r="Z181" s="5"/>
      <c r="AA181" s="5" t="s">
        <v>126</v>
      </c>
      <c r="AB181" s="6"/>
    </row>
    <row r="182" spans="1:28" ht="16" x14ac:dyDescent="0.2">
      <c r="A182" s="4">
        <v>45804</v>
      </c>
      <c r="B182" s="19">
        <v>25147</v>
      </c>
      <c r="C182" s="5" t="s">
        <v>24</v>
      </c>
      <c r="D182" s="6"/>
      <c r="E182" s="15">
        <v>41.792608333300002</v>
      </c>
      <c r="F182" s="15">
        <v>-75.273122222200001</v>
      </c>
      <c r="G182" s="5" t="s">
        <v>120</v>
      </c>
      <c r="H182" s="5">
        <v>63.9</v>
      </c>
      <c r="I182" s="5">
        <v>69.900000000000006</v>
      </c>
      <c r="J182" s="5">
        <v>15.35</v>
      </c>
      <c r="K182" s="5">
        <v>64.8</v>
      </c>
      <c r="L182" s="10">
        <v>0.44305555555555554</v>
      </c>
      <c r="M182" s="10">
        <v>0.64930555555555558</v>
      </c>
      <c r="N182" s="11">
        <f t="shared" si="82"/>
        <v>99.84</v>
      </c>
      <c r="O182" s="11">
        <f t="shared" ref="O182:P182" si="153">AVERAGE(96,96,96,96)*1.04</f>
        <v>99.84</v>
      </c>
      <c r="P182" s="11">
        <f t="shared" si="153"/>
        <v>99.84</v>
      </c>
      <c r="Q182" s="11">
        <f t="shared" si="1"/>
        <v>99.839999999999989</v>
      </c>
      <c r="R182" s="5">
        <v>1</v>
      </c>
      <c r="S182" s="5" t="s">
        <v>14</v>
      </c>
      <c r="T182" s="5" t="s">
        <v>9</v>
      </c>
      <c r="U182" s="5" t="s">
        <v>56</v>
      </c>
      <c r="V182" s="5">
        <v>11.2</v>
      </c>
      <c r="W182" s="5" t="s">
        <v>8</v>
      </c>
      <c r="X182" s="5" t="s">
        <v>8</v>
      </c>
      <c r="Y182" s="5">
        <v>1.5</v>
      </c>
      <c r="Z182" s="5"/>
      <c r="AA182" s="5" t="s">
        <v>123</v>
      </c>
      <c r="AB182" s="6"/>
    </row>
    <row r="183" spans="1:28" ht="16" x14ac:dyDescent="0.2">
      <c r="A183" s="4">
        <v>45804</v>
      </c>
      <c r="B183" s="19">
        <v>25147</v>
      </c>
      <c r="C183" s="5" t="s">
        <v>24</v>
      </c>
      <c r="D183" s="6"/>
      <c r="E183" s="15">
        <v>41.792608333300002</v>
      </c>
      <c r="F183" s="15">
        <v>-75.273122222200001</v>
      </c>
      <c r="G183" s="5" t="s">
        <v>120</v>
      </c>
      <c r="H183" s="5">
        <v>63.9</v>
      </c>
      <c r="I183" s="5">
        <v>69.900000000000006</v>
      </c>
      <c r="J183" s="5">
        <v>15.35</v>
      </c>
      <c r="K183" s="5">
        <v>64.8</v>
      </c>
      <c r="L183" s="10">
        <v>0.44305555555555554</v>
      </c>
      <c r="M183" s="10">
        <v>0.64930555555555558</v>
      </c>
      <c r="N183" s="11">
        <f t="shared" si="82"/>
        <v>99.84</v>
      </c>
      <c r="O183" s="11">
        <f t="shared" ref="O183:P183" si="154">AVERAGE(96,96,96,96)*1.04</f>
        <v>99.84</v>
      </c>
      <c r="P183" s="11">
        <f t="shared" si="154"/>
        <v>99.84</v>
      </c>
      <c r="Q183" s="11">
        <f t="shared" si="1"/>
        <v>99.839999999999989</v>
      </c>
      <c r="R183" s="5">
        <v>1</v>
      </c>
      <c r="S183" s="5" t="s">
        <v>14</v>
      </c>
      <c r="T183" s="5" t="s">
        <v>9</v>
      </c>
      <c r="U183" s="5" t="s">
        <v>8</v>
      </c>
      <c r="V183" s="5" t="s">
        <v>8</v>
      </c>
      <c r="W183" s="5" t="s">
        <v>8</v>
      </c>
      <c r="X183" s="5" t="s">
        <v>8</v>
      </c>
      <c r="Y183" s="5" t="s">
        <v>8</v>
      </c>
      <c r="Z183" s="5"/>
      <c r="AA183" s="5" t="s">
        <v>127</v>
      </c>
      <c r="AB183" s="6"/>
    </row>
    <row r="184" spans="1:28" ht="16" x14ac:dyDescent="0.2">
      <c r="A184" s="4">
        <v>45804</v>
      </c>
      <c r="B184" s="19">
        <v>25147</v>
      </c>
      <c r="C184" s="5" t="s">
        <v>24</v>
      </c>
      <c r="D184" s="6"/>
      <c r="E184" s="15">
        <v>41.792608333300002</v>
      </c>
      <c r="F184" s="15">
        <v>-75.273122222200001</v>
      </c>
      <c r="G184" s="5" t="s">
        <v>120</v>
      </c>
      <c r="H184" s="5">
        <v>63.9</v>
      </c>
      <c r="I184" s="5">
        <v>69.900000000000006</v>
      </c>
      <c r="J184" s="5">
        <v>15.35</v>
      </c>
      <c r="K184" s="5">
        <v>64.8</v>
      </c>
      <c r="L184" s="10">
        <v>0.44305555555555554</v>
      </c>
      <c r="M184" s="10">
        <v>0.64930555555555558</v>
      </c>
      <c r="N184" s="11">
        <f t="shared" si="82"/>
        <v>99.84</v>
      </c>
      <c r="O184" s="11">
        <f t="shared" ref="O184:P184" si="155">AVERAGE(96,96,96,96)*1.04</f>
        <v>99.84</v>
      </c>
      <c r="P184" s="11">
        <f t="shared" si="155"/>
        <v>99.84</v>
      </c>
      <c r="Q184" s="11">
        <f t="shared" si="1"/>
        <v>99.839999999999989</v>
      </c>
      <c r="R184" s="5">
        <v>2</v>
      </c>
      <c r="S184" s="5" t="s">
        <v>15</v>
      </c>
      <c r="T184" s="5" t="s">
        <v>9</v>
      </c>
      <c r="U184" s="5" t="s">
        <v>64</v>
      </c>
      <c r="V184" s="5">
        <v>14.3</v>
      </c>
      <c r="W184" s="5" t="s">
        <v>8</v>
      </c>
      <c r="X184" s="5" t="s">
        <v>8</v>
      </c>
      <c r="Y184" s="5">
        <v>2</v>
      </c>
      <c r="Z184" s="5"/>
      <c r="AA184" s="5" t="s">
        <v>123</v>
      </c>
      <c r="AB184" s="6"/>
    </row>
    <row r="185" spans="1:28" ht="16" x14ac:dyDescent="0.2">
      <c r="A185" s="4">
        <v>45804</v>
      </c>
      <c r="B185" s="19">
        <v>25147</v>
      </c>
      <c r="C185" s="5" t="s">
        <v>24</v>
      </c>
      <c r="D185" s="6"/>
      <c r="E185" s="15">
        <v>41.792608333300002</v>
      </c>
      <c r="F185" s="15">
        <v>-75.273122222200001</v>
      </c>
      <c r="G185" s="5" t="s">
        <v>120</v>
      </c>
      <c r="H185" s="5">
        <v>63.9</v>
      </c>
      <c r="I185" s="5">
        <v>69.900000000000006</v>
      </c>
      <c r="J185" s="5">
        <v>15.35</v>
      </c>
      <c r="K185" s="5">
        <v>64.8</v>
      </c>
      <c r="L185" s="10">
        <v>0.44305555555555554</v>
      </c>
      <c r="M185" s="10">
        <v>0.64930555555555558</v>
      </c>
      <c r="N185" s="11">
        <f t="shared" si="82"/>
        <v>99.84</v>
      </c>
      <c r="O185" s="11">
        <f t="shared" ref="O185:P185" si="156">AVERAGE(96,96,96,96)*1.04</f>
        <v>99.84</v>
      </c>
      <c r="P185" s="11">
        <f t="shared" si="156"/>
        <v>99.84</v>
      </c>
      <c r="Q185" s="11">
        <f t="shared" si="1"/>
        <v>99.839999999999989</v>
      </c>
      <c r="R185" s="5">
        <v>2</v>
      </c>
      <c r="S185" s="5" t="s">
        <v>15</v>
      </c>
      <c r="T185" s="5" t="s">
        <v>9</v>
      </c>
      <c r="U185" s="5" t="s">
        <v>56</v>
      </c>
      <c r="V185" s="5">
        <v>12.6</v>
      </c>
      <c r="W185" s="5" t="s">
        <v>8</v>
      </c>
      <c r="X185" s="5" t="s">
        <v>8</v>
      </c>
      <c r="Y185" s="5">
        <v>2.5</v>
      </c>
      <c r="Z185" s="5"/>
      <c r="AA185" s="5" t="s">
        <v>123</v>
      </c>
      <c r="AB185" s="6"/>
    </row>
    <row r="186" spans="1:28" ht="16" x14ac:dyDescent="0.2">
      <c r="A186" s="4">
        <v>45804</v>
      </c>
      <c r="B186" s="19">
        <v>25147</v>
      </c>
      <c r="C186" s="5" t="s">
        <v>24</v>
      </c>
      <c r="D186" s="6"/>
      <c r="E186" s="15">
        <v>41.792608333300002</v>
      </c>
      <c r="F186" s="15">
        <v>-75.273122222200001</v>
      </c>
      <c r="G186" s="5" t="s">
        <v>120</v>
      </c>
      <c r="H186" s="5">
        <v>63.9</v>
      </c>
      <c r="I186" s="5">
        <v>69.900000000000006</v>
      </c>
      <c r="J186" s="5">
        <v>15.35</v>
      </c>
      <c r="K186" s="5">
        <v>64.8</v>
      </c>
      <c r="L186" s="10">
        <v>0.44305555555555554</v>
      </c>
      <c r="M186" s="10">
        <v>0.64930555555555558</v>
      </c>
      <c r="N186" s="11">
        <f t="shared" si="82"/>
        <v>99.84</v>
      </c>
      <c r="O186" s="11">
        <f t="shared" ref="O186:P186" si="157">AVERAGE(96,96,96,96)*1.04</f>
        <v>99.84</v>
      </c>
      <c r="P186" s="11">
        <f t="shared" si="157"/>
        <v>99.84</v>
      </c>
      <c r="Q186" s="11">
        <f t="shared" si="1"/>
        <v>99.839999999999989</v>
      </c>
      <c r="R186" s="5">
        <v>2</v>
      </c>
      <c r="S186" s="5" t="s">
        <v>15</v>
      </c>
      <c r="T186" s="5" t="s">
        <v>9</v>
      </c>
      <c r="U186" s="5" t="s">
        <v>55</v>
      </c>
      <c r="V186" s="5">
        <v>13.1</v>
      </c>
      <c r="W186" s="5" t="s">
        <v>8</v>
      </c>
      <c r="X186" s="5" t="s">
        <v>8</v>
      </c>
      <c r="Y186" s="5">
        <v>2</v>
      </c>
      <c r="Z186" s="5"/>
      <c r="AA186" s="5" t="s">
        <v>123</v>
      </c>
      <c r="AB186" s="6"/>
    </row>
    <row r="187" spans="1:28" ht="16" x14ac:dyDescent="0.2">
      <c r="A187" s="4">
        <v>45804</v>
      </c>
      <c r="B187" s="19">
        <v>25147</v>
      </c>
      <c r="C187" s="5" t="s">
        <v>24</v>
      </c>
      <c r="D187" s="6"/>
      <c r="E187" s="15">
        <v>41.792608333300002</v>
      </c>
      <c r="F187" s="15">
        <v>-75.273122222200001</v>
      </c>
      <c r="G187" s="5" t="s">
        <v>120</v>
      </c>
      <c r="H187" s="5">
        <v>63.9</v>
      </c>
      <c r="I187" s="5">
        <v>69.900000000000006</v>
      </c>
      <c r="J187" s="5">
        <v>15.35</v>
      </c>
      <c r="K187" s="5">
        <v>64.8</v>
      </c>
      <c r="L187" s="10">
        <v>0.44305555555555554</v>
      </c>
      <c r="M187" s="10">
        <v>0.64930555555555558</v>
      </c>
      <c r="N187" s="11">
        <f t="shared" si="82"/>
        <v>99.84</v>
      </c>
      <c r="O187" s="11">
        <f t="shared" ref="O187:P187" si="158">AVERAGE(96,96,96,96)*1.04</f>
        <v>99.84</v>
      </c>
      <c r="P187" s="11">
        <f t="shared" si="158"/>
        <v>99.84</v>
      </c>
      <c r="Q187" s="11">
        <f t="shared" si="1"/>
        <v>99.839999999999989</v>
      </c>
      <c r="R187" s="5">
        <v>2</v>
      </c>
      <c r="S187" s="5" t="s">
        <v>105</v>
      </c>
      <c r="T187" s="5" t="s">
        <v>9</v>
      </c>
      <c r="U187" s="5" t="s">
        <v>55</v>
      </c>
      <c r="V187" s="5">
        <v>13.2</v>
      </c>
      <c r="W187" s="5">
        <v>5.2</v>
      </c>
      <c r="X187" s="5">
        <v>65</v>
      </c>
      <c r="Y187" s="5">
        <v>2</v>
      </c>
      <c r="Z187" s="6"/>
      <c r="AA187" s="6"/>
      <c r="AB187" s="6"/>
    </row>
    <row r="188" spans="1:28" ht="16" x14ac:dyDescent="0.2">
      <c r="A188" s="4">
        <v>45804</v>
      </c>
      <c r="B188" s="19">
        <v>25147</v>
      </c>
      <c r="C188" s="5" t="s">
        <v>24</v>
      </c>
      <c r="D188" s="6"/>
      <c r="E188" s="15">
        <v>41.792608333300002</v>
      </c>
      <c r="F188" s="15">
        <v>-75.273122222200001</v>
      </c>
      <c r="G188" s="5" t="s">
        <v>120</v>
      </c>
      <c r="H188" s="5">
        <v>63.9</v>
      </c>
      <c r="I188" s="5">
        <v>69.900000000000006</v>
      </c>
      <c r="J188" s="5">
        <v>15.35</v>
      </c>
      <c r="K188" s="5">
        <v>64.8</v>
      </c>
      <c r="L188" s="10">
        <v>0.44305555555555554</v>
      </c>
      <c r="M188" s="10">
        <v>0.64930555555555558</v>
      </c>
      <c r="N188" s="11">
        <f t="shared" si="82"/>
        <v>99.84</v>
      </c>
      <c r="O188" s="11">
        <f t="shared" ref="O188:P188" si="159">AVERAGE(96,96,96,96)*1.04</f>
        <v>99.84</v>
      </c>
      <c r="P188" s="11">
        <f t="shared" si="159"/>
        <v>99.84</v>
      </c>
      <c r="Q188" s="11">
        <f t="shared" si="1"/>
        <v>99.839999999999989</v>
      </c>
      <c r="R188" s="5">
        <v>2</v>
      </c>
      <c r="S188" s="5" t="s">
        <v>105</v>
      </c>
      <c r="T188" s="5" t="s">
        <v>9</v>
      </c>
      <c r="U188" s="5" t="s">
        <v>56</v>
      </c>
      <c r="V188" s="5">
        <v>12.5</v>
      </c>
      <c r="W188" s="5" t="s">
        <v>8</v>
      </c>
      <c r="X188" s="5" t="s">
        <v>8</v>
      </c>
      <c r="Y188" s="5">
        <v>1.5</v>
      </c>
      <c r="Z188" s="5"/>
      <c r="AA188" s="5" t="s">
        <v>123</v>
      </c>
      <c r="AB188" s="6"/>
    </row>
    <row r="189" spans="1:28" ht="16" x14ac:dyDescent="0.2">
      <c r="A189" s="4">
        <v>45804</v>
      </c>
      <c r="B189" s="19">
        <v>25147</v>
      </c>
      <c r="C189" s="5" t="s">
        <v>24</v>
      </c>
      <c r="D189" s="6"/>
      <c r="E189" s="15">
        <v>41.792608333300002</v>
      </c>
      <c r="F189" s="15">
        <v>-75.273122222200001</v>
      </c>
      <c r="G189" s="5" t="s">
        <v>120</v>
      </c>
      <c r="H189" s="5">
        <v>63.9</v>
      </c>
      <c r="I189" s="5">
        <v>69.900000000000006</v>
      </c>
      <c r="J189" s="5">
        <v>15.35</v>
      </c>
      <c r="K189" s="5">
        <v>64.8</v>
      </c>
      <c r="L189" s="10">
        <v>0.44305555555555554</v>
      </c>
      <c r="M189" s="10">
        <v>0.64930555555555558</v>
      </c>
      <c r="N189" s="11">
        <f t="shared" si="82"/>
        <v>99.84</v>
      </c>
      <c r="O189" s="11">
        <f t="shared" ref="O189:P189" si="160">AVERAGE(96,96,96,96)*1.04</f>
        <v>99.84</v>
      </c>
      <c r="P189" s="11">
        <f t="shared" si="160"/>
        <v>99.84</v>
      </c>
      <c r="Q189" s="11">
        <f t="shared" si="1"/>
        <v>99.839999999999989</v>
      </c>
      <c r="R189" s="5">
        <v>2</v>
      </c>
      <c r="S189" s="5" t="s">
        <v>105</v>
      </c>
      <c r="T189" s="5" t="s">
        <v>9</v>
      </c>
      <c r="U189" s="5" t="s">
        <v>55</v>
      </c>
      <c r="V189" s="5">
        <v>13.6</v>
      </c>
      <c r="W189" s="5" t="s">
        <v>8</v>
      </c>
      <c r="X189" s="5" t="s">
        <v>8</v>
      </c>
      <c r="Y189" s="5">
        <v>3</v>
      </c>
      <c r="Z189" s="5"/>
      <c r="AA189" s="5" t="s">
        <v>123</v>
      </c>
      <c r="AB189" s="6"/>
    </row>
    <row r="190" spans="1:28" ht="16" x14ac:dyDescent="0.2">
      <c r="A190" s="4">
        <v>45804</v>
      </c>
      <c r="B190" s="19">
        <v>25147</v>
      </c>
      <c r="C190" s="5" t="s">
        <v>24</v>
      </c>
      <c r="D190" s="6"/>
      <c r="E190" s="15">
        <v>41.792608333300002</v>
      </c>
      <c r="F190" s="15">
        <v>-75.273122222200001</v>
      </c>
      <c r="G190" s="5" t="s">
        <v>120</v>
      </c>
      <c r="H190" s="5">
        <v>63.9</v>
      </c>
      <c r="I190" s="5">
        <v>69.900000000000006</v>
      </c>
      <c r="J190" s="5">
        <v>15.35</v>
      </c>
      <c r="K190" s="5">
        <v>64.8</v>
      </c>
      <c r="L190" s="10">
        <v>0.44305555555555554</v>
      </c>
      <c r="M190" s="10">
        <v>0.64930555555555558</v>
      </c>
      <c r="N190" s="11">
        <f t="shared" si="82"/>
        <v>99.84</v>
      </c>
      <c r="O190" s="11">
        <f t="shared" ref="O190:P190" si="161">AVERAGE(96,96,96,96)*1.04</f>
        <v>99.84</v>
      </c>
      <c r="P190" s="11">
        <f t="shared" si="161"/>
        <v>99.84</v>
      </c>
      <c r="Q190" s="11">
        <f t="shared" si="1"/>
        <v>99.839999999999989</v>
      </c>
      <c r="R190" s="5">
        <v>2</v>
      </c>
      <c r="S190" s="5" t="s">
        <v>14</v>
      </c>
      <c r="T190" s="5" t="s">
        <v>9</v>
      </c>
      <c r="U190" s="5" t="s">
        <v>55</v>
      </c>
      <c r="V190" s="5">
        <v>13.6</v>
      </c>
      <c r="W190" s="5">
        <v>5.6</v>
      </c>
      <c r="X190" s="5">
        <v>77</v>
      </c>
      <c r="Y190" s="5">
        <v>2.5</v>
      </c>
      <c r="Z190" s="6"/>
      <c r="AA190" s="6"/>
      <c r="AB190" s="6"/>
    </row>
    <row r="191" spans="1:28" ht="16" x14ac:dyDescent="0.2">
      <c r="A191" s="4">
        <v>45804</v>
      </c>
      <c r="B191" s="19">
        <v>25147</v>
      </c>
      <c r="C191" s="5" t="s">
        <v>24</v>
      </c>
      <c r="D191" s="6"/>
      <c r="E191" s="15">
        <v>41.792608333300002</v>
      </c>
      <c r="F191" s="15">
        <v>-75.273122222200001</v>
      </c>
      <c r="G191" s="5" t="s">
        <v>120</v>
      </c>
      <c r="H191" s="5">
        <v>63.9</v>
      </c>
      <c r="I191" s="5">
        <v>69.900000000000006</v>
      </c>
      <c r="J191" s="5">
        <v>15.35</v>
      </c>
      <c r="K191" s="5">
        <v>64.8</v>
      </c>
      <c r="L191" s="10">
        <v>0.44305555555555554</v>
      </c>
      <c r="M191" s="10">
        <v>0.64930555555555558</v>
      </c>
      <c r="N191" s="11">
        <f t="shared" si="82"/>
        <v>99.84</v>
      </c>
      <c r="O191" s="11">
        <f t="shared" ref="O191:P191" si="162">AVERAGE(96,96,96,96)*1.04</f>
        <v>99.84</v>
      </c>
      <c r="P191" s="11">
        <f t="shared" si="162"/>
        <v>99.84</v>
      </c>
      <c r="Q191" s="11">
        <f t="shared" si="1"/>
        <v>99.839999999999989</v>
      </c>
      <c r="R191" s="5">
        <v>2</v>
      </c>
      <c r="S191" s="5" t="s">
        <v>14</v>
      </c>
      <c r="T191" s="5" t="s">
        <v>9</v>
      </c>
      <c r="U191" s="5" t="s">
        <v>55</v>
      </c>
      <c r="V191" s="5">
        <v>12.3</v>
      </c>
      <c r="W191" s="5">
        <v>5.8</v>
      </c>
      <c r="X191" s="5">
        <v>75</v>
      </c>
      <c r="Y191" s="5">
        <v>6.5</v>
      </c>
      <c r="Z191" s="6"/>
      <c r="AA191" s="6"/>
      <c r="AB191" s="6"/>
    </row>
    <row r="192" spans="1:28" ht="16" x14ac:dyDescent="0.2">
      <c r="A192" s="4">
        <v>45804</v>
      </c>
      <c r="B192" s="19">
        <v>25147</v>
      </c>
      <c r="C192" s="5" t="s">
        <v>24</v>
      </c>
      <c r="D192" s="6"/>
      <c r="E192" s="15">
        <v>41.792608333300002</v>
      </c>
      <c r="F192" s="15">
        <v>-75.273122222200001</v>
      </c>
      <c r="G192" s="5" t="s">
        <v>120</v>
      </c>
      <c r="H192" s="5">
        <v>63.9</v>
      </c>
      <c r="I192" s="5">
        <v>69.900000000000006</v>
      </c>
      <c r="J192" s="5">
        <v>15.35</v>
      </c>
      <c r="K192" s="5">
        <v>64.8</v>
      </c>
      <c r="L192" s="10">
        <v>0.44305555555555554</v>
      </c>
      <c r="M192" s="10">
        <v>0.64930555555555558</v>
      </c>
      <c r="N192" s="11">
        <f t="shared" si="82"/>
        <v>99.84</v>
      </c>
      <c r="O192" s="11">
        <f t="shared" ref="O192:P192" si="163">AVERAGE(96,96,96,96)*1.04</f>
        <v>99.84</v>
      </c>
      <c r="P192" s="11">
        <f t="shared" si="163"/>
        <v>99.84</v>
      </c>
      <c r="Q192" s="11">
        <f t="shared" si="1"/>
        <v>99.839999999999989</v>
      </c>
      <c r="R192" s="5">
        <v>2</v>
      </c>
      <c r="S192" s="5" t="s">
        <v>14</v>
      </c>
      <c r="T192" s="5" t="s">
        <v>9</v>
      </c>
      <c r="U192" s="5" t="s">
        <v>55</v>
      </c>
      <c r="V192" s="5">
        <v>14.1</v>
      </c>
      <c r="W192" s="5" t="s">
        <v>8</v>
      </c>
      <c r="X192" s="5" t="s">
        <v>8</v>
      </c>
      <c r="Y192" s="5">
        <v>2</v>
      </c>
      <c r="Z192" s="5"/>
      <c r="AA192" s="5" t="s">
        <v>123</v>
      </c>
      <c r="AB192" s="6"/>
    </row>
    <row r="193" spans="1:28" ht="16" x14ac:dyDescent="0.2">
      <c r="A193" s="4">
        <v>45804</v>
      </c>
      <c r="B193" s="19">
        <v>25147</v>
      </c>
      <c r="C193" s="5" t="s">
        <v>24</v>
      </c>
      <c r="D193" s="6"/>
      <c r="E193" s="15">
        <v>41.792608333300002</v>
      </c>
      <c r="F193" s="15">
        <v>-75.273122222200001</v>
      </c>
      <c r="G193" s="5" t="s">
        <v>120</v>
      </c>
      <c r="H193" s="5">
        <v>63.9</v>
      </c>
      <c r="I193" s="5">
        <v>69.900000000000006</v>
      </c>
      <c r="J193" s="5">
        <v>15.35</v>
      </c>
      <c r="K193" s="5">
        <v>64.8</v>
      </c>
      <c r="L193" s="10">
        <v>0.44305555555555554</v>
      </c>
      <c r="M193" s="10">
        <v>0.64930555555555558</v>
      </c>
      <c r="N193" s="11">
        <f t="shared" si="82"/>
        <v>99.84</v>
      </c>
      <c r="O193" s="11">
        <f t="shared" ref="O193:P193" si="164">AVERAGE(96,96,96,96)*1.04</f>
        <v>99.84</v>
      </c>
      <c r="P193" s="11">
        <f t="shared" si="164"/>
        <v>99.84</v>
      </c>
      <c r="Q193" s="11">
        <f t="shared" si="1"/>
        <v>99.839999999999989</v>
      </c>
      <c r="R193" s="5">
        <v>3</v>
      </c>
      <c r="S193" s="5" t="s">
        <v>15</v>
      </c>
      <c r="T193" s="5" t="s">
        <v>9</v>
      </c>
      <c r="U193" s="5" t="s">
        <v>55</v>
      </c>
      <c r="V193" s="5">
        <v>15.6</v>
      </c>
      <c r="W193" s="5">
        <v>5.8</v>
      </c>
      <c r="X193" s="5">
        <v>52</v>
      </c>
      <c r="Y193" s="5">
        <v>2.5</v>
      </c>
      <c r="Z193" s="6"/>
      <c r="AA193" s="6"/>
      <c r="AB193" s="6"/>
    </row>
    <row r="194" spans="1:28" ht="16" x14ac:dyDescent="0.2">
      <c r="A194" s="4">
        <v>45804</v>
      </c>
      <c r="B194" s="19">
        <v>25147</v>
      </c>
      <c r="C194" s="5" t="s">
        <v>24</v>
      </c>
      <c r="D194" s="6"/>
      <c r="E194" s="15">
        <v>41.792608333300002</v>
      </c>
      <c r="F194" s="15">
        <v>-75.273122222200001</v>
      </c>
      <c r="G194" s="5" t="s">
        <v>120</v>
      </c>
      <c r="H194" s="5">
        <v>63.9</v>
      </c>
      <c r="I194" s="5">
        <v>69.900000000000006</v>
      </c>
      <c r="J194" s="5">
        <v>15.35</v>
      </c>
      <c r="K194" s="5">
        <v>64.8</v>
      </c>
      <c r="L194" s="10">
        <v>0.44305555555555554</v>
      </c>
      <c r="M194" s="10">
        <v>0.64930555555555558</v>
      </c>
      <c r="N194" s="11">
        <f t="shared" si="82"/>
        <v>99.84</v>
      </c>
      <c r="O194" s="11">
        <f t="shared" ref="O194:P194" si="165">AVERAGE(96,96,96,96)*1.04</f>
        <v>99.84</v>
      </c>
      <c r="P194" s="11">
        <f t="shared" si="165"/>
        <v>99.84</v>
      </c>
      <c r="Q194" s="11">
        <f t="shared" si="1"/>
        <v>99.839999999999989</v>
      </c>
      <c r="R194" s="5">
        <v>3</v>
      </c>
      <c r="S194" s="5" t="s">
        <v>15</v>
      </c>
      <c r="T194" s="5" t="s">
        <v>9</v>
      </c>
      <c r="U194" s="5" t="s">
        <v>55</v>
      </c>
      <c r="V194" s="5">
        <v>14.6</v>
      </c>
      <c r="W194" s="5">
        <v>6.3</v>
      </c>
      <c r="X194" s="5">
        <v>52</v>
      </c>
      <c r="Y194" s="5">
        <v>2.5</v>
      </c>
      <c r="Z194" s="6"/>
      <c r="AA194" s="6"/>
      <c r="AB194" s="6"/>
    </row>
    <row r="195" spans="1:28" ht="16" x14ac:dyDescent="0.2">
      <c r="A195" s="4">
        <v>45804</v>
      </c>
      <c r="B195" s="19">
        <v>25147</v>
      </c>
      <c r="C195" s="5" t="s">
        <v>24</v>
      </c>
      <c r="D195" s="6"/>
      <c r="E195" s="15">
        <v>41.792608333300002</v>
      </c>
      <c r="F195" s="15">
        <v>-75.273122222200001</v>
      </c>
      <c r="G195" s="5" t="s">
        <v>120</v>
      </c>
      <c r="H195" s="5">
        <v>63.9</v>
      </c>
      <c r="I195" s="5">
        <v>69.900000000000006</v>
      </c>
      <c r="J195" s="5">
        <v>15.35</v>
      </c>
      <c r="K195" s="5">
        <v>64.8</v>
      </c>
      <c r="L195" s="10">
        <v>0.44305555555555554</v>
      </c>
      <c r="M195" s="10">
        <v>0.64930555555555558</v>
      </c>
      <c r="N195" s="11">
        <f t="shared" si="82"/>
        <v>99.84</v>
      </c>
      <c r="O195" s="11">
        <f t="shared" ref="O195:P195" si="166">AVERAGE(96,96,96,96)*1.04</f>
        <v>99.84</v>
      </c>
      <c r="P195" s="11">
        <f t="shared" si="166"/>
        <v>99.84</v>
      </c>
      <c r="Q195" s="11">
        <f t="shared" si="1"/>
        <v>99.839999999999989</v>
      </c>
      <c r="R195" s="5">
        <v>3</v>
      </c>
      <c r="S195" s="5" t="s">
        <v>15</v>
      </c>
      <c r="T195" s="5" t="s">
        <v>9</v>
      </c>
      <c r="U195" s="5" t="s">
        <v>55</v>
      </c>
      <c r="V195" s="5">
        <v>13.8</v>
      </c>
      <c r="W195" s="5">
        <v>5.7</v>
      </c>
      <c r="X195" s="5">
        <v>70</v>
      </c>
      <c r="Y195" s="5">
        <v>2</v>
      </c>
      <c r="Z195" s="5"/>
      <c r="AA195" s="5" t="s">
        <v>128</v>
      </c>
      <c r="AB195" s="6"/>
    </row>
    <row r="196" spans="1:28" ht="16" x14ac:dyDescent="0.2">
      <c r="A196" s="4">
        <v>45804</v>
      </c>
      <c r="B196" s="19">
        <v>25147</v>
      </c>
      <c r="C196" s="5" t="s">
        <v>24</v>
      </c>
      <c r="D196" s="6"/>
      <c r="E196" s="15">
        <v>41.792608333300002</v>
      </c>
      <c r="F196" s="15">
        <v>-75.273122222200001</v>
      </c>
      <c r="G196" s="5" t="s">
        <v>120</v>
      </c>
      <c r="H196" s="5">
        <v>63.9</v>
      </c>
      <c r="I196" s="5">
        <v>69.900000000000006</v>
      </c>
      <c r="J196" s="5">
        <v>15.35</v>
      </c>
      <c r="K196" s="5">
        <v>64.8</v>
      </c>
      <c r="L196" s="10">
        <v>0.44305555555555554</v>
      </c>
      <c r="M196" s="10">
        <v>0.64930555555555558</v>
      </c>
      <c r="N196" s="11">
        <f t="shared" si="82"/>
        <v>99.84</v>
      </c>
      <c r="O196" s="11">
        <f t="shared" ref="O196:P196" si="167">AVERAGE(96,96,96,96)*1.04</f>
        <v>99.84</v>
      </c>
      <c r="P196" s="11">
        <f t="shared" si="167"/>
        <v>99.84</v>
      </c>
      <c r="Q196" s="11">
        <f t="shared" si="1"/>
        <v>99.839999999999989</v>
      </c>
      <c r="R196" s="5">
        <v>3</v>
      </c>
      <c r="S196" s="5" t="s">
        <v>105</v>
      </c>
      <c r="T196" s="5" t="s">
        <v>9</v>
      </c>
      <c r="U196" s="5" t="s">
        <v>55</v>
      </c>
      <c r="V196" s="5">
        <v>16.7</v>
      </c>
      <c r="W196" s="5" t="s">
        <v>8</v>
      </c>
      <c r="X196" s="5" t="s">
        <v>8</v>
      </c>
      <c r="Y196" s="5">
        <v>1.5</v>
      </c>
      <c r="Z196" s="5"/>
      <c r="AA196" s="5" t="s">
        <v>123</v>
      </c>
      <c r="AB196" s="6"/>
    </row>
    <row r="197" spans="1:28" ht="16" x14ac:dyDescent="0.2">
      <c r="A197" s="4">
        <v>45804</v>
      </c>
      <c r="B197" s="19">
        <v>25147</v>
      </c>
      <c r="C197" s="5" t="s">
        <v>24</v>
      </c>
      <c r="D197" s="6"/>
      <c r="E197" s="15">
        <v>41.792608333300002</v>
      </c>
      <c r="F197" s="15">
        <v>-75.273122222200001</v>
      </c>
      <c r="G197" s="5" t="s">
        <v>120</v>
      </c>
      <c r="H197" s="5">
        <v>63.9</v>
      </c>
      <c r="I197" s="5">
        <v>69.900000000000006</v>
      </c>
      <c r="J197" s="5">
        <v>15.35</v>
      </c>
      <c r="K197" s="5">
        <v>64.8</v>
      </c>
      <c r="L197" s="10">
        <v>0.44305555555555554</v>
      </c>
      <c r="M197" s="10">
        <v>0.64930555555555558</v>
      </c>
      <c r="N197" s="11">
        <f t="shared" si="82"/>
        <v>99.84</v>
      </c>
      <c r="O197" s="11">
        <f t="shared" ref="O197:P197" si="168">AVERAGE(96,96,96,96)*1.04</f>
        <v>99.84</v>
      </c>
      <c r="P197" s="11">
        <f t="shared" si="168"/>
        <v>99.84</v>
      </c>
      <c r="Q197" s="11">
        <f t="shared" si="1"/>
        <v>99.839999999999989</v>
      </c>
      <c r="R197" s="5">
        <v>3</v>
      </c>
      <c r="S197" s="5" t="s">
        <v>105</v>
      </c>
      <c r="T197" s="5" t="s">
        <v>9</v>
      </c>
      <c r="U197" s="5" t="s">
        <v>55</v>
      </c>
      <c r="V197" s="5">
        <v>14.2</v>
      </c>
      <c r="W197" s="5">
        <v>5.3</v>
      </c>
      <c r="X197" s="5">
        <v>68</v>
      </c>
      <c r="Y197" s="5">
        <v>4.5</v>
      </c>
      <c r="Z197" s="6"/>
      <c r="AA197" s="6"/>
      <c r="AB197" s="6"/>
    </row>
    <row r="198" spans="1:28" ht="16" x14ac:dyDescent="0.2">
      <c r="A198" s="4">
        <v>45804</v>
      </c>
      <c r="B198" s="19">
        <v>25147</v>
      </c>
      <c r="C198" s="5" t="s">
        <v>24</v>
      </c>
      <c r="D198" s="6"/>
      <c r="E198" s="15">
        <v>41.792608333300002</v>
      </c>
      <c r="F198" s="15">
        <v>-75.273122222200001</v>
      </c>
      <c r="G198" s="5" t="s">
        <v>120</v>
      </c>
      <c r="H198" s="5">
        <v>63.9</v>
      </c>
      <c r="I198" s="5">
        <v>69.900000000000006</v>
      </c>
      <c r="J198" s="5">
        <v>15.35</v>
      </c>
      <c r="K198" s="5">
        <v>64.8</v>
      </c>
      <c r="L198" s="10">
        <v>0.44305555555555554</v>
      </c>
      <c r="M198" s="10">
        <v>0.64930555555555558</v>
      </c>
      <c r="N198" s="11">
        <f t="shared" si="82"/>
        <v>99.84</v>
      </c>
      <c r="O198" s="11">
        <f t="shared" ref="O198:P198" si="169">AVERAGE(96,96,96,96)*1.04</f>
        <v>99.84</v>
      </c>
      <c r="P198" s="11">
        <f t="shared" si="169"/>
        <v>99.84</v>
      </c>
      <c r="Q198" s="11">
        <f t="shared" si="1"/>
        <v>99.839999999999989</v>
      </c>
      <c r="R198" s="5">
        <v>3</v>
      </c>
      <c r="S198" s="5" t="s">
        <v>105</v>
      </c>
      <c r="T198" s="5" t="s">
        <v>9</v>
      </c>
      <c r="U198" s="5" t="s">
        <v>55</v>
      </c>
      <c r="V198" s="5">
        <v>16.8</v>
      </c>
      <c r="W198" s="5">
        <v>5.8</v>
      </c>
      <c r="X198" s="5">
        <v>42</v>
      </c>
      <c r="Y198" s="5">
        <v>2</v>
      </c>
      <c r="Z198" s="6"/>
      <c r="AA198" s="6"/>
      <c r="AB198" s="6"/>
    </row>
    <row r="199" spans="1:28" ht="16" x14ac:dyDescent="0.2">
      <c r="A199" s="4">
        <v>45804</v>
      </c>
      <c r="B199" s="19">
        <v>25147</v>
      </c>
      <c r="C199" s="5" t="s">
        <v>24</v>
      </c>
      <c r="D199" s="6"/>
      <c r="E199" s="15">
        <v>41.792608333300002</v>
      </c>
      <c r="F199" s="15">
        <v>-75.273122222200001</v>
      </c>
      <c r="G199" s="5" t="s">
        <v>120</v>
      </c>
      <c r="H199" s="5">
        <v>63.9</v>
      </c>
      <c r="I199" s="5">
        <v>69.900000000000006</v>
      </c>
      <c r="J199" s="5">
        <v>15.35</v>
      </c>
      <c r="K199" s="5">
        <v>64.8</v>
      </c>
      <c r="L199" s="10">
        <v>0.44305555555555554</v>
      </c>
      <c r="M199" s="10">
        <v>0.64930555555555558</v>
      </c>
      <c r="N199" s="11">
        <f t="shared" si="82"/>
        <v>99.84</v>
      </c>
      <c r="O199" s="11">
        <f t="shared" ref="O199:P199" si="170">AVERAGE(96,96,96,96)*1.04</f>
        <v>99.84</v>
      </c>
      <c r="P199" s="11">
        <f t="shared" si="170"/>
        <v>99.84</v>
      </c>
      <c r="Q199" s="11">
        <f t="shared" si="1"/>
        <v>99.839999999999989</v>
      </c>
      <c r="R199" s="5">
        <v>3</v>
      </c>
      <c r="S199" s="5" t="s">
        <v>14</v>
      </c>
      <c r="T199" s="5" t="s">
        <v>9</v>
      </c>
      <c r="U199" s="5" t="s">
        <v>56</v>
      </c>
      <c r="V199" s="5">
        <v>13.7</v>
      </c>
      <c r="W199" s="5" t="s">
        <v>8</v>
      </c>
      <c r="X199" s="5" t="s">
        <v>8</v>
      </c>
      <c r="Y199" s="5">
        <v>3.5</v>
      </c>
      <c r="Z199" s="5"/>
      <c r="AA199" s="5" t="s">
        <v>123</v>
      </c>
      <c r="AB199" s="6"/>
    </row>
    <row r="200" spans="1:28" ht="16" x14ac:dyDescent="0.2">
      <c r="A200" s="4">
        <v>45804</v>
      </c>
      <c r="B200" s="19">
        <v>25147</v>
      </c>
      <c r="C200" s="5" t="s">
        <v>24</v>
      </c>
      <c r="D200" s="6"/>
      <c r="E200" s="15">
        <v>41.792608333300002</v>
      </c>
      <c r="F200" s="15">
        <v>-75.273122222200001</v>
      </c>
      <c r="G200" s="5" t="s">
        <v>120</v>
      </c>
      <c r="H200" s="5">
        <v>63.9</v>
      </c>
      <c r="I200" s="5">
        <v>69.900000000000006</v>
      </c>
      <c r="J200" s="5">
        <v>15.35</v>
      </c>
      <c r="K200" s="5">
        <v>64.8</v>
      </c>
      <c r="L200" s="10">
        <v>0.44305555555555554</v>
      </c>
      <c r="M200" s="10">
        <v>0.64930555555555558</v>
      </c>
      <c r="N200" s="11">
        <f t="shared" si="82"/>
        <v>99.84</v>
      </c>
      <c r="O200" s="11">
        <f t="shared" ref="O200:P200" si="171">AVERAGE(96,96,96,96)*1.04</f>
        <v>99.84</v>
      </c>
      <c r="P200" s="11">
        <f t="shared" si="171"/>
        <v>99.84</v>
      </c>
      <c r="Q200" s="11">
        <f t="shared" si="1"/>
        <v>99.839999999999989</v>
      </c>
      <c r="R200" s="5">
        <v>3</v>
      </c>
      <c r="S200" s="5">
        <v>30</v>
      </c>
      <c r="T200" s="5" t="s">
        <v>4</v>
      </c>
      <c r="U200" s="5" t="s">
        <v>55</v>
      </c>
      <c r="V200" s="5">
        <v>14.3</v>
      </c>
      <c r="W200" s="5" t="s">
        <v>8</v>
      </c>
      <c r="X200" s="5" t="s">
        <v>8</v>
      </c>
      <c r="Y200" s="5">
        <v>2</v>
      </c>
      <c r="Z200" s="5"/>
      <c r="AA200" s="5" t="s">
        <v>129</v>
      </c>
      <c r="AB200" s="6"/>
    </row>
    <row r="201" spans="1:28" ht="16" x14ac:dyDescent="0.2">
      <c r="A201" s="4">
        <v>45804</v>
      </c>
      <c r="B201" s="19">
        <v>25147</v>
      </c>
      <c r="C201" s="5" t="s">
        <v>24</v>
      </c>
      <c r="D201" s="6"/>
      <c r="E201" s="15">
        <v>41.792608333300002</v>
      </c>
      <c r="F201" s="15">
        <v>-75.273122222200001</v>
      </c>
      <c r="G201" s="5" t="s">
        <v>120</v>
      </c>
      <c r="H201" s="5">
        <v>63.9</v>
      </c>
      <c r="I201" s="5">
        <v>69.900000000000006</v>
      </c>
      <c r="J201" s="5">
        <v>15.35</v>
      </c>
      <c r="K201" s="5">
        <v>64.8</v>
      </c>
      <c r="L201" s="10">
        <v>0.44305555555555554</v>
      </c>
      <c r="M201" s="10">
        <v>0.64930555555555558</v>
      </c>
      <c r="N201" s="11">
        <f t="shared" si="82"/>
        <v>99.84</v>
      </c>
      <c r="O201" s="11">
        <f t="shared" ref="O201:P201" si="172">AVERAGE(96,96,96,96)*1.04</f>
        <v>99.84</v>
      </c>
      <c r="P201" s="11">
        <f t="shared" si="172"/>
        <v>99.84</v>
      </c>
      <c r="Q201" s="11">
        <f t="shared" si="1"/>
        <v>99.839999999999989</v>
      </c>
      <c r="R201" s="5">
        <v>3</v>
      </c>
      <c r="S201" s="5" t="s">
        <v>14</v>
      </c>
      <c r="T201" s="5" t="s">
        <v>9</v>
      </c>
      <c r="U201" s="5" t="s">
        <v>55</v>
      </c>
      <c r="V201" s="5">
        <v>15.8</v>
      </c>
      <c r="W201" s="5" t="s">
        <v>8</v>
      </c>
      <c r="X201" s="5" t="s">
        <v>8</v>
      </c>
      <c r="Y201" s="5">
        <v>1.5</v>
      </c>
      <c r="Z201" s="5"/>
      <c r="AA201" s="5" t="s">
        <v>123</v>
      </c>
      <c r="AB201" s="6"/>
    </row>
    <row r="202" spans="1:28" ht="16" x14ac:dyDescent="0.2">
      <c r="A202" s="4">
        <v>45804</v>
      </c>
      <c r="B202" s="19">
        <v>25147</v>
      </c>
      <c r="C202" s="5" t="s">
        <v>24</v>
      </c>
      <c r="D202" s="6"/>
      <c r="E202" s="15">
        <v>41.792608333300002</v>
      </c>
      <c r="F202" s="15">
        <v>-75.273122222200001</v>
      </c>
      <c r="G202" s="5" t="s">
        <v>120</v>
      </c>
      <c r="H202" s="5">
        <v>63.9</v>
      </c>
      <c r="I202" s="5">
        <v>69.900000000000006</v>
      </c>
      <c r="J202" s="5">
        <v>15.35</v>
      </c>
      <c r="K202" s="5">
        <v>64.8</v>
      </c>
      <c r="L202" s="10">
        <v>0.44305555555555554</v>
      </c>
      <c r="M202" s="10">
        <v>0.64930555555555558</v>
      </c>
      <c r="N202" s="11">
        <f t="shared" si="82"/>
        <v>99.84</v>
      </c>
      <c r="O202" s="11">
        <f t="shared" ref="O202:P202" si="173">AVERAGE(96,96,96,96)*1.04</f>
        <v>99.84</v>
      </c>
      <c r="P202" s="11">
        <f t="shared" si="173"/>
        <v>99.84</v>
      </c>
      <c r="Q202" s="11">
        <f t="shared" si="1"/>
        <v>99.839999999999989</v>
      </c>
      <c r="R202" s="5">
        <v>3</v>
      </c>
      <c r="S202" s="5" t="s">
        <v>14</v>
      </c>
      <c r="T202" s="5" t="s">
        <v>9</v>
      </c>
      <c r="U202" s="5" t="s">
        <v>55</v>
      </c>
      <c r="V202" s="5">
        <v>13.9</v>
      </c>
      <c r="W202" s="5" t="s">
        <v>8</v>
      </c>
      <c r="X202" s="5" t="s">
        <v>8</v>
      </c>
      <c r="Y202" s="5">
        <v>2</v>
      </c>
      <c r="Z202" s="5"/>
      <c r="AA202" s="5" t="s">
        <v>123</v>
      </c>
      <c r="AB202" s="6"/>
    </row>
    <row r="203" spans="1:28" ht="16" x14ac:dyDescent="0.2">
      <c r="A203" s="4">
        <v>45810</v>
      </c>
      <c r="B203" s="19">
        <v>25153</v>
      </c>
      <c r="C203" s="5" t="s">
        <v>27</v>
      </c>
      <c r="D203" s="5" t="s">
        <v>130</v>
      </c>
      <c r="E203" s="15">
        <v>42.397902777799999</v>
      </c>
      <c r="F203" s="15">
        <v>-76.590061111099999</v>
      </c>
      <c r="G203" s="5" t="s">
        <v>120</v>
      </c>
      <c r="H203" s="5">
        <v>61.5</v>
      </c>
      <c r="I203" s="5">
        <v>36.200000000000003</v>
      </c>
      <c r="J203" s="5">
        <v>67.5</v>
      </c>
      <c r="K203" s="5">
        <v>27.1</v>
      </c>
      <c r="L203" s="10">
        <v>0.42708333333333331</v>
      </c>
      <c r="M203" s="10">
        <v>0.60347222222222219</v>
      </c>
      <c r="N203" s="11">
        <f t="shared" si="82"/>
        <v>99.84</v>
      </c>
      <c r="O203" s="11">
        <f t="shared" ref="O203:O381" si="174">AVERAGE(96,96,96,96)*1.04</f>
        <v>99.84</v>
      </c>
      <c r="P203" s="11">
        <f t="shared" ref="P203:P230" si="175">AVERAGE(96,96,96,92)*1.04</f>
        <v>98.8</v>
      </c>
      <c r="Q203" s="11">
        <f t="shared" si="1"/>
        <v>99.493333333333339</v>
      </c>
      <c r="R203" s="5">
        <v>1</v>
      </c>
      <c r="S203" s="5" t="s">
        <v>131</v>
      </c>
      <c r="T203" s="5" t="s">
        <v>9</v>
      </c>
      <c r="U203" s="5" t="s">
        <v>55</v>
      </c>
      <c r="V203" s="5">
        <v>11</v>
      </c>
      <c r="W203" s="5">
        <v>6.5</v>
      </c>
      <c r="X203" s="5">
        <v>45</v>
      </c>
      <c r="Y203" s="5">
        <v>3.5</v>
      </c>
      <c r="Z203" s="6"/>
      <c r="AA203" s="6"/>
      <c r="AB203" s="6"/>
    </row>
    <row r="204" spans="1:28" ht="16" x14ac:dyDescent="0.2">
      <c r="A204" s="4">
        <v>45810</v>
      </c>
      <c r="B204" s="19">
        <v>25153</v>
      </c>
      <c r="C204" s="5" t="s">
        <v>27</v>
      </c>
      <c r="D204" s="6"/>
      <c r="E204" s="15">
        <v>42.397902777799999</v>
      </c>
      <c r="F204" s="15">
        <v>-76.590061111099999</v>
      </c>
      <c r="G204" s="5" t="s">
        <v>120</v>
      </c>
      <c r="H204" s="5">
        <v>61.5</v>
      </c>
      <c r="I204" s="5">
        <v>36.200000000000003</v>
      </c>
      <c r="J204" s="5">
        <v>67.5</v>
      </c>
      <c r="K204" s="5">
        <v>27.1</v>
      </c>
      <c r="L204" s="10">
        <v>0.42708333333333331</v>
      </c>
      <c r="M204" s="10">
        <v>0.60347222222222219</v>
      </c>
      <c r="N204" s="11">
        <f t="shared" si="82"/>
        <v>99.84</v>
      </c>
      <c r="O204" s="11">
        <f t="shared" si="174"/>
        <v>99.84</v>
      </c>
      <c r="P204" s="11">
        <f t="shared" si="175"/>
        <v>98.8</v>
      </c>
      <c r="Q204" s="11">
        <f t="shared" si="1"/>
        <v>99.493333333333339</v>
      </c>
      <c r="R204" s="5">
        <v>1</v>
      </c>
      <c r="S204" s="5" t="s">
        <v>131</v>
      </c>
      <c r="T204" s="5" t="s">
        <v>9</v>
      </c>
      <c r="U204" s="5" t="s">
        <v>55</v>
      </c>
      <c r="V204" s="5">
        <v>10.5</v>
      </c>
      <c r="W204" s="5">
        <v>6.4</v>
      </c>
      <c r="X204" s="5">
        <v>51</v>
      </c>
      <c r="Y204" s="5">
        <v>1.5</v>
      </c>
      <c r="Z204" s="6"/>
      <c r="AA204" s="6"/>
      <c r="AB204" s="6"/>
    </row>
    <row r="205" spans="1:28" ht="16" x14ac:dyDescent="0.2">
      <c r="A205" s="4">
        <v>45810</v>
      </c>
      <c r="B205" s="19">
        <v>25153</v>
      </c>
      <c r="C205" s="5" t="s">
        <v>27</v>
      </c>
      <c r="D205" s="6"/>
      <c r="E205" s="15">
        <v>42.397902777799999</v>
      </c>
      <c r="F205" s="15">
        <v>-76.590061111099999</v>
      </c>
      <c r="G205" s="5" t="s">
        <v>120</v>
      </c>
      <c r="H205" s="5">
        <v>61.5</v>
      </c>
      <c r="I205" s="5">
        <v>36.200000000000003</v>
      </c>
      <c r="J205" s="5">
        <v>67.5</v>
      </c>
      <c r="K205" s="5">
        <v>27.1</v>
      </c>
      <c r="L205" s="10">
        <v>0.42708333333333331</v>
      </c>
      <c r="M205" s="10">
        <v>0.60347222222222219</v>
      </c>
      <c r="N205" s="11">
        <f t="shared" si="82"/>
        <v>99.84</v>
      </c>
      <c r="O205" s="11">
        <f t="shared" si="174"/>
        <v>99.84</v>
      </c>
      <c r="P205" s="11">
        <f t="shared" si="175"/>
        <v>98.8</v>
      </c>
      <c r="Q205" s="11">
        <f t="shared" si="1"/>
        <v>99.493333333333339</v>
      </c>
      <c r="R205" s="5">
        <v>1</v>
      </c>
      <c r="S205" s="5" t="s">
        <v>131</v>
      </c>
      <c r="T205" s="5" t="s">
        <v>9</v>
      </c>
      <c r="U205" s="5" t="s">
        <v>55</v>
      </c>
      <c r="V205" s="5">
        <v>12</v>
      </c>
      <c r="W205" s="5">
        <v>6.4</v>
      </c>
      <c r="X205" s="5">
        <v>50</v>
      </c>
      <c r="Y205" s="5">
        <v>2.5</v>
      </c>
      <c r="Z205" s="5"/>
      <c r="AA205" s="5" t="s">
        <v>114</v>
      </c>
      <c r="AB205" s="6"/>
    </row>
    <row r="206" spans="1:28" ht="16" x14ac:dyDescent="0.2">
      <c r="A206" s="4">
        <v>45810</v>
      </c>
      <c r="B206" s="19">
        <v>25153</v>
      </c>
      <c r="C206" s="5" t="s">
        <v>27</v>
      </c>
      <c r="D206" s="6"/>
      <c r="E206" s="15">
        <v>42.397902777799999</v>
      </c>
      <c r="F206" s="15">
        <v>-76.590061111099999</v>
      </c>
      <c r="G206" s="5" t="s">
        <v>120</v>
      </c>
      <c r="H206" s="5">
        <v>61.5</v>
      </c>
      <c r="I206" s="5">
        <v>36.200000000000003</v>
      </c>
      <c r="J206" s="5">
        <v>67.5</v>
      </c>
      <c r="K206" s="5">
        <v>27.1</v>
      </c>
      <c r="L206" s="10">
        <v>0.42708333333333331</v>
      </c>
      <c r="M206" s="10">
        <v>0.60347222222222219</v>
      </c>
      <c r="N206" s="11">
        <f t="shared" si="82"/>
        <v>99.84</v>
      </c>
      <c r="O206" s="11">
        <f t="shared" si="174"/>
        <v>99.84</v>
      </c>
      <c r="P206" s="11">
        <f t="shared" si="175"/>
        <v>98.8</v>
      </c>
      <c r="Q206" s="11">
        <f t="shared" si="1"/>
        <v>99.493333333333339</v>
      </c>
      <c r="R206" s="5">
        <v>1</v>
      </c>
      <c r="S206" s="5" t="s">
        <v>105</v>
      </c>
      <c r="T206" s="5" t="s">
        <v>9</v>
      </c>
      <c r="U206" s="5" t="s">
        <v>55</v>
      </c>
      <c r="V206" s="5">
        <v>11</v>
      </c>
      <c r="W206" s="5">
        <v>5.8</v>
      </c>
      <c r="X206" s="5">
        <v>68</v>
      </c>
      <c r="Y206" s="5">
        <v>1.5</v>
      </c>
      <c r="Z206" s="5" t="s">
        <v>67</v>
      </c>
      <c r="AA206" s="5" t="s">
        <v>132</v>
      </c>
      <c r="AB206" s="6"/>
    </row>
    <row r="207" spans="1:28" ht="16" x14ac:dyDescent="0.2">
      <c r="A207" s="4">
        <v>45810</v>
      </c>
      <c r="B207" s="19">
        <v>25153</v>
      </c>
      <c r="C207" s="5" t="s">
        <v>27</v>
      </c>
      <c r="D207" s="6"/>
      <c r="E207" s="15">
        <v>42.397902777799999</v>
      </c>
      <c r="F207" s="15">
        <v>-76.590061111099999</v>
      </c>
      <c r="G207" s="5" t="s">
        <v>120</v>
      </c>
      <c r="H207" s="5">
        <v>61.5</v>
      </c>
      <c r="I207" s="5">
        <v>36.200000000000003</v>
      </c>
      <c r="J207" s="5">
        <v>67.5</v>
      </c>
      <c r="K207" s="5">
        <v>27.1</v>
      </c>
      <c r="L207" s="10">
        <v>0.42708333333333331</v>
      </c>
      <c r="M207" s="10">
        <v>0.60347222222222219</v>
      </c>
      <c r="N207" s="11">
        <f t="shared" si="82"/>
        <v>99.84</v>
      </c>
      <c r="O207" s="11">
        <f t="shared" si="174"/>
        <v>99.84</v>
      </c>
      <c r="P207" s="11">
        <f t="shared" si="175"/>
        <v>98.8</v>
      </c>
      <c r="Q207" s="11">
        <f t="shared" si="1"/>
        <v>99.493333333333339</v>
      </c>
      <c r="R207" s="5">
        <v>1</v>
      </c>
      <c r="S207" s="5" t="s">
        <v>105</v>
      </c>
      <c r="T207" s="5" t="s">
        <v>9</v>
      </c>
      <c r="U207" s="5" t="s">
        <v>55</v>
      </c>
      <c r="V207" s="5">
        <v>10.199999999999999</v>
      </c>
      <c r="W207" s="5">
        <v>6.4</v>
      </c>
      <c r="X207" s="5">
        <v>55</v>
      </c>
      <c r="Y207" s="5">
        <v>4.5</v>
      </c>
      <c r="Z207" s="5" t="s">
        <v>67</v>
      </c>
      <c r="AA207" s="5" t="s">
        <v>132</v>
      </c>
      <c r="AB207" s="6"/>
    </row>
    <row r="208" spans="1:28" ht="16" x14ac:dyDescent="0.2">
      <c r="A208" s="4">
        <v>45810</v>
      </c>
      <c r="B208" s="19">
        <v>25153</v>
      </c>
      <c r="C208" s="5" t="s">
        <v>27</v>
      </c>
      <c r="D208" s="6"/>
      <c r="E208" s="15">
        <v>42.397902777799999</v>
      </c>
      <c r="F208" s="15">
        <v>-76.590061111099999</v>
      </c>
      <c r="G208" s="5" t="s">
        <v>120</v>
      </c>
      <c r="H208" s="5">
        <v>61.5</v>
      </c>
      <c r="I208" s="5">
        <v>36.200000000000003</v>
      </c>
      <c r="J208" s="5">
        <v>67.5</v>
      </c>
      <c r="K208" s="5">
        <v>27.1</v>
      </c>
      <c r="L208" s="10">
        <v>0.42708333333333331</v>
      </c>
      <c r="M208" s="10">
        <v>0.60347222222222219</v>
      </c>
      <c r="N208" s="11">
        <f t="shared" si="82"/>
        <v>99.84</v>
      </c>
      <c r="O208" s="11">
        <f t="shared" si="174"/>
        <v>99.84</v>
      </c>
      <c r="P208" s="11">
        <f t="shared" si="175"/>
        <v>98.8</v>
      </c>
      <c r="Q208" s="11">
        <f t="shared" si="1"/>
        <v>99.493333333333339</v>
      </c>
      <c r="R208" s="5">
        <v>1</v>
      </c>
      <c r="S208" s="5" t="s">
        <v>105</v>
      </c>
      <c r="T208" s="5" t="s">
        <v>9</v>
      </c>
      <c r="U208" s="5" t="s">
        <v>55</v>
      </c>
      <c r="V208" s="5">
        <v>10.4</v>
      </c>
      <c r="W208" s="5">
        <v>5.7</v>
      </c>
      <c r="X208" s="5">
        <v>57</v>
      </c>
      <c r="Y208" s="5">
        <v>3.5</v>
      </c>
      <c r="Z208" s="6"/>
      <c r="AA208" s="6"/>
      <c r="AB208" s="6"/>
    </row>
    <row r="209" spans="1:28" ht="16" x14ac:dyDescent="0.2">
      <c r="A209" s="4">
        <v>45810</v>
      </c>
      <c r="B209" s="19">
        <v>25153</v>
      </c>
      <c r="C209" s="5" t="s">
        <v>27</v>
      </c>
      <c r="D209" s="6"/>
      <c r="E209" s="15">
        <v>42.397902777799999</v>
      </c>
      <c r="F209" s="15">
        <v>-76.590061111099999</v>
      </c>
      <c r="G209" s="5" t="s">
        <v>120</v>
      </c>
      <c r="H209" s="5">
        <v>61.5</v>
      </c>
      <c r="I209" s="5">
        <v>36.200000000000003</v>
      </c>
      <c r="J209" s="5">
        <v>67.5</v>
      </c>
      <c r="K209" s="5">
        <v>27.1</v>
      </c>
      <c r="L209" s="10">
        <v>0.42708333333333331</v>
      </c>
      <c r="M209" s="10">
        <v>0.60347222222222219</v>
      </c>
      <c r="N209" s="11">
        <f t="shared" si="82"/>
        <v>99.84</v>
      </c>
      <c r="O209" s="11">
        <f t="shared" si="174"/>
        <v>99.84</v>
      </c>
      <c r="P209" s="11">
        <f t="shared" si="175"/>
        <v>98.8</v>
      </c>
      <c r="Q209" s="11">
        <f t="shared" si="1"/>
        <v>99.493333333333339</v>
      </c>
      <c r="R209" s="5">
        <v>1</v>
      </c>
      <c r="S209" s="5" t="s">
        <v>133</v>
      </c>
      <c r="T209" s="5" t="s">
        <v>9</v>
      </c>
      <c r="U209" s="5" t="s">
        <v>55</v>
      </c>
      <c r="V209" s="5">
        <v>10.5</v>
      </c>
      <c r="W209" s="5">
        <v>5.7</v>
      </c>
      <c r="X209" s="5">
        <v>60</v>
      </c>
      <c r="Y209" s="5">
        <v>1.5</v>
      </c>
      <c r="Z209" s="6"/>
      <c r="AA209" s="6"/>
      <c r="AB209" s="6"/>
    </row>
    <row r="210" spans="1:28" ht="16" x14ac:dyDescent="0.2">
      <c r="A210" s="4">
        <v>45810</v>
      </c>
      <c r="B210" s="19">
        <v>25153</v>
      </c>
      <c r="C210" s="5" t="s">
        <v>27</v>
      </c>
      <c r="D210" s="6"/>
      <c r="E210" s="15">
        <v>42.397902777799999</v>
      </c>
      <c r="F210" s="15">
        <v>-76.590061111099999</v>
      </c>
      <c r="G210" s="5" t="s">
        <v>120</v>
      </c>
      <c r="H210" s="5">
        <v>61.5</v>
      </c>
      <c r="I210" s="5">
        <v>36.200000000000003</v>
      </c>
      <c r="J210" s="5">
        <v>67.5</v>
      </c>
      <c r="K210" s="5">
        <v>27.1</v>
      </c>
      <c r="L210" s="10">
        <v>0.42708333333333331</v>
      </c>
      <c r="M210" s="10">
        <v>0.60347222222222219</v>
      </c>
      <c r="N210" s="11">
        <f t="shared" si="82"/>
        <v>99.84</v>
      </c>
      <c r="O210" s="11">
        <f t="shared" si="174"/>
        <v>99.84</v>
      </c>
      <c r="P210" s="11">
        <f t="shared" si="175"/>
        <v>98.8</v>
      </c>
      <c r="Q210" s="11">
        <f t="shared" si="1"/>
        <v>99.493333333333339</v>
      </c>
      <c r="R210" s="5">
        <v>1</v>
      </c>
      <c r="S210" s="5" t="s">
        <v>133</v>
      </c>
      <c r="T210" s="5" t="s">
        <v>9</v>
      </c>
      <c r="U210" s="5" t="s">
        <v>55</v>
      </c>
      <c r="V210" s="5">
        <v>10.3</v>
      </c>
      <c r="W210" s="5">
        <v>6</v>
      </c>
      <c r="X210" s="5">
        <v>59</v>
      </c>
      <c r="Y210" s="5">
        <v>2.5</v>
      </c>
      <c r="Z210" s="6"/>
      <c r="AA210" s="6"/>
      <c r="AB210" s="6"/>
    </row>
    <row r="211" spans="1:28" ht="16" x14ac:dyDescent="0.2">
      <c r="A211" s="4">
        <v>45810</v>
      </c>
      <c r="B211" s="19">
        <v>25153</v>
      </c>
      <c r="C211" s="5" t="s">
        <v>27</v>
      </c>
      <c r="D211" s="6"/>
      <c r="E211" s="15">
        <v>42.397902777799999</v>
      </c>
      <c r="F211" s="15">
        <v>-76.590061111099999</v>
      </c>
      <c r="G211" s="5" t="s">
        <v>120</v>
      </c>
      <c r="H211" s="5">
        <v>61.5</v>
      </c>
      <c r="I211" s="5">
        <v>36.200000000000003</v>
      </c>
      <c r="J211" s="5">
        <v>67.5</v>
      </c>
      <c r="K211" s="5">
        <v>27.1</v>
      </c>
      <c r="L211" s="10">
        <v>0.42708333333333331</v>
      </c>
      <c r="M211" s="10">
        <v>0.60347222222222219</v>
      </c>
      <c r="N211" s="11">
        <f t="shared" si="82"/>
        <v>99.84</v>
      </c>
      <c r="O211" s="11">
        <f t="shared" si="174"/>
        <v>99.84</v>
      </c>
      <c r="P211" s="11">
        <f t="shared" si="175"/>
        <v>98.8</v>
      </c>
      <c r="Q211" s="11">
        <f t="shared" si="1"/>
        <v>99.493333333333339</v>
      </c>
      <c r="R211" s="5">
        <v>1</v>
      </c>
      <c r="S211" s="5" t="s">
        <v>133</v>
      </c>
      <c r="T211" s="5" t="s">
        <v>9</v>
      </c>
      <c r="U211" s="5" t="s">
        <v>55</v>
      </c>
      <c r="V211" s="5">
        <v>10.6</v>
      </c>
      <c r="W211" s="5">
        <v>5.4</v>
      </c>
      <c r="X211" s="5">
        <v>60</v>
      </c>
      <c r="Y211" s="5">
        <v>4</v>
      </c>
      <c r="Z211" s="6"/>
      <c r="AA211" s="6"/>
      <c r="AB211" s="6"/>
    </row>
    <row r="212" spans="1:28" ht="16" x14ac:dyDescent="0.2">
      <c r="A212" s="4">
        <v>45810</v>
      </c>
      <c r="B212" s="19">
        <v>25153</v>
      </c>
      <c r="C212" s="5" t="s">
        <v>27</v>
      </c>
      <c r="D212" s="6"/>
      <c r="E212" s="15">
        <v>42.397902777799999</v>
      </c>
      <c r="F212" s="15">
        <v>-76.590061111099999</v>
      </c>
      <c r="G212" s="5" t="s">
        <v>120</v>
      </c>
      <c r="H212" s="5">
        <v>61.5</v>
      </c>
      <c r="I212" s="5">
        <v>36.200000000000003</v>
      </c>
      <c r="J212" s="5">
        <v>67.5</v>
      </c>
      <c r="K212" s="5">
        <v>27.1</v>
      </c>
      <c r="L212" s="10">
        <v>0.42708333333333331</v>
      </c>
      <c r="M212" s="10">
        <v>0.60347222222222219</v>
      </c>
      <c r="N212" s="11">
        <f t="shared" si="82"/>
        <v>99.84</v>
      </c>
      <c r="O212" s="11">
        <f t="shared" si="174"/>
        <v>99.84</v>
      </c>
      <c r="P212" s="11">
        <f t="shared" si="175"/>
        <v>98.8</v>
      </c>
      <c r="Q212" s="11">
        <f t="shared" si="1"/>
        <v>99.493333333333339</v>
      </c>
      <c r="R212" s="5">
        <v>1</v>
      </c>
      <c r="S212" s="5">
        <v>7.2</v>
      </c>
      <c r="T212" s="5" t="s">
        <v>4</v>
      </c>
      <c r="U212" s="5" t="s">
        <v>55</v>
      </c>
      <c r="V212" s="5">
        <v>7.9</v>
      </c>
      <c r="W212" s="5">
        <v>6.1</v>
      </c>
      <c r="X212" s="5">
        <v>65</v>
      </c>
      <c r="Y212" s="5">
        <v>3</v>
      </c>
      <c r="Z212" s="6"/>
      <c r="AA212" s="6"/>
      <c r="AB212" s="6"/>
    </row>
    <row r="213" spans="1:28" ht="16" x14ac:dyDescent="0.2">
      <c r="A213" s="4">
        <v>45810</v>
      </c>
      <c r="B213" s="19">
        <v>25153</v>
      </c>
      <c r="C213" s="5" t="s">
        <v>27</v>
      </c>
      <c r="D213" s="6"/>
      <c r="E213" s="15">
        <v>42.397902777799999</v>
      </c>
      <c r="F213" s="15">
        <v>-76.590061111099999</v>
      </c>
      <c r="G213" s="5" t="s">
        <v>120</v>
      </c>
      <c r="H213" s="5">
        <v>61.5</v>
      </c>
      <c r="I213" s="5">
        <v>36.200000000000003</v>
      </c>
      <c r="J213" s="5">
        <v>67.5</v>
      </c>
      <c r="K213" s="5">
        <v>27.1</v>
      </c>
      <c r="L213" s="10">
        <v>0.42708333333333331</v>
      </c>
      <c r="M213" s="10">
        <v>0.60347222222222219</v>
      </c>
      <c r="N213" s="11">
        <f t="shared" si="82"/>
        <v>99.84</v>
      </c>
      <c r="O213" s="11">
        <f t="shared" si="174"/>
        <v>99.84</v>
      </c>
      <c r="P213" s="11">
        <f t="shared" si="175"/>
        <v>98.8</v>
      </c>
      <c r="Q213" s="11">
        <f t="shared" si="1"/>
        <v>99.493333333333339</v>
      </c>
      <c r="R213" s="5">
        <v>2</v>
      </c>
      <c r="S213" s="5" t="s">
        <v>131</v>
      </c>
      <c r="T213" s="5" t="s">
        <v>9</v>
      </c>
      <c r="U213" s="5" t="s">
        <v>55</v>
      </c>
      <c r="V213" s="5">
        <v>8.1999999999999993</v>
      </c>
      <c r="W213" s="5">
        <v>6.4</v>
      </c>
      <c r="X213" s="5">
        <v>35</v>
      </c>
      <c r="Y213" s="5">
        <v>4.5</v>
      </c>
      <c r="Z213" s="6"/>
      <c r="AA213" s="6"/>
      <c r="AB213" s="6"/>
    </row>
    <row r="214" spans="1:28" ht="16" x14ac:dyDescent="0.2">
      <c r="A214" s="4">
        <v>45810</v>
      </c>
      <c r="B214" s="19">
        <v>25153</v>
      </c>
      <c r="C214" s="5" t="s">
        <v>27</v>
      </c>
      <c r="D214" s="6"/>
      <c r="E214" s="15">
        <v>42.397902777799999</v>
      </c>
      <c r="F214" s="15">
        <v>-76.590061111099999</v>
      </c>
      <c r="G214" s="5" t="s">
        <v>120</v>
      </c>
      <c r="H214" s="5">
        <v>61.5</v>
      </c>
      <c r="I214" s="5">
        <v>36.200000000000003</v>
      </c>
      <c r="J214" s="5">
        <v>67.5</v>
      </c>
      <c r="K214" s="5">
        <v>27.1</v>
      </c>
      <c r="L214" s="10">
        <v>0.42708333333333331</v>
      </c>
      <c r="M214" s="10">
        <v>0.60347222222222219</v>
      </c>
      <c r="N214" s="11">
        <f t="shared" si="82"/>
        <v>99.84</v>
      </c>
      <c r="O214" s="11">
        <f t="shared" si="174"/>
        <v>99.84</v>
      </c>
      <c r="P214" s="11">
        <f t="shared" si="175"/>
        <v>98.8</v>
      </c>
      <c r="Q214" s="11">
        <f t="shared" si="1"/>
        <v>99.493333333333339</v>
      </c>
      <c r="R214" s="5">
        <v>2</v>
      </c>
      <c r="S214" s="5" t="s">
        <v>131</v>
      </c>
      <c r="T214" s="5" t="s">
        <v>9</v>
      </c>
      <c r="U214" s="5" t="s">
        <v>55</v>
      </c>
      <c r="V214" s="5">
        <v>10.199999999999999</v>
      </c>
      <c r="W214" s="5">
        <v>5.5</v>
      </c>
      <c r="X214" s="5">
        <v>50</v>
      </c>
      <c r="Y214" s="5">
        <v>6.5</v>
      </c>
      <c r="Z214" s="6"/>
      <c r="AA214" s="6"/>
      <c r="AB214" s="6"/>
    </row>
    <row r="215" spans="1:28" ht="16" x14ac:dyDescent="0.2">
      <c r="A215" s="4">
        <v>45810</v>
      </c>
      <c r="B215" s="19">
        <v>25153</v>
      </c>
      <c r="C215" s="5" t="s">
        <v>27</v>
      </c>
      <c r="D215" s="6"/>
      <c r="E215" s="15">
        <v>42.397902777799999</v>
      </c>
      <c r="F215" s="15">
        <v>-76.590061111099999</v>
      </c>
      <c r="G215" s="5" t="s">
        <v>120</v>
      </c>
      <c r="H215" s="5">
        <v>61.5</v>
      </c>
      <c r="I215" s="5">
        <v>36.200000000000003</v>
      </c>
      <c r="J215" s="5">
        <v>67.5</v>
      </c>
      <c r="K215" s="5">
        <v>27.1</v>
      </c>
      <c r="L215" s="10">
        <v>0.42708333333333331</v>
      </c>
      <c r="M215" s="10">
        <v>0.60347222222222219</v>
      </c>
      <c r="N215" s="11">
        <f t="shared" si="82"/>
        <v>99.84</v>
      </c>
      <c r="O215" s="11">
        <f t="shared" si="174"/>
        <v>99.84</v>
      </c>
      <c r="P215" s="11">
        <f t="shared" si="175"/>
        <v>98.8</v>
      </c>
      <c r="Q215" s="11">
        <f t="shared" si="1"/>
        <v>99.493333333333339</v>
      </c>
      <c r="R215" s="5">
        <v>2</v>
      </c>
      <c r="S215" s="5" t="s">
        <v>131</v>
      </c>
      <c r="T215" s="5" t="s">
        <v>9</v>
      </c>
      <c r="U215" s="5" t="s">
        <v>55</v>
      </c>
      <c r="V215" s="5">
        <v>11.3</v>
      </c>
      <c r="W215" s="5">
        <v>6.4</v>
      </c>
      <c r="X215" s="5">
        <v>30</v>
      </c>
      <c r="Y215" s="5">
        <v>4</v>
      </c>
      <c r="Z215" s="6"/>
      <c r="AA215" s="6"/>
      <c r="AB215" s="6"/>
    </row>
    <row r="216" spans="1:28" ht="16" x14ac:dyDescent="0.2">
      <c r="A216" s="4">
        <v>45810</v>
      </c>
      <c r="B216" s="19">
        <v>25153</v>
      </c>
      <c r="C216" s="5" t="s">
        <v>27</v>
      </c>
      <c r="D216" s="6"/>
      <c r="E216" s="15">
        <v>42.397902777799999</v>
      </c>
      <c r="F216" s="15">
        <v>-76.590061111099999</v>
      </c>
      <c r="G216" s="5" t="s">
        <v>120</v>
      </c>
      <c r="H216" s="5">
        <v>61.5</v>
      </c>
      <c r="I216" s="5">
        <v>36.200000000000003</v>
      </c>
      <c r="J216" s="5">
        <v>67.5</v>
      </c>
      <c r="K216" s="5">
        <v>27.1</v>
      </c>
      <c r="L216" s="10">
        <v>0.42708333333333331</v>
      </c>
      <c r="M216" s="10">
        <v>0.60347222222222219</v>
      </c>
      <c r="N216" s="11">
        <f t="shared" si="82"/>
        <v>99.84</v>
      </c>
      <c r="O216" s="11">
        <f t="shared" si="174"/>
        <v>99.84</v>
      </c>
      <c r="P216" s="11">
        <f t="shared" si="175"/>
        <v>98.8</v>
      </c>
      <c r="Q216" s="11">
        <f t="shared" si="1"/>
        <v>99.493333333333339</v>
      </c>
      <c r="R216" s="5">
        <v>2</v>
      </c>
      <c r="S216" s="5" t="s">
        <v>105</v>
      </c>
      <c r="T216" s="5" t="s">
        <v>9</v>
      </c>
      <c r="U216" s="5" t="s">
        <v>55</v>
      </c>
      <c r="V216" s="5">
        <v>12.7</v>
      </c>
      <c r="W216" s="5">
        <v>6.4</v>
      </c>
      <c r="X216" s="5">
        <v>52</v>
      </c>
      <c r="Y216" s="5">
        <v>3</v>
      </c>
      <c r="Z216" s="6"/>
      <c r="AA216" s="6"/>
      <c r="AB216" s="6"/>
    </row>
    <row r="217" spans="1:28" ht="16" x14ac:dyDescent="0.2">
      <c r="A217" s="4">
        <v>45810</v>
      </c>
      <c r="B217" s="19">
        <v>25153</v>
      </c>
      <c r="C217" s="5" t="s">
        <v>27</v>
      </c>
      <c r="D217" s="6"/>
      <c r="E217" s="15">
        <v>42.397902777799999</v>
      </c>
      <c r="F217" s="15">
        <v>-76.590061111099999</v>
      </c>
      <c r="G217" s="5" t="s">
        <v>120</v>
      </c>
      <c r="H217" s="5">
        <v>61.5</v>
      </c>
      <c r="I217" s="5">
        <v>36.200000000000003</v>
      </c>
      <c r="J217" s="5">
        <v>67.5</v>
      </c>
      <c r="K217" s="5">
        <v>27.1</v>
      </c>
      <c r="L217" s="10">
        <v>0.42708333333333331</v>
      </c>
      <c r="M217" s="10">
        <v>0.60347222222222219</v>
      </c>
      <c r="N217" s="11">
        <f t="shared" si="82"/>
        <v>99.84</v>
      </c>
      <c r="O217" s="11">
        <f t="shared" si="174"/>
        <v>99.84</v>
      </c>
      <c r="P217" s="11">
        <f t="shared" si="175"/>
        <v>98.8</v>
      </c>
      <c r="Q217" s="11">
        <f t="shared" si="1"/>
        <v>99.493333333333339</v>
      </c>
      <c r="R217" s="5">
        <v>2</v>
      </c>
      <c r="S217" s="5" t="s">
        <v>105</v>
      </c>
      <c r="T217" s="5" t="s">
        <v>9</v>
      </c>
      <c r="U217" s="5" t="s">
        <v>55</v>
      </c>
      <c r="V217" s="5">
        <v>10.3</v>
      </c>
      <c r="W217" s="5">
        <v>6.6</v>
      </c>
      <c r="X217" s="5">
        <v>48</v>
      </c>
      <c r="Y217" s="5">
        <v>4</v>
      </c>
      <c r="Z217" s="5" t="s">
        <v>67</v>
      </c>
      <c r="AA217" s="5" t="s">
        <v>132</v>
      </c>
      <c r="AB217" s="6"/>
    </row>
    <row r="218" spans="1:28" ht="16" x14ac:dyDescent="0.2">
      <c r="A218" s="4">
        <v>45810</v>
      </c>
      <c r="B218" s="19">
        <v>25153</v>
      </c>
      <c r="C218" s="5" t="s">
        <v>27</v>
      </c>
      <c r="D218" s="6"/>
      <c r="E218" s="15">
        <v>42.397902777799999</v>
      </c>
      <c r="F218" s="15">
        <v>-76.590061111099999</v>
      </c>
      <c r="G218" s="5" t="s">
        <v>120</v>
      </c>
      <c r="H218" s="5">
        <v>61.5</v>
      </c>
      <c r="I218" s="5">
        <v>36.200000000000003</v>
      </c>
      <c r="J218" s="5">
        <v>67.5</v>
      </c>
      <c r="K218" s="5">
        <v>27.1</v>
      </c>
      <c r="L218" s="10">
        <v>0.42708333333333331</v>
      </c>
      <c r="M218" s="10">
        <v>0.60347222222222219</v>
      </c>
      <c r="N218" s="11">
        <f t="shared" si="82"/>
        <v>99.84</v>
      </c>
      <c r="O218" s="11">
        <f t="shared" si="174"/>
        <v>99.84</v>
      </c>
      <c r="P218" s="11">
        <f t="shared" si="175"/>
        <v>98.8</v>
      </c>
      <c r="Q218" s="11">
        <f t="shared" si="1"/>
        <v>99.493333333333339</v>
      </c>
      <c r="R218" s="5">
        <v>2</v>
      </c>
      <c r="S218" s="5" t="s">
        <v>105</v>
      </c>
      <c r="T218" s="5" t="s">
        <v>9</v>
      </c>
      <c r="U218" s="5" t="s">
        <v>55</v>
      </c>
      <c r="V218" s="5">
        <v>9.9</v>
      </c>
      <c r="W218" s="5">
        <v>6.8</v>
      </c>
      <c r="X218" s="5">
        <v>42</v>
      </c>
      <c r="Y218" s="5">
        <v>3</v>
      </c>
      <c r="Z218" s="6"/>
      <c r="AA218" s="6"/>
      <c r="AB218" s="6"/>
    </row>
    <row r="219" spans="1:28" ht="16" x14ac:dyDescent="0.2">
      <c r="A219" s="4">
        <v>45810</v>
      </c>
      <c r="B219" s="19">
        <v>25153</v>
      </c>
      <c r="C219" s="5" t="s">
        <v>27</v>
      </c>
      <c r="D219" s="6"/>
      <c r="E219" s="15">
        <v>42.397902777799999</v>
      </c>
      <c r="F219" s="15">
        <v>-76.590061111099999</v>
      </c>
      <c r="G219" s="5" t="s">
        <v>120</v>
      </c>
      <c r="H219" s="5">
        <v>61.5</v>
      </c>
      <c r="I219" s="5">
        <v>36.200000000000003</v>
      </c>
      <c r="J219" s="5">
        <v>67.5</v>
      </c>
      <c r="K219" s="5">
        <v>27.1</v>
      </c>
      <c r="L219" s="10">
        <v>0.42708333333333331</v>
      </c>
      <c r="M219" s="10">
        <v>0.60347222222222219</v>
      </c>
      <c r="N219" s="11">
        <f t="shared" si="82"/>
        <v>99.84</v>
      </c>
      <c r="O219" s="11">
        <f t="shared" si="174"/>
        <v>99.84</v>
      </c>
      <c r="P219" s="11">
        <f t="shared" si="175"/>
        <v>98.8</v>
      </c>
      <c r="Q219" s="11">
        <f t="shared" si="1"/>
        <v>99.493333333333339</v>
      </c>
      <c r="R219" s="5">
        <v>2</v>
      </c>
      <c r="S219" s="5" t="s">
        <v>133</v>
      </c>
      <c r="T219" s="5" t="s">
        <v>9</v>
      </c>
      <c r="U219" s="5" t="s">
        <v>55</v>
      </c>
      <c r="V219" s="5">
        <v>12.1</v>
      </c>
      <c r="W219" s="5">
        <v>5.8</v>
      </c>
      <c r="X219" s="5">
        <v>60</v>
      </c>
      <c r="Y219" s="5">
        <v>3</v>
      </c>
      <c r="Z219" s="6"/>
      <c r="AA219" s="6"/>
      <c r="AB219" s="6"/>
    </row>
    <row r="220" spans="1:28" ht="16" x14ac:dyDescent="0.2">
      <c r="A220" s="4">
        <v>45810</v>
      </c>
      <c r="B220" s="19">
        <v>25153</v>
      </c>
      <c r="C220" s="5" t="s">
        <v>27</v>
      </c>
      <c r="D220" s="6"/>
      <c r="E220" s="15">
        <v>42.397902777799999</v>
      </c>
      <c r="F220" s="15">
        <v>-76.590061111099999</v>
      </c>
      <c r="G220" s="5" t="s">
        <v>120</v>
      </c>
      <c r="H220" s="5">
        <v>61.5</v>
      </c>
      <c r="I220" s="5">
        <v>36.200000000000003</v>
      </c>
      <c r="J220" s="5">
        <v>67.5</v>
      </c>
      <c r="K220" s="5">
        <v>27.1</v>
      </c>
      <c r="L220" s="10">
        <v>0.42708333333333331</v>
      </c>
      <c r="M220" s="10">
        <v>0.60347222222222219</v>
      </c>
      <c r="N220" s="11">
        <f t="shared" si="82"/>
        <v>99.84</v>
      </c>
      <c r="O220" s="11">
        <f t="shared" si="174"/>
        <v>99.84</v>
      </c>
      <c r="P220" s="11">
        <f t="shared" si="175"/>
        <v>98.8</v>
      </c>
      <c r="Q220" s="11">
        <f t="shared" si="1"/>
        <v>99.493333333333339</v>
      </c>
      <c r="R220" s="5">
        <v>2</v>
      </c>
      <c r="S220" s="5" t="s">
        <v>133</v>
      </c>
      <c r="T220" s="5" t="s">
        <v>9</v>
      </c>
      <c r="U220" s="5" t="s">
        <v>62</v>
      </c>
      <c r="V220" s="5">
        <v>10.6</v>
      </c>
      <c r="W220" s="5">
        <v>6.4</v>
      </c>
      <c r="X220" s="5">
        <v>58</v>
      </c>
      <c r="Y220" s="5">
        <v>3</v>
      </c>
      <c r="Z220" s="5"/>
      <c r="AA220" s="5" t="s">
        <v>134</v>
      </c>
      <c r="AB220" s="6"/>
    </row>
    <row r="221" spans="1:28" ht="16" x14ac:dyDescent="0.2">
      <c r="A221" s="4">
        <v>45810</v>
      </c>
      <c r="B221" s="19">
        <v>25153</v>
      </c>
      <c r="C221" s="5" t="s">
        <v>27</v>
      </c>
      <c r="D221" s="6"/>
      <c r="E221" s="15">
        <v>42.397902777799999</v>
      </c>
      <c r="F221" s="15">
        <v>-76.590061111099999</v>
      </c>
      <c r="G221" s="5" t="s">
        <v>120</v>
      </c>
      <c r="H221" s="5">
        <v>61.5</v>
      </c>
      <c r="I221" s="5">
        <v>36.200000000000003</v>
      </c>
      <c r="J221" s="5">
        <v>67.5</v>
      </c>
      <c r="K221" s="5">
        <v>27.1</v>
      </c>
      <c r="L221" s="10">
        <v>0.42708333333333331</v>
      </c>
      <c r="M221" s="10">
        <v>0.60347222222222219</v>
      </c>
      <c r="N221" s="11">
        <f t="shared" si="82"/>
        <v>99.84</v>
      </c>
      <c r="O221" s="11">
        <f t="shared" si="174"/>
        <v>99.84</v>
      </c>
      <c r="P221" s="11">
        <f t="shared" si="175"/>
        <v>98.8</v>
      </c>
      <c r="Q221" s="11">
        <f t="shared" si="1"/>
        <v>99.493333333333339</v>
      </c>
      <c r="R221" s="5">
        <v>2</v>
      </c>
      <c r="S221" s="5" t="s">
        <v>133</v>
      </c>
      <c r="T221" s="5" t="s">
        <v>9</v>
      </c>
      <c r="U221" s="5" t="s">
        <v>55</v>
      </c>
      <c r="V221" s="5">
        <v>10.7</v>
      </c>
      <c r="W221" s="5">
        <v>6</v>
      </c>
      <c r="X221" s="5">
        <v>40</v>
      </c>
      <c r="Y221" s="5">
        <v>2.5</v>
      </c>
      <c r="Z221" s="6"/>
      <c r="AA221" s="6"/>
      <c r="AB221" s="6"/>
    </row>
    <row r="222" spans="1:28" ht="16" x14ac:dyDescent="0.2">
      <c r="A222" s="4">
        <v>45810</v>
      </c>
      <c r="B222" s="19">
        <v>25153</v>
      </c>
      <c r="C222" s="5" t="s">
        <v>27</v>
      </c>
      <c r="D222" s="6"/>
      <c r="E222" s="15">
        <v>42.397902777799999</v>
      </c>
      <c r="F222" s="15">
        <v>-76.590061111099999</v>
      </c>
      <c r="G222" s="5" t="s">
        <v>120</v>
      </c>
      <c r="H222" s="5">
        <v>61.5</v>
      </c>
      <c r="I222" s="5">
        <v>36.200000000000003</v>
      </c>
      <c r="J222" s="5">
        <v>67.5</v>
      </c>
      <c r="K222" s="5">
        <v>27.1</v>
      </c>
      <c r="L222" s="10">
        <v>0.42708333333333331</v>
      </c>
      <c r="M222" s="10">
        <v>0.60347222222222219</v>
      </c>
      <c r="N222" s="11">
        <f t="shared" si="82"/>
        <v>99.84</v>
      </c>
      <c r="O222" s="11">
        <f t="shared" si="174"/>
        <v>99.84</v>
      </c>
      <c r="P222" s="11">
        <f t="shared" si="175"/>
        <v>98.8</v>
      </c>
      <c r="Q222" s="11">
        <f t="shared" si="1"/>
        <v>99.493333333333339</v>
      </c>
      <c r="R222" s="5">
        <v>3</v>
      </c>
      <c r="S222" s="5" t="s">
        <v>131</v>
      </c>
      <c r="T222" s="5" t="s">
        <v>9</v>
      </c>
      <c r="U222" s="5" t="s">
        <v>55</v>
      </c>
      <c r="V222" s="5">
        <v>12.8</v>
      </c>
      <c r="W222" s="5">
        <v>5.4</v>
      </c>
      <c r="X222" s="5">
        <v>59</v>
      </c>
      <c r="Y222" s="5">
        <v>4.5</v>
      </c>
      <c r="Z222" s="6"/>
      <c r="AA222" s="6"/>
      <c r="AB222" s="6"/>
    </row>
    <row r="223" spans="1:28" ht="16" x14ac:dyDescent="0.2">
      <c r="A223" s="4">
        <v>45810</v>
      </c>
      <c r="B223" s="19">
        <v>25153</v>
      </c>
      <c r="C223" s="5" t="s">
        <v>27</v>
      </c>
      <c r="D223" s="6"/>
      <c r="E223" s="15">
        <v>42.397902777799999</v>
      </c>
      <c r="F223" s="15">
        <v>-76.590061111099999</v>
      </c>
      <c r="G223" s="5" t="s">
        <v>120</v>
      </c>
      <c r="H223" s="5">
        <v>61.5</v>
      </c>
      <c r="I223" s="5">
        <v>36.200000000000003</v>
      </c>
      <c r="J223" s="5">
        <v>67.5</v>
      </c>
      <c r="K223" s="5">
        <v>27.1</v>
      </c>
      <c r="L223" s="10">
        <v>0.42708333333333331</v>
      </c>
      <c r="M223" s="10">
        <v>0.60347222222222219</v>
      </c>
      <c r="N223" s="11">
        <f t="shared" si="82"/>
        <v>99.84</v>
      </c>
      <c r="O223" s="11">
        <f t="shared" si="174"/>
        <v>99.84</v>
      </c>
      <c r="P223" s="11">
        <f t="shared" si="175"/>
        <v>98.8</v>
      </c>
      <c r="Q223" s="11">
        <f t="shared" si="1"/>
        <v>99.493333333333339</v>
      </c>
      <c r="R223" s="5">
        <v>3</v>
      </c>
      <c r="S223" s="5" t="s">
        <v>131</v>
      </c>
      <c r="T223" s="5" t="s">
        <v>9</v>
      </c>
      <c r="U223" s="5" t="s">
        <v>55</v>
      </c>
      <c r="V223" s="5">
        <v>10.4</v>
      </c>
      <c r="W223" s="5">
        <v>6.2</v>
      </c>
      <c r="X223" s="5">
        <v>52</v>
      </c>
      <c r="Y223" s="5">
        <v>4</v>
      </c>
      <c r="Z223" s="6"/>
      <c r="AA223" s="6"/>
      <c r="AB223" s="6"/>
    </row>
    <row r="224" spans="1:28" ht="16" x14ac:dyDescent="0.2">
      <c r="A224" s="4">
        <v>45810</v>
      </c>
      <c r="B224" s="19">
        <v>25153</v>
      </c>
      <c r="C224" s="5" t="s">
        <v>27</v>
      </c>
      <c r="D224" s="6"/>
      <c r="E224" s="15">
        <v>42.397902777799999</v>
      </c>
      <c r="F224" s="15">
        <v>-76.590061111099999</v>
      </c>
      <c r="G224" s="5" t="s">
        <v>120</v>
      </c>
      <c r="H224" s="5">
        <v>61.5</v>
      </c>
      <c r="I224" s="5">
        <v>36.200000000000003</v>
      </c>
      <c r="J224" s="5">
        <v>67.5</v>
      </c>
      <c r="K224" s="5">
        <v>27.1</v>
      </c>
      <c r="L224" s="10">
        <v>0.42708333333333331</v>
      </c>
      <c r="M224" s="10">
        <v>0.60347222222222219</v>
      </c>
      <c r="N224" s="11">
        <f t="shared" si="82"/>
        <v>99.84</v>
      </c>
      <c r="O224" s="11">
        <f t="shared" si="174"/>
        <v>99.84</v>
      </c>
      <c r="P224" s="11">
        <f t="shared" si="175"/>
        <v>98.8</v>
      </c>
      <c r="Q224" s="11">
        <f t="shared" si="1"/>
        <v>99.493333333333339</v>
      </c>
      <c r="R224" s="5">
        <v>3</v>
      </c>
      <c r="S224" s="5" t="s">
        <v>131</v>
      </c>
      <c r="T224" s="5" t="s">
        <v>9</v>
      </c>
      <c r="U224" s="5" t="s">
        <v>55</v>
      </c>
      <c r="V224" s="5">
        <v>11.4</v>
      </c>
      <c r="W224" s="5">
        <v>6.5</v>
      </c>
      <c r="X224" s="5">
        <v>56</v>
      </c>
      <c r="Y224" s="5">
        <v>3</v>
      </c>
      <c r="Z224" s="5" t="s">
        <v>67</v>
      </c>
      <c r="AA224" s="5" t="s">
        <v>132</v>
      </c>
      <c r="AB224" s="6"/>
    </row>
    <row r="225" spans="1:28" ht="16" x14ac:dyDescent="0.2">
      <c r="A225" s="4">
        <v>45810</v>
      </c>
      <c r="B225" s="19">
        <v>25153</v>
      </c>
      <c r="C225" s="5" t="s">
        <v>27</v>
      </c>
      <c r="D225" s="6"/>
      <c r="E225" s="15">
        <v>42.397902777799999</v>
      </c>
      <c r="F225" s="15">
        <v>-76.590061111099999</v>
      </c>
      <c r="G225" s="5" t="s">
        <v>120</v>
      </c>
      <c r="H225" s="5">
        <v>61.5</v>
      </c>
      <c r="I225" s="5">
        <v>36.200000000000003</v>
      </c>
      <c r="J225" s="5">
        <v>67.5</v>
      </c>
      <c r="K225" s="5">
        <v>27.1</v>
      </c>
      <c r="L225" s="10">
        <v>0.42708333333333331</v>
      </c>
      <c r="M225" s="10">
        <v>0.60347222222222219</v>
      </c>
      <c r="N225" s="11">
        <f t="shared" si="82"/>
        <v>99.84</v>
      </c>
      <c r="O225" s="11">
        <f t="shared" si="174"/>
        <v>99.84</v>
      </c>
      <c r="P225" s="11">
        <f t="shared" si="175"/>
        <v>98.8</v>
      </c>
      <c r="Q225" s="11">
        <f t="shared" si="1"/>
        <v>99.493333333333339</v>
      </c>
      <c r="R225" s="5">
        <v>3</v>
      </c>
      <c r="S225" s="5" t="s">
        <v>105</v>
      </c>
      <c r="T225" s="5" t="s">
        <v>9</v>
      </c>
      <c r="U225" s="5" t="s">
        <v>55</v>
      </c>
      <c r="V225" s="5">
        <v>11.9</v>
      </c>
      <c r="W225" s="5">
        <v>5.8</v>
      </c>
      <c r="X225" s="5">
        <v>60</v>
      </c>
      <c r="Y225" s="5">
        <v>3</v>
      </c>
      <c r="Z225" s="6"/>
      <c r="AA225" s="6"/>
      <c r="AB225" s="6"/>
    </row>
    <row r="226" spans="1:28" ht="16" x14ac:dyDescent="0.2">
      <c r="A226" s="4">
        <v>45810</v>
      </c>
      <c r="B226" s="19">
        <v>25153</v>
      </c>
      <c r="C226" s="5" t="s">
        <v>27</v>
      </c>
      <c r="D226" s="6"/>
      <c r="E226" s="15">
        <v>42.397902777799999</v>
      </c>
      <c r="F226" s="15">
        <v>-76.590061111099999</v>
      </c>
      <c r="G226" s="5" t="s">
        <v>120</v>
      </c>
      <c r="H226" s="5">
        <v>61.5</v>
      </c>
      <c r="I226" s="5">
        <v>36.200000000000003</v>
      </c>
      <c r="J226" s="5">
        <v>67.5</v>
      </c>
      <c r="K226" s="5">
        <v>27.1</v>
      </c>
      <c r="L226" s="10">
        <v>0.42708333333333331</v>
      </c>
      <c r="M226" s="10">
        <v>0.60347222222222219</v>
      </c>
      <c r="N226" s="11">
        <f t="shared" si="82"/>
        <v>99.84</v>
      </c>
      <c r="O226" s="11">
        <f t="shared" si="174"/>
        <v>99.84</v>
      </c>
      <c r="P226" s="11">
        <f t="shared" si="175"/>
        <v>98.8</v>
      </c>
      <c r="Q226" s="11">
        <f t="shared" si="1"/>
        <v>99.493333333333339</v>
      </c>
      <c r="R226" s="5">
        <v>3</v>
      </c>
      <c r="S226" s="5" t="s">
        <v>105</v>
      </c>
      <c r="T226" s="5" t="s">
        <v>9</v>
      </c>
      <c r="U226" s="5" t="s">
        <v>55</v>
      </c>
      <c r="V226" s="5">
        <v>11.7</v>
      </c>
      <c r="W226" s="5">
        <v>6.8</v>
      </c>
      <c r="X226" s="5">
        <v>20</v>
      </c>
      <c r="Y226" s="5">
        <v>0.5</v>
      </c>
      <c r="Z226" s="6"/>
      <c r="AA226" s="6"/>
      <c r="AB226" s="6"/>
    </row>
    <row r="227" spans="1:28" ht="16" x14ac:dyDescent="0.2">
      <c r="A227" s="4">
        <v>45810</v>
      </c>
      <c r="B227" s="19">
        <v>25153</v>
      </c>
      <c r="C227" s="5" t="s">
        <v>27</v>
      </c>
      <c r="D227" s="6"/>
      <c r="E227" s="15">
        <v>42.397902777799999</v>
      </c>
      <c r="F227" s="15">
        <v>-76.590061111099999</v>
      </c>
      <c r="G227" s="5" t="s">
        <v>120</v>
      </c>
      <c r="H227" s="5">
        <v>61.5</v>
      </c>
      <c r="I227" s="5">
        <v>36.200000000000003</v>
      </c>
      <c r="J227" s="5">
        <v>67.5</v>
      </c>
      <c r="K227" s="5">
        <v>27.1</v>
      </c>
      <c r="L227" s="10">
        <v>0.42708333333333331</v>
      </c>
      <c r="M227" s="10">
        <v>0.60347222222222219</v>
      </c>
      <c r="N227" s="11">
        <f t="shared" si="82"/>
        <v>99.84</v>
      </c>
      <c r="O227" s="11">
        <f t="shared" si="174"/>
        <v>99.84</v>
      </c>
      <c r="P227" s="11">
        <f t="shared" si="175"/>
        <v>98.8</v>
      </c>
      <c r="Q227" s="11">
        <f t="shared" si="1"/>
        <v>99.493333333333339</v>
      </c>
      <c r="R227" s="5">
        <v>3</v>
      </c>
      <c r="S227" s="5" t="s">
        <v>105</v>
      </c>
      <c r="T227" s="5" t="s">
        <v>9</v>
      </c>
      <c r="U227" s="5" t="s">
        <v>55</v>
      </c>
      <c r="V227" s="5">
        <v>11.8</v>
      </c>
      <c r="W227" s="5">
        <v>6.9</v>
      </c>
      <c r="X227" s="5">
        <v>35</v>
      </c>
      <c r="Y227" s="5">
        <v>3</v>
      </c>
      <c r="Z227" s="6"/>
      <c r="AA227" s="6"/>
      <c r="AB227" s="6"/>
    </row>
    <row r="228" spans="1:28" ht="16" x14ac:dyDescent="0.2">
      <c r="A228" s="4">
        <v>45810</v>
      </c>
      <c r="B228" s="19">
        <v>25153</v>
      </c>
      <c r="C228" s="5" t="s">
        <v>27</v>
      </c>
      <c r="D228" s="6"/>
      <c r="E228" s="15">
        <v>42.397902777799999</v>
      </c>
      <c r="F228" s="15">
        <v>-76.590061111099999</v>
      </c>
      <c r="G228" s="5" t="s">
        <v>120</v>
      </c>
      <c r="H228" s="5">
        <v>61.5</v>
      </c>
      <c r="I228" s="5">
        <v>36.200000000000003</v>
      </c>
      <c r="J228" s="5">
        <v>67.5</v>
      </c>
      <c r="K228" s="5">
        <v>27.1</v>
      </c>
      <c r="L228" s="10">
        <v>0.42708333333333331</v>
      </c>
      <c r="M228" s="10">
        <v>0.60347222222222219</v>
      </c>
      <c r="N228" s="11">
        <f t="shared" si="82"/>
        <v>99.84</v>
      </c>
      <c r="O228" s="11">
        <f t="shared" si="174"/>
        <v>99.84</v>
      </c>
      <c r="P228" s="11">
        <f t="shared" si="175"/>
        <v>98.8</v>
      </c>
      <c r="Q228" s="11">
        <f t="shared" si="1"/>
        <v>99.493333333333339</v>
      </c>
      <c r="R228" s="5">
        <v>3</v>
      </c>
      <c r="S228" s="5" t="s">
        <v>133</v>
      </c>
      <c r="T228" s="5" t="s">
        <v>9</v>
      </c>
      <c r="U228" s="5" t="s">
        <v>55</v>
      </c>
      <c r="V228" s="5">
        <v>11.6</v>
      </c>
      <c r="W228" s="5">
        <v>6.6</v>
      </c>
      <c r="X228" s="5">
        <v>52</v>
      </c>
      <c r="Y228" s="5">
        <v>3</v>
      </c>
      <c r="Z228" s="5" t="s">
        <v>67</v>
      </c>
      <c r="AA228" s="5" t="s">
        <v>135</v>
      </c>
      <c r="AB228" s="6"/>
    </row>
    <row r="229" spans="1:28" ht="16" x14ac:dyDescent="0.2">
      <c r="A229" s="4">
        <v>45810</v>
      </c>
      <c r="B229" s="19">
        <v>25153</v>
      </c>
      <c r="C229" s="5" t="s">
        <v>27</v>
      </c>
      <c r="D229" s="6"/>
      <c r="E229" s="15">
        <v>42.397902777799999</v>
      </c>
      <c r="F229" s="15">
        <v>-76.590061111099999</v>
      </c>
      <c r="G229" s="5" t="s">
        <v>120</v>
      </c>
      <c r="H229" s="5">
        <v>61.5</v>
      </c>
      <c r="I229" s="5">
        <v>36.200000000000003</v>
      </c>
      <c r="J229" s="5">
        <v>67.5</v>
      </c>
      <c r="K229" s="5">
        <v>27.1</v>
      </c>
      <c r="L229" s="10">
        <v>0.42708333333333331</v>
      </c>
      <c r="M229" s="10">
        <v>0.60347222222222219</v>
      </c>
      <c r="N229" s="11">
        <f t="shared" si="82"/>
        <v>99.84</v>
      </c>
      <c r="O229" s="11">
        <f t="shared" si="174"/>
        <v>99.84</v>
      </c>
      <c r="P229" s="11">
        <f t="shared" si="175"/>
        <v>98.8</v>
      </c>
      <c r="Q229" s="11">
        <f t="shared" si="1"/>
        <v>99.493333333333339</v>
      </c>
      <c r="R229" s="5">
        <v>3</v>
      </c>
      <c r="S229" s="5" t="s">
        <v>133</v>
      </c>
      <c r="T229" s="5" t="s">
        <v>9</v>
      </c>
      <c r="U229" s="5" t="s">
        <v>55</v>
      </c>
      <c r="V229" s="5">
        <v>11.5</v>
      </c>
      <c r="W229" s="5">
        <v>5.5</v>
      </c>
      <c r="X229" s="5">
        <v>70</v>
      </c>
      <c r="Y229" s="5">
        <v>2.5</v>
      </c>
      <c r="Z229" s="6"/>
      <c r="AA229" s="6"/>
      <c r="AB229" s="6"/>
    </row>
    <row r="230" spans="1:28" ht="16" x14ac:dyDescent="0.2">
      <c r="A230" s="4">
        <v>45810</v>
      </c>
      <c r="B230" s="19">
        <v>25153</v>
      </c>
      <c r="C230" s="5" t="s">
        <v>27</v>
      </c>
      <c r="D230" s="6"/>
      <c r="E230" s="15">
        <v>42.397902777799999</v>
      </c>
      <c r="F230" s="15">
        <v>-76.590061111099999</v>
      </c>
      <c r="G230" s="5" t="s">
        <v>120</v>
      </c>
      <c r="H230" s="5">
        <v>61.5</v>
      </c>
      <c r="I230" s="5">
        <v>36.200000000000003</v>
      </c>
      <c r="J230" s="5">
        <v>67.5</v>
      </c>
      <c r="K230" s="5">
        <v>27.1</v>
      </c>
      <c r="L230" s="10">
        <v>0.42708333333333331</v>
      </c>
      <c r="M230" s="10">
        <v>0.60347222222222219</v>
      </c>
      <c r="N230" s="11">
        <f t="shared" si="82"/>
        <v>99.84</v>
      </c>
      <c r="O230" s="11">
        <f t="shared" si="174"/>
        <v>99.84</v>
      </c>
      <c r="P230" s="11">
        <f t="shared" si="175"/>
        <v>98.8</v>
      </c>
      <c r="Q230" s="11">
        <f t="shared" si="1"/>
        <v>99.493333333333339</v>
      </c>
      <c r="R230" s="5">
        <v>3</v>
      </c>
      <c r="S230" s="5" t="s">
        <v>133</v>
      </c>
      <c r="T230" s="5" t="s">
        <v>9</v>
      </c>
      <c r="U230" s="5" t="s">
        <v>55</v>
      </c>
      <c r="V230" s="5">
        <v>11.1</v>
      </c>
      <c r="W230" s="5">
        <v>6</v>
      </c>
      <c r="X230" s="5">
        <v>58</v>
      </c>
      <c r="Y230" s="5">
        <v>0</v>
      </c>
      <c r="Z230" s="5" t="s">
        <v>67</v>
      </c>
      <c r="AA230" s="5" t="s">
        <v>132</v>
      </c>
      <c r="AB230" s="6"/>
    </row>
    <row r="231" spans="1:28" ht="16" x14ac:dyDescent="0.2">
      <c r="A231" s="4">
        <v>45811</v>
      </c>
      <c r="B231" s="19">
        <v>25154</v>
      </c>
      <c r="C231" s="5" t="s">
        <v>49</v>
      </c>
      <c r="D231" s="5" t="s">
        <v>136</v>
      </c>
      <c r="E231" s="15">
        <v>42.443677777799998</v>
      </c>
      <c r="F231" s="15">
        <v>-76.409083333300003</v>
      </c>
      <c r="G231" s="5" t="s">
        <v>137</v>
      </c>
      <c r="H231" s="5">
        <v>58.7</v>
      </c>
      <c r="I231" s="5">
        <v>70.099999999999994</v>
      </c>
      <c r="J231" s="5">
        <v>74</v>
      </c>
      <c r="K231" s="5">
        <v>53.7</v>
      </c>
      <c r="L231" s="10">
        <v>0.3888888888888889</v>
      </c>
      <c r="M231" s="10">
        <v>0.67083333333333328</v>
      </c>
      <c r="N231" s="11">
        <f t="shared" si="82"/>
        <v>99.84</v>
      </c>
      <c r="O231" s="11">
        <f t="shared" si="174"/>
        <v>99.84</v>
      </c>
      <c r="P231" s="11">
        <f t="shared" ref="P231:P294" si="176">AVERAGE(96,96,96,96)*1.04</f>
        <v>99.84</v>
      </c>
      <c r="Q231" s="11">
        <f t="shared" si="1"/>
        <v>99.839999999999989</v>
      </c>
      <c r="R231" s="5">
        <v>1</v>
      </c>
      <c r="S231" s="5" t="s">
        <v>131</v>
      </c>
      <c r="T231" s="5" t="s">
        <v>9</v>
      </c>
      <c r="U231" s="5" t="s">
        <v>55</v>
      </c>
      <c r="V231" s="5">
        <v>12</v>
      </c>
      <c r="W231" s="5">
        <v>5.7</v>
      </c>
      <c r="X231" s="5">
        <v>57</v>
      </c>
      <c r="Y231" s="5">
        <v>3.5</v>
      </c>
      <c r="Z231" s="6"/>
      <c r="AA231" s="6"/>
      <c r="AB231" s="6"/>
    </row>
    <row r="232" spans="1:28" ht="16" x14ac:dyDescent="0.2">
      <c r="A232" s="4">
        <v>45811</v>
      </c>
      <c r="B232" s="19">
        <v>25154</v>
      </c>
      <c r="C232" s="5" t="s">
        <v>49</v>
      </c>
      <c r="D232" s="6"/>
      <c r="E232" s="15">
        <v>42.443677777799998</v>
      </c>
      <c r="F232" s="15">
        <v>-76.409083333300003</v>
      </c>
      <c r="G232" s="5" t="s">
        <v>137</v>
      </c>
      <c r="H232" s="5">
        <v>58.7</v>
      </c>
      <c r="I232" s="5">
        <v>70.099999999999994</v>
      </c>
      <c r="J232" s="5">
        <v>74</v>
      </c>
      <c r="K232" s="5">
        <v>53.7</v>
      </c>
      <c r="L232" s="10">
        <v>0.3888888888888889</v>
      </c>
      <c r="M232" s="10">
        <v>0.67083333333333328</v>
      </c>
      <c r="N232" s="11">
        <f t="shared" si="82"/>
        <v>99.84</v>
      </c>
      <c r="O232" s="11">
        <f t="shared" si="174"/>
        <v>99.84</v>
      </c>
      <c r="P232" s="11">
        <f t="shared" si="176"/>
        <v>99.84</v>
      </c>
      <c r="Q232" s="11">
        <f t="shared" si="1"/>
        <v>99.839999999999989</v>
      </c>
      <c r="R232" s="5">
        <v>1</v>
      </c>
      <c r="S232" s="5" t="s">
        <v>131</v>
      </c>
      <c r="T232" s="5" t="s">
        <v>9</v>
      </c>
      <c r="U232" s="5" t="s">
        <v>56</v>
      </c>
      <c r="V232" s="5">
        <v>13</v>
      </c>
      <c r="W232" s="5" t="s">
        <v>8</v>
      </c>
      <c r="X232" s="5" t="s">
        <v>8</v>
      </c>
      <c r="Y232" s="5">
        <v>2</v>
      </c>
      <c r="Z232" s="5"/>
      <c r="AA232" s="5" t="s">
        <v>123</v>
      </c>
      <c r="AB232" s="6"/>
    </row>
    <row r="233" spans="1:28" ht="16" x14ac:dyDescent="0.2">
      <c r="A233" s="4">
        <v>45811</v>
      </c>
      <c r="B233" s="19">
        <v>25154</v>
      </c>
      <c r="C233" s="5" t="s">
        <v>49</v>
      </c>
      <c r="D233" s="6"/>
      <c r="E233" s="15">
        <v>42.443677777799998</v>
      </c>
      <c r="F233" s="15">
        <v>-76.409083333300003</v>
      </c>
      <c r="G233" s="5" t="s">
        <v>137</v>
      </c>
      <c r="H233" s="5">
        <v>58.7</v>
      </c>
      <c r="I233" s="5">
        <v>70.099999999999994</v>
      </c>
      <c r="J233" s="5">
        <v>74</v>
      </c>
      <c r="K233" s="5">
        <v>53.7</v>
      </c>
      <c r="L233" s="10">
        <v>0.3888888888888889</v>
      </c>
      <c r="M233" s="10">
        <v>0.67083333333333328</v>
      </c>
      <c r="N233" s="11">
        <f t="shared" si="82"/>
        <v>99.84</v>
      </c>
      <c r="O233" s="11">
        <f t="shared" si="174"/>
        <v>99.84</v>
      </c>
      <c r="P233" s="11">
        <f t="shared" si="176"/>
        <v>99.84</v>
      </c>
      <c r="Q233" s="11">
        <f t="shared" si="1"/>
        <v>99.839999999999989</v>
      </c>
      <c r="R233" s="5">
        <v>1</v>
      </c>
      <c r="S233" s="5" t="s">
        <v>131</v>
      </c>
      <c r="T233" s="5" t="s">
        <v>9</v>
      </c>
      <c r="U233" s="5" t="s">
        <v>55</v>
      </c>
      <c r="V233" s="5">
        <v>12.4</v>
      </c>
      <c r="W233" s="5">
        <v>5.4</v>
      </c>
      <c r="X233" s="5">
        <v>60</v>
      </c>
      <c r="Y233" s="5">
        <v>3</v>
      </c>
      <c r="Z233" s="6"/>
      <c r="AA233" s="6"/>
      <c r="AB233" s="6"/>
    </row>
    <row r="234" spans="1:28" ht="16" x14ac:dyDescent="0.2">
      <c r="A234" s="4">
        <v>45811</v>
      </c>
      <c r="B234" s="19">
        <v>25154</v>
      </c>
      <c r="C234" s="5" t="s">
        <v>49</v>
      </c>
      <c r="D234" s="6"/>
      <c r="E234" s="15">
        <v>42.443677777799998</v>
      </c>
      <c r="F234" s="15">
        <v>-76.409083333300003</v>
      </c>
      <c r="G234" s="5" t="s">
        <v>137</v>
      </c>
      <c r="H234" s="5">
        <v>58.7</v>
      </c>
      <c r="I234" s="5">
        <v>70.099999999999994</v>
      </c>
      <c r="J234" s="5">
        <v>74</v>
      </c>
      <c r="K234" s="5">
        <v>53.7</v>
      </c>
      <c r="L234" s="10">
        <v>0.3888888888888889</v>
      </c>
      <c r="M234" s="10">
        <v>0.67083333333333328</v>
      </c>
      <c r="N234" s="11">
        <f t="shared" si="82"/>
        <v>99.84</v>
      </c>
      <c r="O234" s="11">
        <f t="shared" si="174"/>
        <v>99.84</v>
      </c>
      <c r="P234" s="11">
        <f t="shared" si="176"/>
        <v>99.84</v>
      </c>
      <c r="Q234" s="11">
        <f t="shared" si="1"/>
        <v>99.839999999999989</v>
      </c>
      <c r="R234" s="5">
        <v>1</v>
      </c>
      <c r="S234" s="5">
        <v>14.5</v>
      </c>
      <c r="T234" s="5" t="s">
        <v>4</v>
      </c>
      <c r="U234" s="5" t="s">
        <v>55</v>
      </c>
      <c r="V234" s="5">
        <v>11.8</v>
      </c>
      <c r="W234" s="5">
        <v>6.1</v>
      </c>
      <c r="X234" s="5">
        <v>38</v>
      </c>
      <c r="Y234" s="5">
        <v>2.5</v>
      </c>
      <c r="Z234" s="6"/>
      <c r="AA234" s="6"/>
      <c r="AB234" s="6"/>
    </row>
    <row r="235" spans="1:28" ht="16" x14ac:dyDescent="0.2">
      <c r="A235" s="4">
        <v>45811</v>
      </c>
      <c r="B235" s="19">
        <v>25154</v>
      </c>
      <c r="C235" s="5" t="s">
        <v>49</v>
      </c>
      <c r="D235" s="6"/>
      <c r="E235" s="15">
        <v>42.443677777799998</v>
      </c>
      <c r="F235" s="15">
        <v>-76.409083333300003</v>
      </c>
      <c r="G235" s="5" t="s">
        <v>137</v>
      </c>
      <c r="H235" s="5">
        <v>58.7</v>
      </c>
      <c r="I235" s="5">
        <v>70.099999999999994</v>
      </c>
      <c r="J235" s="5">
        <v>74</v>
      </c>
      <c r="K235" s="5">
        <v>53.7</v>
      </c>
      <c r="L235" s="10">
        <v>0.3888888888888889</v>
      </c>
      <c r="M235" s="10">
        <v>0.67083333333333328</v>
      </c>
      <c r="N235" s="11">
        <f t="shared" si="82"/>
        <v>99.84</v>
      </c>
      <c r="O235" s="11">
        <f t="shared" si="174"/>
        <v>99.84</v>
      </c>
      <c r="P235" s="11">
        <f t="shared" si="176"/>
        <v>99.84</v>
      </c>
      <c r="Q235" s="11">
        <f t="shared" si="1"/>
        <v>99.839999999999989</v>
      </c>
      <c r="R235" s="5">
        <v>1</v>
      </c>
      <c r="S235" s="5" t="s">
        <v>105</v>
      </c>
      <c r="T235" s="5" t="s">
        <v>9</v>
      </c>
      <c r="U235" s="5" t="s">
        <v>55</v>
      </c>
      <c r="V235" s="5">
        <v>11.8</v>
      </c>
      <c r="W235" s="5" t="s">
        <v>8</v>
      </c>
      <c r="X235" s="5" t="s">
        <v>8</v>
      </c>
      <c r="Y235" s="5">
        <v>2</v>
      </c>
      <c r="Z235" s="5"/>
      <c r="AA235" s="5" t="s">
        <v>123</v>
      </c>
      <c r="AB235" s="6"/>
    </row>
    <row r="236" spans="1:28" ht="16" x14ac:dyDescent="0.2">
      <c r="A236" s="4">
        <v>45811</v>
      </c>
      <c r="B236" s="19">
        <v>25154</v>
      </c>
      <c r="C236" s="5" t="s">
        <v>49</v>
      </c>
      <c r="D236" s="6"/>
      <c r="E236" s="15">
        <v>42.443677777799998</v>
      </c>
      <c r="F236" s="15">
        <v>-76.409083333300003</v>
      </c>
      <c r="G236" s="5" t="s">
        <v>137</v>
      </c>
      <c r="H236" s="5">
        <v>58.7</v>
      </c>
      <c r="I236" s="5">
        <v>70.099999999999994</v>
      </c>
      <c r="J236" s="5">
        <v>74</v>
      </c>
      <c r="K236" s="5">
        <v>53.7</v>
      </c>
      <c r="L236" s="10">
        <v>0.3888888888888889</v>
      </c>
      <c r="M236" s="10">
        <v>0.67083333333333328</v>
      </c>
      <c r="N236" s="11">
        <f t="shared" si="82"/>
        <v>99.84</v>
      </c>
      <c r="O236" s="11">
        <f t="shared" si="174"/>
        <v>99.84</v>
      </c>
      <c r="P236" s="11">
        <f t="shared" si="176"/>
        <v>99.84</v>
      </c>
      <c r="Q236" s="11">
        <f t="shared" si="1"/>
        <v>99.839999999999989</v>
      </c>
      <c r="R236" s="5">
        <v>1</v>
      </c>
      <c r="S236" s="5" t="s">
        <v>105</v>
      </c>
      <c r="T236" s="5" t="s">
        <v>9</v>
      </c>
      <c r="U236" s="5" t="s">
        <v>55</v>
      </c>
      <c r="V236" s="5">
        <v>12.2</v>
      </c>
      <c r="W236" s="5">
        <v>5.7</v>
      </c>
      <c r="X236" s="5">
        <v>45</v>
      </c>
      <c r="Y236" s="5">
        <v>3</v>
      </c>
      <c r="Z236" s="6"/>
      <c r="AA236" s="6"/>
      <c r="AB236" s="6"/>
    </row>
    <row r="237" spans="1:28" ht="16" x14ac:dyDescent="0.2">
      <c r="A237" s="4">
        <v>45811</v>
      </c>
      <c r="B237" s="19">
        <v>25154</v>
      </c>
      <c r="C237" s="5" t="s">
        <v>49</v>
      </c>
      <c r="D237" s="6"/>
      <c r="E237" s="15">
        <v>42.443677777799998</v>
      </c>
      <c r="F237" s="15">
        <v>-76.409083333300003</v>
      </c>
      <c r="G237" s="5" t="s">
        <v>137</v>
      </c>
      <c r="H237" s="5">
        <v>58.7</v>
      </c>
      <c r="I237" s="5">
        <v>70.099999999999994</v>
      </c>
      <c r="J237" s="5">
        <v>74</v>
      </c>
      <c r="K237" s="5">
        <v>53.7</v>
      </c>
      <c r="L237" s="10">
        <v>0.3888888888888889</v>
      </c>
      <c r="M237" s="10">
        <v>0.67083333333333328</v>
      </c>
      <c r="N237" s="11">
        <f t="shared" si="82"/>
        <v>99.84</v>
      </c>
      <c r="O237" s="11">
        <f t="shared" si="174"/>
        <v>99.84</v>
      </c>
      <c r="P237" s="11">
        <f t="shared" si="176"/>
        <v>99.84</v>
      </c>
      <c r="Q237" s="11">
        <f t="shared" si="1"/>
        <v>99.839999999999989</v>
      </c>
      <c r="R237" s="5">
        <v>1</v>
      </c>
      <c r="S237" s="5">
        <v>25</v>
      </c>
      <c r="T237" s="5" t="s">
        <v>4</v>
      </c>
      <c r="U237" s="5" t="s">
        <v>55</v>
      </c>
      <c r="V237" s="5">
        <v>12</v>
      </c>
      <c r="W237" s="5">
        <v>5.2</v>
      </c>
      <c r="X237" s="5">
        <v>70</v>
      </c>
      <c r="Y237" s="5">
        <v>4.5</v>
      </c>
      <c r="Z237" s="5"/>
      <c r="AA237" s="5" t="s">
        <v>138</v>
      </c>
      <c r="AB237" s="6"/>
    </row>
    <row r="238" spans="1:28" ht="16" x14ac:dyDescent="0.2">
      <c r="A238" s="4">
        <v>45811</v>
      </c>
      <c r="B238" s="19">
        <v>25154</v>
      </c>
      <c r="C238" s="5" t="s">
        <v>49</v>
      </c>
      <c r="D238" s="6"/>
      <c r="E238" s="15">
        <v>42.443677777799998</v>
      </c>
      <c r="F238" s="15">
        <v>-76.409083333300003</v>
      </c>
      <c r="G238" s="5" t="s">
        <v>137</v>
      </c>
      <c r="H238" s="5">
        <v>58.7</v>
      </c>
      <c r="I238" s="5">
        <v>70.099999999999994</v>
      </c>
      <c r="J238" s="5">
        <v>74</v>
      </c>
      <c r="K238" s="5">
        <v>53.7</v>
      </c>
      <c r="L238" s="10">
        <v>0.3888888888888889</v>
      </c>
      <c r="M238" s="10">
        <v>0.67083333333333328</v>
      </c>
      <c r="N238" s="11">
        <f t="shared" si="82"/>
        <v>99.84</v>
      </c>
      <c r="O238" s="11">
        <f t="shared" si="174"/>
        <v>99.84</v>
      </c>
      <c r="P238" s="11">
        <f t="shared" si="176"/>
        <v>99.84</v>
      </c>
      <c r="Q238" s="11">
        <f t="shared" si="1"/>
        <v>99.839999999999989</v>
      </c>
      <c r="R238" s="5">
        <v>1</v>
      </c>
      <c r="S238" s="5" t="s">
        <v>105</v>
      </c>
      <c r="T238" s="5" t="s">
        <v>9</v>
      </c>
      <c r="U238" s="5" t="s">
        <v>55</v>
      </c>
      <c r="V238" s="5">
        <v>13.4</v>
      </c>
      <c r="W238" s="5" t="s">
        <v>8</v>
      </c>
      <c r="X238" s="5" t="s">
        <v>8</v>
      </c>
      <c r="Y238" s="6"/>
      <c r="Z238" s="5"/>
      <c r="AA238" s="5" t="s">
        <v>123</v>
      </c>
      <c r="AB238" s="6"/>
    </row>
    <row r="239" spans="1:28" ht="16" x14ac:dyDescent="0.2">
      <c r="A239" s="4">
        <v>45811</v>
      </c>
      <c r="B239" s="19">
        <v>25154</v>
      </c>
      <c r="C239" s="5" t="s">
        <v>49</v>
      </c>
      <c r="D239" s="6"/>
      <c r="E239" s="15">
        <v>42.443677777799998</v>
      </c>
      <c r="F239" s="15">
        <v>-76.409083333300003</v>
      </c>
      <c r="G239" s="5" t="s">
        <v>137</v>
      </c>
      <c r="H239" s="5">
        <v>58.7</v>
      </c>
      <c r="I239" s="5">
        <v>70.099999999999994</v>
      </c>
      <c r="J239" s="5">
        <v>74</v>
      </c>
      <c r="K239" s="5">
        <v>53.7</v>
      </c>
      <c r="L239" s="10">
        <v>0.3888888888888889</v>
      </c>
      <c r="M239" s="10">
        <v>0.67083333333333328</v>
      </c>
      <c r="N239" s="11">
        <f t="shared" si="82"/>
        <v>99.84</v>
      </c>
      <c r="O239" s="11">
        <f t="shared" si="174"/>
        <v>99.84</v>
      </c>
      <c r="P239" s="11">
        <f t="shared" si="176"/>
        <v>99.84</v>
      </c>
      <c r="Q239" s="11">
        <f t="shared" si="1"/>
        <v>99.839999999999989</v>
      </c>
      <c r="R239" s="5">
        <v>1</v>
      </c>
      <c r="S239" s="5" t="s">
        <v>14</v>
      </c>
      <c r="T239" s="5" t="s">
        <v>9</v>
      </c>
      <c r="U239" s="5" t="s">
        <v>55</v>
      </c>
      <c r="V239" s="5">
        <v>12.2</v>
      </c>
      <c r="W239" s="5">
        <v>5.3</v>
      </c>
      <c r="X239" s="5">
        <v>57</v>
      </c>
      <c r="Y239" s="5">
        <v>4</v>
      </c>
      <c r="Z239" s="6"/>
      <c r="AA239" s="6"/>
      <c r="AB239" s="6"/>
    </row>
    <row r="240" spans="1:28" ht="16" x14ac:dyDescent="0.2">
      <c r="A240" s="4">
        <v>45811</v>
      </c>
      <c r="B240" s="19">
        <v>25154</v>
      </c>
      <c r="C240" s="5" t="s">
        <v>49</v>
      </c>
      <c r="D240" s="6"/>
      <c r="E240" s="15">
        <v>42.443677777799998</v>
      </c>
      <c r="F240" s="15">
        <v>-76.409083333300003</v>
      </c>
      <c r="G240" s="5" t="s">
        <v>137</v>
      </c>
      <c r="H240" s="5">
        <v>58.7</v>
      </c>
      <c r="I240" s="5">
        <v>70.099999999999994</v>
      </c>
      <c r="J240" s="5">
        <v>74</v>
      </c>
      <c r="K240" s="5">
        <v>53.7</v>
      </c>
      <c r="L240" s="10">
        <v>0.3888888888888889</v>
      </c>
      <c r="M240" s="10">
        <v>0.67083333333333328</v>
      </c>
      <c r="N240" s="11">
        <f t="shared" si="82"/>
        <v>99.84</v>
      </c>
      <c r="O240" s="11">
        <f t="shared" si="174"/>
        <v>99.84</v>
      </c>
      <c r="P240" s="11">
        <f t="shared" si="176"/>
        <v>99.84</v>
      </c>
      <c r="Q240" s="11">
        <f t="shared" si="1"/>
        <v>99.839999999999989</v>
      </c>
      <c r="R240" s="5">
        <v>1</v>
      </c>
      <c r="S240" s="5" t="s">
        <v>14</v>
      </c>
      <c r="T240" s="5" t="s">
        <v>9</v>
      </c>
      <c r="U240" s="5" t="s">
        <v>55</v>
      </c>
      <c r="V240" s="5">
        <v>13.3</v>
      </c>
      <c r="W240" s="5">
        <v>5</v>
      </c>
      <c r="X240" s="5">
        <v>90</v>
      </c>
      <c r="Y240" s="5">
        <v>7</v>
      </c>
      <c r="Z240" s="6"/>
      <c r="AA240" s="6"/>
      <c r="AB240" s="6"/>
    </row>
    <row r="241" spans="1:28" ht="16" x14ac:dyDescent="0.2">
      <c r="A241" s="4">
        <v>45811</v>
      </c>
      <c r="B241" s="19">
        <v>25154</v>
      </c>
      <c r="C241" s="5" t="s">
        <v>49</v>
      </c>
      <c r="D241" s="6"/>
      <c r="E241" s="15">
        <v>42.443677777799998</v>
      </c>
      <c r="F241" s="15">
        <v>-76.409083333300003</v>
      </c>
      <c r="G241" s="5" t="s">
        <v>137</v>
      </c>
      <c r="H241" s="5">
        <v>58.7</v>
      </c>
      <c r="I241" s="5">
        <v>70.099999999999994</v>
      </c>
      <c r="J241" s="5">
        <v>74</v>
      </c>
      <c r="K241" s="5">
        <v>53.7</v>
      </c>
      <c r="L241" s="10">
        <v>0.3888888888888889</v>
      </c>
      <c r="M241" s="10">
        <v>0.67083333333333328</v>
      </c>
      <c r="N241" s="11">
        <f t="shared" si="82"/>
        <v>99.84</v>
      </c>
      <c r="O241" s="11">
        <f t="shared" si="174"/>
        <v>99.84</v>
      </c>
      <c r="P241" s="11">
        <f t="shared" si="176"/>
        <v>99.84</v>
      </c>
      <c r="Q241" s="11">
        <f t="shared" si="1"/>
        <v>99.839999999999989</v>
      </c>
      <c r="R241" s="5">
        <v>1</v>
      </c>
      <c r="S241" s="5" t="s">
        <v>14</v>
      </c>
      <c r="T241" s="5" t="s">
        <v>9</v>
      </c>
      <c r="U241" s="5" t="s">
        <v>55</v>
      </c>
      <c r="V241" s="5">
        <v>12.6</v>
      </c>
      <c r="W241" s="5">
        <v>6</v>
      </c>
      <c r="X241" s="5">
        <v>52</v>
      </c>
      <c r="Y241" s="5">
        <v>4</v>
      </c>
      <c r="Z241" s="6"/>
      <c r="AA241" s="6"/>
      <c r="AB241" s="6"/>
    </row>
    <row r="242" spans="1:28" ht="16" x14ac:dyDescent="0.2">
      <c r="A242" s="4">
        <v>45811</v>
      </c>
      <c r="B242" s="19">
        <v>25154</v>
      </c>
      <c r="C242" s="5" t="s">
        <v>49</v>
      </c>
      <c r="D242" s="6"/>
      <c r="E242" s="15">
        <v>42.443677777799998</v>
      </c>
      <c r="F242" s="15">
        <v>-76.409083333300003</v>
      </c>
      <c r="G242" s="5" t="s">
        <v>137</v>
      </c>
      <c r="H242" s="5">
        <v>58.7</v>
      </c>
      <c r="I242" s="5">
        <v>70.099999999999994</v>
      </c>
      <c r="J242" s="5">
        <v>74</v>
      </c>
      <c r="K242" s="5">
        <v>53.7</v>
      </c>
      <c r="L242" s="10">
        <v>0.3888888888888889</v>
      </c>
      <c r="M242" s="10">
        <v>0.67083333333333328</v>
      </c>
      <c r="N242" s="11">
        <f t="shared" si="82"/>
        <v>99.84</v>
      </c>
      <c r="O242" s="11">
        <f t="shared" si="174"/>
        <v>99.84</v>
      </c>
      <c r="P242" s="11">
        <f t="shared" si="176"/>
        <v>99.84</v>
      </c>
      <c r="Q242" s="11">
        <f t="shared" si="1"/>
        <v>99.839999999999989</v>
      </c>
      <c r="R242" s="5">
        <v>1</v>
      </c>
      <c r="S242" s="5">
        <v>7.8</v>
      </c>
      <c r="T242" s="5" t="s">
        <v>4</v>
      </c>
      <c r="U242" s="5" t="s">
        <v>55</v>
      </c>
      <c r="V242" s="5">
        <v>13.6</v>
      </c>
      <c r="W242" s="5">
        <v>5.4</v>
      </c>
      <c r="X242" s="5">
        <v>80</v>
      </c>
      <c r="Y242" s="5">
        <v>3</v>
      </c>
      <c r="Z242" s="5"/>
      <c r="AA242" s="5" t="s">
        <v>139</v>
      </c>
      <c r="AB242" s="6"/>
    </row>
    <row r="243" spans="1:28" ht="16" x14ac:dyDescent="0.2">
      <c r="A243" s="4">
        <v>45811</v>
      </c>
      <c r="B243" s="19">
        <v>25154</v>
      </c>
      <c r="C243" s="5" t="s">
        <v>49</v>
      </c>
      <c r="D243" s="6"/>
      <c r="E243" s="15">
        <v>42.443677777799998</v>
      </c>
      <c r="F243" s="15">
        <v>-76.409083333300003</v>
      </c>
      <c r="G243" s="5" t="s">
        <v>137</v>
      </c>
      <c r="H243" s="5">
        <v>58.7</v>
      </c>
      <c r="I243" s="5">
        <v>70.099999999999994</v>
      </c>
      <c r="J243" s="5">
        <v>74</v>
      </c>
      <c r="K243" s="5">
        <v>53.7</v>
      </c>
      <c r="L243" s="10">
        <v>0.3888888888888889</v>
      </c>
      <c r="M243" s="10">
        <v>0.67083333333333328</v>
      </c>
      <c r="N243" s="11">
        <f t="shared" si="82"/>
        <v>99.84</v>
      </c>
      <c r="O243" s="11">
        <f t="shared" si="174"/>
        <v>99.84</v>
      </c>
      <c r="P243" s="11">
        <f t="shared" si="176"/>
        <v>99.84</v>
      </c>
      <c r="Q243" s="11">
        <f t="shared" si="1"/>
        <v>99.839999999999989</v>
      </c>
      <c r="R243" s="5">
        <v>1</v>
      </c>
      <c r="S243" s="5">
        <v>30</v>
      </c>
      <c r="T243" s="5" t="s">
        <v>4</v>
      </c>
      <c r="U243" s="5" t="s">
        <v>55</v>
      </c>
      <c r="V243" s="5">
        <v>15</v>
      </c>
      <c r="W243" s="5">
        <v>5.9</v>
      </c>
      <c r="X243" s="5">
        <v>70</v>
      </c>
      <c r="Y243" s="5">
        <v>4.5</v>
      </c>
      <c r="Z243" s="6"/>
      <c r="AA243" s="6"/>
      <c r="AB243" s="6"/>
    </row>
    <row r="244" spans="1:28" ht="16" x14ac:dyDescent="0.2">
      <c r="A244" s="4">
        <v>45811</v>
      </c>
      <c r="B244" s="19">
        <v>25154</v>
      </c>
      <c r="C244" s="5" t="s">
        <v>49</v>
      </c>
      <c r="D244" s="6"/>
      <c r="E244" s="15">
        <v>42.443677777799998</v>
      </c>
      <c r="F244" s="15">
        <v>-76.409083333300003</v>
      </c>
      <c r="G244" s="5" t="s">
        <v>137</v>
      </c>
      <c r="H244" s="5">
        <v>58.7</v>
      </c>
      <c r="I244" s="5">
        <v>70.099999999999994</v>
      </c>
      <c r="J244" s="5">
        <v>74</v>
      </c>
      <c r="K244" s="5">
        <v>53.7</v>
      </c>
      <c r="L244" s="10">
        <v>0.3888888888888889</v>
      </c>
      <c r="M244" s="10">
        <v>0.67083333333333328</v>
      </c>
      <c r="N244" s="11">
        <f t="shared" si="82"/>
        <v>99.84</v>
      </c>
      <c r="O244" s="11">
        <f t="shared" si="174"/>
        <v>99.84</v>
      </c>
      <c r="P244" s="11">
        <f t="shared" si="176"/>
        <v>99.84</v>
      </c>
      <c r="Q244" s="11">
        <f t="shared" si="1"/>
        <v>99.839999999999989</v>
      </c>
      <c r="R244" s="5">
        <v>2</v>
      </c>
      <c r="S244" s="5" t="s">
        <v>131</v>
      </c>
      <c r="T244" s="5" t="s">
        <v>9</v>
      </c>
      <c r="U244" s="5" t="s">
        <v>55</v>
      </c>
      <c r="V244" s="5">
        <v>15.6</v>
      </c>
      <c r="W244" s="5" t="s">
        <v>8</v>
      </c>
      <c r="X244" s="5" t="s">
        <v>8</v>
      </c>
      <c r="Y244" s="5">
        <v>3</v>
      </c>
      <c r="Z244" s="5"/>
      <c r="AA244" s="5" t="s">
        <v>123</v>
      </c>
      <c r="AB244" s="6"/>
    </row>
    <row r="245" spans="1:28" ht="16" x14ac:dyDescent="0.2">
      <c r="A245" s="4">
        <v>45811</v>
      </c>
      <c r="B245" s="19">
        <v>25154</v>
      </c>
      <c r="C245" s="5" t="s">
        <v>49</v>
      </c>
      <c r="D245" s="6"/>
      <c r="E245" s="15">
        <v>42.443677777799998</v>
      </c>
      <c r="F245" s="15">
        <v>-76.409083333300003</v>
      </c>
      <c r="G245" s="5" t="s">
        <v>137</v>
      </c>
      <c r="H245" s="5">
        <v>58.7</v>
      </c>
      <c r="I245" s="5">
        <v>70.099999999999994</v>
      </c>
      <c r="J245" s="5">
        <v>74</v>
      </c>
      <c r="K245" s="5">
        <v>53.7</v>
      </c>
      <c r="L245" s="10">
        <v>0.3888888888888889</v>
      </c>
      <c r="M245" s="10">
        <v>0.67083333333333328</v>
      </c>
      <c r="N245" s="11">
        <f t="shared" si="82"/>
        <v>99.84</v>
      </c>
      <c r="O245" s="11">
        <f t="shared" si="174"/>
        <v>99.84</v>
      </c>
      <c r="P245" s="11">
        <f t="shared" si="176"/>
        <v>99.84</v>
      </c>
      <c r="Q245" s="11">
        <f t="shared" si="1"/>
        <v>99.839999999999989</v>
      </c>
      <c r="R245" s="5">
        <v>2</v>
      </c>
      <c r="S245" s="5" t="s">
        <v>131</v>
      </c>
      <c r="T245" s="5" t="s">
        <v>9</v>
      </c>
      <c r="U245" s="5" t="s">
        <v>56</v>
      </c>
      <c r="V245" s="5">
        <v>14.4</v>
      </c>
      <c r="W245" s="5" t="s">
        <v>8</v>
      </c>
      <c r="X245" s="5" t="s">
        <v>8</v>
      </c>
      <c r="Y245" s="5">
        <v>2.5</v>
      </c>
      <c r="Z245" s="5"/>
      <c r="AA245" s="5" t="s">
        <v>123</v>
      </c>
      <c r="AB245" s="6"/>
    </row>
    <row r="246" spans="1:28" ht="16" x14ac:dyDescent="0.2">
      <c r="A246" s="4">
        <v>45811</v>
      </c>
      <c r="B246" s="19">
        <v>25154</v>
      </c>
      <c r="C246" s="5" t="s">
        <v>49</v>
      </c>
      <c r="D246" s="6"/>
      <c r="E246" s="15">
        <v>42.443677777799998</v>
      </c>
      <c r="F246" s="15">
        <v>-76.409083333300003</v>
      </c>
      <c r="G246" s="5" t="s">
        <v>137</v>
      </c>
      <c r="H246" s="5">
        <v>58.7</v>
      </c>
      <c r="I246" s="5">
        <v>70.099999999999994</v>
      </c>
      <c r="J246" s="5">
        <v>74</v>
      </c>
      <c r="K246" s="5">
        <v>53.7</v>
      </c>
      <c r="L246" s="10">
        <v>0.3888888888888889</v>
      </c>
      <c r="M246" s="10">
        <v>0.67083333333333328</v>
      </c>
      <c r="N246" s="11">
        <f t="shared" si="82"/>
        <v>99.84</v>
      </c>
      <c r="O246" s="11">
        <f t="shared" si="174"/>
        <v>99.84</v>
      </c>
      <c r="P246" s="11">
        <f t="shared" si="176"/>
        <v>99.84</v>
      </c>
      <c r="Q246" s="11">
        <f t="shared" si="1"/>
        <v>99.839999999999989</v>
      </c>
      <c r="R246" s="5">
        <v>2</v>
      </c>
      <c r="S246" s="5" t="s">
        <v>131</v>
      </c>
      <c r="T246" s="5" t="s">
        <v>9</v>
      </c>
      <c r="U246" s="5" t="s">
        <v>56</v>
      </c>
      <c r="V246" s="5">
        <v>14.5</v>
      </c>
      <c r="W246" s="5" t="s">
        <v>8</v>
      </c>
      <c r="X246" s="5" t="s">
        <v>8</v>
      </c>
      <c r="Y246" s="5">
        <v>4.5</v>
      </c>
      <c r="Z246" s="5"/>
      <c r="AA246" s="5" t="s">
        <v>123</v>
      </c>
      <c r="AB246" s="6"/>
    </row>
    <row r="247" spans="1:28" ht="16" x14ac:dyDescent="0.2">
      <c r="A247" s="4">
        <v>45811</v>
      </c>
      <c r="B247" s="19">
        <v>25154</v>
      </c>
      <c r="C247" s="5" t="s">
        <v>49</v>
      </c>
      <c r="D247" s="6"/>
      <c r="E247" s="15">
        <v>42.443677777799998</v>
      </c>
      <c r="F247" s="15">
        <v>-76.409083333300003</v>
      </c>
      <c r="G247" s="5" t="s">
        <v>137</v>
      </c>
      <c r="H247" s="5">
        <v>58.7</v>
      </c>
      <c r="I247" s="5">
        <v>70.099999999999994</v>
      </c>
      <c r="J247" s="5">
        <v>74</v>
      </c>
      <c r="K247" s="5">
        <v>53.7</v>
      </c>
      <c r="L247" s="10">
        <v>0.3888888888888889</v>
      </c>
      <c r="M247" s="10">
        <v>0.67083333333333328</v>
      </c>
      <c r="N247" s="11">
        <f t="shared" si="82"/>
        <v>99.84</v>
      </c>
      <c r="O247" s="11">
        <f t="shared" si="174"/>
        <v>99.84</v>
      </c>
      <c r="P247" s="11">
        <f t="shared" si="176"/>
        <v>99.84</v>
      </c>
      <c r="Q247" s="11">
        <f t="shared" si="1"/>
        <v>99.839999999999989</v>
      </c>
      <c r="R247" s="5">
        <v>2</v>
      </c>
      <c r="S247" s="5" t="s">
        <v>105</v>
      </c>
      <c r="T247" s="5" t="s">
        <v>9</v>
      </c>
      <c r="U247" s="5" t="s">
        <v>55</v>
      </c>
      <c r="V247" s="5">
        <v>13.8</v>
      </c>
      <c r="W247" s="5">
        <v>5.3</v>
      </c>
      <c r="X247" s="5">
        <v>68</v>
      </c>
      <c r="Y247" s="5">
        <v>4.5</v>
      </c>
      <c r="Z247" s="6"/>
      <c r="AA247" s="6"/>
      <c r="AB247" s="6"/>
    </row>
    <row r="248" spans="1:28" ht="16" x14ac:dyDescent="0.2">
      <c r="A248" s="4">
        <v>45811</v>
      </c>
      <c r="B248" s="19">
        <v>25154</v>
      </c>
      <c r="C248" s="5" t="s">
        <v>49</v>
      </c>
      <c r="D248" s="6"/>
      <c r="E248" s="15">
        <v>42.443677777799998</v>
      </c>
      <c r="F248" s="15">
        <v>-76.409083333300003</v>
      </c>
      <c r="G248" s="5" t="s">
        <v>137</v>
      </c>
      <c r="H248" s="5">
        <v>58.7</v>
      </c>
      <c r="I248" s="5">
        <v>70.099999999999994</v>
      </c>
      <c r="J248" s="5">
        <v>74</v>
      </c>
      <c r="K248" s="5">
        <v>53.7</v>
      </c>
      <c r="L248" s="10">
        <v>0.3888888888888889</v>
      </c>
      <c r="M248" s="10">
        <v>0.67083333333333328</v>
      </c>
      <c r="N248" s="11">
        <f t="shared" si="82"/>
        <v>99.84</v>
      </c>
      <c r="O248" s="11">
        <f t="shared" si="174"/>
        <v>99.84</v>
      </c>
      <c r="P248" s="11">
        <f t="shared" si="176"/>
        <v>99.84</v>
      </c>
      <c r="Q248" s="11">
        <f t="shared" si="1"/>
        <v>99.839999999999989</v>
      </c>
      <c r="R248" s="5">
        <v>2</v>
      </c>
      <c r="S248" s="5" t="s">
        <v>105</v>
      </c>
      <c r="T248" s="5" t="s">
        <v>9</v>
      </c>
      <c r="U248" s="5" t="s">
        <v>55</v>
      </c>
      <c r="V248" s="5">
        <v>14</v>
      </c>
      <c r="W248" s="5" t="s">
        <v>8</v>
      </c>
      <c r="X248" s="5" t="s">
        <v>8</v>
      </c>
      <c r="Y248" s="5">
        <v>1</v>
      </c>
      <c r="Z248" s="5"/>
      <c r="AA248" s="5" t="s">
        <v>123</v>
      </c>
      <c r="AB248" s="6"/>
    </row>
    <row r="249" spans="1:28" ht="16" x14ac:dyDescent="0.2">
      <c r="A249" s="4">
        <v>45811</v>
      </c>
      <c r="B249" s="19">
        <v>25154</v>
      </c>
      <c r="C249" s="5" t="s">
        <v>49</v>
      </c>
      <c r="D249" s="6"/>
      <c r="E249" s="15">
        <v>42.443677777799998</v>
      </c>
      <c r="F249" s="15">
        <v>-76.409083333300003</v>
      </c>
      <c r="G249" s="5" t="s">
        <v>137</v>
      </c>
      <c r="H249" s="5">
        <v>58.7</v>
      </c>
      <c r="I249" s="5">
        <v>70.099999999999994</v>
      </c>
      <c r="J249" s="5">
        <v>74</v>
      </c>
      <c r="K249" s="5">
        <v>53.7</v>
      </c>
      <c r="L249" s="10">
        <v>0.3888888888888889</v>
      </c>
      <c r="M249" s="10">
        <v>0.67083333333333328</v>
      </c>
      <c r="N249" s="11">
        <f t="shared" si="82"/>
        <v>99.84</v>
      </c>
      <c r="O249" s="11">
        <f t="shared" si="174"/>
        <v>99.84</v>
      </c>
      <c r="P249" s="11">
        <f t="shared" si="176"/>
        <v>99.84</v>
      </c>
      <c r="Q249" s="11">
        <f t="shared" si="1"/>
        <v>99.839999999999989</v>
      </c>
      <c r="R249" s="5">
        <v>2</v>
      </c>
      <c r="S249" s="5" t="s">
        <v>105</v>
      </c>
      <c r="T249" s="5" t="s">
        <v>9</v>
      </c>
      <c r="U249" s="5" t="s">
        <v>55</v>
      </c>
      <c r="V249" s="5">
        <v>14.8</v>
      </c>
      <c r="W249" s="5">
        <v>6</v>
      </c>
      <c r="X249" s="5">
        <v>70</v>
      </c>
      <c r="Y249" s="5">
        <v>5</v>
      </c>
      <c r="Z249" s="6"/>
      <c r="AA249" s="6"/>
      <c r="AB249" s="6"/>
    </row>
    <row r="250" spans="1:28" ht="16" x14ac:dyDescent="0.2">
      <c r="A250" s="4">
        <v>45811</v>
      </c>
      <c r="B250" s="19">
        <v>25154</v>
      </c>
      <c r="C250" s="5" t="s">
        <v>49</v>
      </c>
      <c r="D250" s="6"/>
      <c r="E250" s="15">
        <v>42.443677777799998</v>
      </c>
      <c r="F250" s="15">
        <v>-76.409083333300003</v>
      </c>
      <c r="G250" s="5" t="s">
        <v>137</v>
      </c>
      <c r="H250" s="5">
        <v>58.7</v>
      </c>
      <c r="I250" s="5">
        <v>70.099999999999994</v>
      </c>
      <c r="J250" s="5">
        <v>74</v>
      </c>
      <c r="K250" s="5">
        <v>53.7</v>
      </c>
      <c r="L250" s="10">
        <v>0.3888888888888889</v>
      </c>
      <c r="M250" s="10">
        <v>0.67083333333333328</v>
      </c>
      <c r="N250" s="11">
        <f t="shared" si="82"/>
        <v>99.84</v>
      </c>
      <c r="O250" s="11">
        <f t="shared" si="174"/>
        <v>99.84</v>
      </c>
      <c r="P250" s="11">
        <f t="shared" si="176"/>
        <v>99.84</v>
      </c>
      <c r="Q250" s="11">
        <f t="shared" si="1"/>
        <v>99.839999999999989</v>
      </c>
      <c r="R250" s="5">
        <v>2</v>
      </c>
      <c r="S250" s="5" t="s">
        <v>14</v>
      </c>
      <c r="T250" s="5" t="s">
        <v>9</v>
      </c>
      <c r="U250" s="5" t="s">
        <v>55</v>
      </c>
      <c r="V250" s="5">
        <v>15.4</v>
      </c>
      <c r="W250" s="5">
        <v>5.9</v>
      </c>
      <c r="X250" s="5">
        <v>59</v>
      </c>
      <c r="Y250" s="5">
        <v>5</v>
      </c>
      <c r="Z250" s="6"/>
      <c r="AA250" s="6"/>
      <c r="AB250" s="6"/>
    </row>
    <row r="251" spans="1:28" ht="16" x14ac:dyDescent="0.2">
      <c r="A251" s="4">
        <v>45811</v>
      </c>
      <c r="B251" s="19">
        <v>25154</v>
      </c>
      <c r="C251" s="5" t="s">
        <v>49</v>
      </c>
      <c r="D251" s="6"/>
      <c r="E251" s="15">
        <v>42.443677777799998</v>
      </c>
      <c r="F251" s="15">
        <v>-76.409083333300003</v>
      </c>
      <c r="G251" s="5" t="s">
        <v>137</v>
      </c>
      <c r="H251" s="5">
        <v>58.7</v>
      </c>
      <c r="I251" s="5">
        <v>70.099999999999994</v>
      </c>
      <c r="J251" s="5">
        <v>74</v>
      </c>
      <c r="K251" s="5">
        <v>53.7</v>
      </c>
      <c r="L251" s="10">
        <v>0.3888888888888889</v>
      </c>
      <c r="M251" s="10">
        <v>0.67083333333333328</v>
      </c>
      <c r="N251" s="11">
        <f t="shared" si="82"/>
        <v>99.84</v>
      </c>
      <c r="O251" s="11">
        <f t="shared" si="174"/>
        <v>99.84</v>
      </c>
      <c r="P251" s="11">
        <f t="shared" si="176"/>
        <v>99.84</v>
      </c>
      <c r="Q251" s="11">
        <f t="shared" si="1"/>
        <v>99.839999999999989</v>
      </c>
      <c r="R251" s="5">
        <v>2</v>
      </c>
      <c r="S251" s="5" t="s">
        <v>14</v>
      </c>
      <c r="T251" s="5" t="s">
        <v>9</v>
      </c>
      <c r="U251" s="5" t="s">
        <v>55</v>
      </c>
      <c r="V251" s="5">
        <v>14.3</v>
      </c>
      <c r="W251" s="5" t="s">
        <v>8</v>
      </c>
      <c r="X251" s="5" t="s">
        <v>8</v>
      </c>
      <c r="Y251" s="5">
        <v>4</v>
      </c>
      <c r="Z251" s="5"/>
      <c r="AA251" s="5" t="s">
        <v>123</v>
      </c>
      <c r="AB251" s="6"/>
    </row>
    <row r="252" spans="1:28" ht="16" x14ac:dyDescent="0.2">
      <c r="A252" s="4">
        <v>45811</v>
      </c>
      <c r="B252" s="19">
        <v>25154</v>
      </c>
      <c r="C252" s="5" t="s">
        <v>49</v>
      </c>
      <c r="D252" s="6"/>
      <c r="E252" s="15">
        <v>42.443677777799998</v>
      </c>
      <c r="F252" s="15">
        <v>-76.409083333300003</v>
      </c>
      <c r="G252" s="5" t="s">
        <v>137</v>
      </c>
      <c r="H252" s="5">
        <v>58.7</v>
      </c>
      <c r="I252" s="5">
        <v>70.099999999999994</v>
      </c>
      <c r="J252" s="5">
        <v>74</v>
      </c>
      <c r="K252" s="5">
        <v>53.7</v>
      </c>
      <c r="L252" s="10">
        <v>0.3888888888888889</v>
      </c>
      <c r="M252" s="10">
        <v>0.67083333333333328</v>
      </c>
      <c r="N252" s="11">
        <f t="shared" si="82"/>
        <v>99.84</v>
      </c>
      <c r="O252" s="11">
        <f t="shared" si="174"/>
        <v>99.84</v>
      </c>
      <c r="P252" s="11">
        <f t="shared" si="176"/>
        <v>99.84</v>
      </c>
      <c r="Q252" s="11">
        <f t="shared" si="1"/>
        <v>99.839999999999989</v>
      </c>
      <c r="R252" s="5">
        <v>2</v>
      </c>
      <c r="S252" s="5" t="s">
        <v>14</v>
      </c>
      <c r="T252" s="5" t="s">
        <v>9</v>
      </c>
      <c r="U252" s="5" t="s">
        <v>56</v>
      </c>
      <c r="V252" s="5">
        <v>13.7</v>
      </c>
      <c r="W252" s="5" t="s">
        <v>8</v>
      </c>
      <c r="X252" s="5" t="s">
        <v>8</v>
      </c>
      <c r="Y252" s="5">
        <v>2</v>
      </c>
      <c r="Z252" s="5"/>
      <c r="AA252" s="5" t="s">
        <v>123</v>
      </c>
      <c r="AB252" s="6"/>
    </row>
    <row r="253" spans="1:28" ht="16" x14ac:dyDescent="0.2">
      <c r="A253" s="4">
        <v>45811</v>
      </c>
      <c r="B253" s="19">
        <v>25154</v>
      </c>
      <c r="C253" s="5" t="s">
        <v>49</v>
      </c>
      <c r="D253" s="6"/>
      <c r="E253" s="15">
        <v>42.443677777799998</v>
      </c>
      <c r="F253" s="15">
        <v>-76.409083333300003</v>
      </c>
      <c r="G253" s="5" t="s">
        <v>137</v>
      </c>
      <c r="H253" s="5">
        <v>58.7</v>
      </c>
      <c r="I253" s="5">
        <v>70.099999999999994</v>
      </c>
      <c r="J253" s="5">
        <v>74</v>
      </c>
      <c r="K253" s="5">
        <v>53.7</v>
      </c>
      <c r="L253" s="10">
        <v>0.3888888888888889</v>
      </c>
      <c r="M253" s="10">
        <v>0.67083333333333328</v>
      </c>
      <c r="N253" s="11">
        <f t="shared" si="82"/>
        <v>99.84</v>
      </c>
      <c r="O253" s="11">
        <f t="shared" si="174"/>
        <v>99.84</v>
      </c>
      <c r="P253" s="11">
        <f t="shared" si="176"/>
        <v>99.84</v>
      </c>
      <c r="Q253" s="11">
        <f t="shared" si="1"/>
        <v>99.839999999999989</v>
      </c>
      <c r="R253" s="5">
        <v>2</v>
      </c>
      <c r="S253" s="5">
        <v>14</v>
      </c>
      <c r="T253" s="5" t="s">
        <v>4</v>
      </c>
      <c r="U253" s="5" t="s">
        <v>55</v>
      </c>
      <c r="V253" s="5">
        <v>15.3</v>
      </c>
      <c r="W253" s="5" t="s">
        <v>8</v>
      </c>
      <c r="X253" s="5" t="s">
        <v>8</v>
      </c>
      <c r="Y253" s="5">
        <v>6.5</v>
      </c>
      <c r="Z253" s="5"/>
      <c r="AA253" s="5" t="s">
        <v>123</v>
      </c>
      <c r="AB253" s="6"/>
    </row>
    <row r="254" spans="1:28" ht="16" x14ac:dyDescent="0.2">
      <c r="A254" s="4">
        <v>45811</v>
      </c>
      <c r="B254" s="19">
        <v>25154</v>
      </c>
      <c r="C254" s="5" t="s">
        <v>49</v>
      </c>
      <c r="D254" s="6"/>
      <c r="E254" s="15">
        <v>42.443677777799998</v>
      </c>
      <c r="F254" s="15">
        <v>-76.409083333300003</v>
      </c>
      <c r="G254" s="5" t="s">
        <v>137</v>
      </c>
      <c r="H254" s="5">
        <v>58.7</v>
      </c>
      <c r="I254" s="5">
        <v>70.099999999999994</v>
      </c>
      <c r="J254" s="5">
        <v>74</v>
      </c>
      <c r="K254" s="5">
        <v>53.7</v>
      </c>
      <c r="L254" s="10">
        <v>0.3888888888888889</v>
      </c>
      <c r="M254" s="10">
        <v>0.67083333333333328</v>
      </c>
      <c r="N254" s="11">
        <f t="shared" si="82"/>
        <v>99.84</v>
      </c>
      <c r="O254" s="11">
        <f t="shared" si="174"/>
        <v>99.84</v>
      </c>
      <c r="P254" s="11">
        <f t="shared" si="176"/>
        <v>99.84</v>
      </c>
      <c r="Q254" s="11">
        <f t="shared" si="1"/>
        <v>99.839999999999989</v>
      </c>
      <c r="R254" s="5">
        <v>3</v>
      </c>
      <c r="S254" s="5" t="s">
        <v>131</v>
      </c>
      <c r="T254" s="5" t="s">
        <v>9</v>
      </c>
      <c r="U254" s="5" t="s">
        <v>55</v>
      </c>
      <c r="V254" s="5">
        <v>16.5</v>
      </c>
      <c r="W254" s="5">
        <v>6</v>
      </c>
      <c r="X254" s="5">
        <v>56</v>
      </c>
      <c r="Y254" s="5">
        <v>4</v>
      </c>
      <c r="Z254" s="6"/>
      <c r="AA254" s="6"/>
      <c r="AB254" s="6"/>
    </row>
    <row r="255" spans="1:28" ht="16" x14ac:dyDescent="0.2">
      <c r="A255" s="4">
        <v>45811</v>
      </c>
      <c r="B255" s="19">
        <v>25154</v>
      </c>
      <c r="C255" s="5" t="s">
        <v>49</v>
      </c>
      <c r="D255" s="6"/>
      <c r="E255" s="15">
        <v>42.443677777799998</v>
      </c>
      <c r="F255" s="15">
        <v>-76.409083333300003</v>
      </c>
      <c r="G255" s="5" t="s">
        <v>137</v>
      </c>
      <c r="H255" s="5">
        <v>58.7</v>
      </c>
      <c r="I255" s="5">
        <v>70.099999999999994</v>
      </c>
      <c r="J255" s="5">
        <v>74</v>
      </c>
      <c r="K255" s="5">
        <v>53.7</v>
      </c>
      <c r="L255" s="10">
        <v>0.3888888888888889</v>
      </c>
      <c r="M255" s="10">
        <v>0.67083333333333328</v>
      </c>
      <c r="N255" s="11">
        <f t="shared" si="82"/>
        <v>99.84</v>
      </c>
      <c r="O255" s="11">
        <f t="shared" si="174"/>
        <v>99.84</v>
      </c>
      <c r="P255" s="11">
        <f t="shared" si="176"/>
        <v>99.84</v>
      </c>
      <c r="Q255" s="11">
        <f t="shared" si="1"/>
        <v>99.839999999999989</v>
      </c>
      <c r="R255" s="5">
        <v>3</v>
      </c>
      <c r="S255" s="5" t="s">
        <v>131</v>
      </c>
      <c r="T255" s="5" t="s">
        <v>9</v>
      </c>
      <c r="U255" s="5" t="s">
        <v>62</v>
      </c>
      <c r="V255" s="5">
        <v>15.1</v>
      </c>
      <c r="W255" s="5">
        <v>6.4</v>
      </c>
      <c r="X255" s="5">
        <v>70</v>
      </c>
      <c r="Y255" s="5">
        <v>5</v>
      </c>
      <c r="Z255" s="6"/>
      <c r="AA255" s="6"/>
      <c r="AB255" s="6"/>
    </row>
    <row r="256" spans="1:28" ht="16" x14ac:dyDescent="0.2">
      <c r="A256" s="4">
        <v>45811</v>
      </c>
      <c r="B256" s="19">
        <v>25154</v>
      </c>
      <c r="C256" s="5" t="s">
        <v>49</v>
      </c>
      <c r="D256" s="6"/>
      <c r="E256" s="15">
        <v>42.443677777799998</v>
      </c>
      <c r="F256" s="15">
        <v>-76.409083333300003</v>
      </c>
      <c r="G256" s="5" t="s">
        <v>137</v>
      </c>
      <c r="H256" s="5">
        <v>58.7</v>
      </c>
      <c r="I256" s="5">
        <v>70.099999999999994</v>
      </c>
      <c r="J256" s="5">
        <v>74</v>
      </c>
      <c r="K256" s="5">
        <v>53.7</v>
      </c>
      <c r="L256" s="10">
        <v>0.3888888888888889</v>
      </c>
      <c r="M256" s="10">
        <v>0.67083333333333328</v>
      </c>
      <c r="N256" s="11">
        <f t="shared" si="82"/>
        <v>99.84</v>
      </c>
      <c r="O256" s="11">
        <f t="shared" si="174"/>
        <v>99.84</v>
      </c>
      <c r="P256" s="11">
        <f t="shared" si="176"/>
        <v>99.84</v>
      </c>
      <c r="Q256" s="11">
        <f t="shared" si="1"/>
        <v>99.839999999999989</v>
      </c>
      <c r="R256" s="5">
        <v>3</v>
      </c>
      <c r="S256" s="5" t="s">
        <v>131</v>
      </c>
      <c r="T256" s="5" t="s">
        <v>9</v>
      </c>
      <c r="U256" s="5" t="s">
        <v>62</v>
      </c>
      <c r="V256" s="5">
        <v>12.3</v>
      </c>
      <c r="W256" s="5">
        <v>5.6</v>
      </c>
      <c r="X256" s="5">
        <v>68</v>
      </c>
      <c r="Y256" s="5">
        <v>6</v>
      </c>
      <c r="Z256" s="6"/>
      <c r="AA256" s="6"/>
      <c r="AB256" s="6"/>
    </row>
    <row r="257" spans="1:28" ht="16" x14ac:dyDescent="0.2">
      <c r="A257" s="4">
        <v>45811</v>
      </c>
      <c r="B257" s="19">
        <v>25154</v>
      </c>
      <c r="C257" s="5" t="s">
        <v>49</v>
      </c>
      <c r="D257" s="6"/>
      <c r="E257" s="15">
        <v>42.443677777799998</v>
      </c>
      <c r="F257" s="15">
        <v>-76.409083333300003</v>
      </c>
      <c r="G257" s="5" t="s">
        <v>137</v>
      </c>
      <c r="H257" s="5">
        <v>58.7</v>
      </c>
      <c r="I257" s="5">
        <v>70.099999999999994</v>
      </c>
      <c r="J257" s="5">
        <v>74</v>
      </c>
      <c r="K257" s="5">
        <v>53.7</v>
      </c>
      <c r="L257" s="10">
        <v>0.3888888888888889</v>
      </c>
      <c r="M257" s="10">
        <v>0.67083333333333328</v>
      </c>
      <c r="N257" s="11">
        <f t="shared" si="82"/>
        <v>99.84</v>
      </c>
      <c r="O257" s="11">
        <f t="shared" si="174"/>
        <v>99.84</v>
      </c>
      <c r="P257" s="11">
        <f t="shared" si="176"/>
        <v>99.84</v>
      </c>
      <c r="Q257" s="11">
        <f t="shared" ref="Q257:Q511" si="177">AVERAGE(N257,O257,P257)</f>
        <v>99.839999999999989</v>
      </c>
      <c r="R257" s="5">
        <v>3</v>
      </c>
      <c r="S257" s="5" t="s">
        <v>105</v>
      </c>
      <c r="T257" s="5" t="s">
        <v>9</v>
      </c>
      <c r="U257" s="5" t="s">
        <v>55</v>
      </c>
      <c r="V257" s="5">
        <v>13.9</v>
      </c>
      <c r="W257" s="5" t="s">
        <v>8</v>
      </c>
      <c r="X257" s="5" t="s">
        <v>8</v>
      </c>
      <c r="Y257" s="5">
        <v>2</v>
      </c>
      <c r="Z257" s="5"/>
      <c r="AA257" s="5" t="s">
        <v>123</v>
      </c>
      <c r="AB257" s="6"/>
    </row>
    <row r="258" spans="1:28" ht="16" x14ac:dyDescent="0.2">
      <c r="A258" s="4">
        <v>45811</v>
      </c>
      <c r="B258" s="19">
        <v>25154</v>
      </c>
      <c r="C258" s="5" t="s">
        <v>49</v>
      </c>
      <c r="D258" s="6"/>
      <c r="E258" s="15">
        <v>42.443677777799998</v>
      </c>
      <c r="F258" s="15">
        <v>-76.409083333300003</v>
      </c>
      <c r="G258" s="5" t="s">
        <v>137</v>
      </c>
      <c r="H258" s="5">
        <v>58.7</v>
      </c>
      <c r="I258" s="5">
        <v>70.099999999999994</v>
      </c>
      <c r="J258" s="5">
        <v>74</v>
      </c>
      <c r="K258" s="5">
        <v>53.7</v>
      </c>
      <c r="L258" s="10">
        <v>0.3888888888888889</v>
      </c>
      <c r="M258" s="10">
        <v>0.67083333333333328</v>
      </c>
      <c r="N258" s="11">
        <f t="shared" si="82"/>
        <v>99.84</v>
      </c>
      <c r="O258" s="11">
        <f t="shared" si="174"/>
        <v>99.84</v>
      </c>
      <c r="P258" s="11">
        <f t="shared" si="176"/>
        <v>99.84</v>
      </c>
      <c r="Q258" s="11">
        <f t="shared" si="177"/>
        <v>99.839999999999989</v>
      </c>
      <c r="R258" s="5">
        <v>3</v>
      </c>
      <c r="S258" s="5" t="s">
        <v>105</v>
      </c>
      <c r="T258" s="5" t="s">
        <v>9</v>
      </c>
      <c r="U258" s="5" t="s">
        <v>55</v>
      </c>
      <c r="V258" s="5">
        <v>13.7</v>
      </c>
      <c r="W258" s="5">
        <v>5.3</v>
      </c>
      <c r="X258" s="5">
        <v>60</v>
      </c>
      <c r="Y258" s="5">
        <v>4</v>
      </c>
      <c r="Z258" s="6"/>
      <c r="AA258" s="6"/>
      <c r="AB258" s="6"/>
    </row>
    <row r="259" spans="1:28" ht="16" x14ac:dyDescent="0.2">
      <c r="A259" s="4">
        <v>45811</v>
      </c>
      <c r="B259" s="19">
        <v>25154</v>
      </c>
      <c r="C259" s="5" t="s">
        <v>49</v>
      </c>
      <c r="D259" s="6"/>
      <c r="E259" s="15">
        <v>42.443677777799998</v>
      </c>
      <c r="F259" s="15">
        <v>-76.409083333300003</v>
      </c>
      <c r="G259" s="5" t="s">
        <v>137</v>
      </c>
      <c r="H259" s="5">
        <v>58.7</v>
      </c>
      <c r="I259" s="5">
        <v>70.099999999999994</v>
      </c>
      <c r="J259" s="5">
        <v>74</v>
      </c>
      <c r="K259" s="5">
        <v>53.7</v>
      </c>
      <c r="L259" s="10">
        <v>0.3888888888888889</v>
      </c>
      <c r="M259" s="10">
        <v>0.67083333333333328</v>
      </c>
      <c r="N259" s="11">
        <f t="shared" si="82"/>
        <v>99.84</v>
      </c>
      <c r="O259" s="11">
        <f t="shared" si="174"/>
        <v>99.84</v>
      </c>
      <c r="P259" s="11">
        <f t="shared" si="176"/>
        <v>99.84</v>
      </c>
      <c r="Q259" s="11">
        <f t="shared" si="177"/>
        <v>99.839999999999989</v>
      </c>
      <c r="R259" s="5">
        <v>3</v>
      </c>
      <c r="S259" s="5" t="s">
        <v>105</v>
      </c>
      <c r="T259" s="5" t="s">
        <v>9</v>
      </c>
      <c r="U259" s="5" t="s">
        <v>55</v>
      </c>
      <c r="V259" s="5">
        <v>14.7</v>
      </c>
      <c r="W259" s="5" t="s">
        <v>8</v>
      </c>
      <c r="X259" s="5" t="s">
        <v>8</v>
      </c>
      <c r="Y259" s="5">
        <v>3</v>
      </c>
      <c r="Z259" s="5"/>
      <c r="AA259" s="5" t="s">
        <v>123</v>
      </c>
      <c r="AB259" s="6"/>
    </row>
    <row r="260" spans="1:28" ht="16" x14ac:dyDescent="0.2">
      <c r="A260" s="4">
        <v>45811</v>
      </c>
      <c r="B260" s="19">
        <v>25154</v>
      </c>
      <c r="C260" s="5" t="s">
        <v>49</v>
      </c>
      <c r="D260" s="6"/>
      <c r="E260" s="15">
        <v>42.443677777799998</v>
      </c>
      <c r="F260" s="15">
        <v>-76.409083333300003</v>
      </c>
      <c r="G260" s="5" t="s">
        <v>137</v>
      </c>
      <c r="H260" s="5">
        <v>58.7</v>
      </c>
      <c r="I260" s="5">
        <v>70.099999999999994</v>
      </c>
      <c r="J260" s="5">
        <v>74</v>
      </c>
      <c r="K260" s="5">
        <v>53.7</v>
      </c>
      <c r="L260" s="10">
        <v>0.3888888888888889</v>
      </c>
      <c r="M260" s="10">
        <v>0.67083333333333328</v>
      </c>
      <c r="N260" s="11">
        <f t="shared" si="82"/>
        <v>99.84</v>
      </c>
      <c r="O260" s="11">
        <f t="shared" si="174"/>
        <v>99.84</v>
      </c>
      <c r="P260" s="11">
        <f t="shared" si="176"/>
        <v>99.84</v>
      </c>
      <c r="Q260" s="11">
        <f t="shared" si="177"/>
        <v>99.839999999999989</v>
      </c>
      <c r="R260" s="5">
        <v>3</v>
      </c>
      <c r="S260" s="5" t="s">
        <v>14</v>
      </c>
      <c r="T260" s="5" t="s">
        <v>9</v>
      </c>
      <c r="U260" s="5" t="s">
        <v>62</v>
      </c>
      <c r="V260" s="5">
        <v>12.9</v>
      </c>
      <c r="W260" s="5">
        <v>6.4</v>
      </c>
      <c r="X260" s="5">
        <v>59</v>
      </c>
      <c r="Y260" s="5">
        <v>5</v>
      </c>
      <c r="Z260" s="6"/>
      <c r="AA260" s="6"/>
      <c r="AB260" s="6"/>
    </row>
    <row r="261" spans="1:28" ht="16" x14ac:dyDescent="0.2">
      <c r="A261" s="4">
        <v>45811</v>
      </c>
      <c r="B261" s="19">
        <v>25154</v>
      </c>
      <c r="C261" s="5" t="s">
        <v>49</v>
      </c>
      <c r="D261" s="6"/>
      <c r="E261" s="15">
        <v>42.443677777799998</v>
      </c>
      <c r="F261" s="15">
        <v>-76.409083333300003</v>
      </c>
      <c r="G261" s="5" t="s">
        <v>137</v>
      </c>
      <c r="H261" s="5">
        <v>58.7</v>
      </c>
      <c r="I261" s="5">
        <v>70.099999999999994</v>
      </c>
      <c r="J261" s="5">
        <v>74</v>
      </c>
      <c r="K261" s="5">
        <v>53.7</v>
      </c>
      <c r="L261" s="10">
        <v>0.3888888888888889</v>
      </c>
      <c r="M261" s="10">
        <v>0.67083333333333328</v>
      </c>
      <c r="N261" s="11">
        <f t="shared" si="82"/>
        <v>99.84</v>
      </c>
      <c r="O261" s="11">
        <f t="shared" si="174"/>
        <v>99.84</v>
      </c>
      <c r="P261" s="11">
        <f t="shared" si="176"/>
        <v>99.84</v>
      </c>
      <c r="Q261" s="11">
        <f t="shared" si="177"/>
        <v>99.839999999999989</v>
      </c>
      <c r="R261" s="5">
        <v>3</v>
      </c>
      <c r="S261" s="5" t="s">
        <v>14</v>
      </c>
      <c r="T261" s="5" t="s">
        <v>9</v>
      </c>
      <c r="U261" s="5" t="s">
        <v>56</v>
      </c>
      <c r="V261" s="5">
        <v>18.399999999999999</v>
      </c>
      <c r="W261" s="5" t="s">
        <v>8</v>
      </c>
      <c r="X261" s="5" t="s">
        <v>8</v>
      </c>
      <c r="Y261" s="5">
        <v>4</v>
      </c>
      <c r="Z261" s="5"/>
      <c r="AA261" s="5" t="s">
        <v>123</v>
      </c>
      <c r="AB261" s="6"/>
    </row>
    <row r="262" spans="1:28" ht="16" x14ac:dyDescent="0.2">
      <c r="A262" s="4">
        <v>45811</v>
      </c>
      <c r="B262" s="19">
        <v>25154</v>
      </c>
      <c r="C262" s="5" t="s">
        <v>49</v>
      </c>
      <c r="D262" s="6"/>
      <c r="E262" s="15">
        <v>42.443677777799998</v>
      </c>
      <c r="F262" s="15">
        <v>-76.409083333300003</v>
      </c>
      <c r="G262" s="5" t="s">
        <v>137</v>
      </c>
      <c r="H262" s="5">
        <v>58.7</v>
      </c>
      <c r="I262" s="5">
        <v>70.099999999999994</v>
      </c>
      <c r="J262" s="5">
        <v>74</v>
      </c>
      <c r="K262" s="5">
        <v>53.7</v>
      </c>
      <c r="L262" s="10">
        <v>0.3888888888888889</v>
      </c>
      <c r="M262" s="10">
        <v>0.67083333333333328</v>
      </c>
      <c r="N262" s="11">
        <f t="shared" si="82"/>
        <v>99.84</v>
      </c>
      <c r="O262" s="11">
        <f t="shared" si="174"/>
        <v>99.84</v>
      </c>
      <c r="P262" s="11">
        <f t="shared" si="176"/>
        <v>99.84</v>
      </c>
      <c r="Q262" s="11">
        <f t="shared" si="177"/>
        <v>99.839999999999989</v>
      </c>
      <c r="R262" s="5">
        <v>3</v>
      </c>
      <c r="S262" s="5">
        <v>30</v>
      </c>
      <c r="T262" s="5" t="s">
        <v>4</v>
      </c>
      <c r="U262" s="5" t="s">
        <v>56</v>
      </c>
      <c r="V262" s="5">
        <v>13</v>
      </c>
      <c r="W262" s="5" t="s">
        <v>8</v>
      </c>
      <c r="X262" s="5" t="s">
        <v>8</v>
      </c>
      <c r="Y262" s="5">
        <v>3</v>
      </c>
      <c r="Z262" s="5"/>
      <c r="AA262" s="5" t="s">
        <v>123</v>
      </c>
      <c r="AB262" s="6"/>
    </row>
    <row r="263" spans="1:28" ht="16" x14ac:dyDescent="0.2">
      <c r="A263" s="4">
        <v>45811</v>
      </c>
      <c r="B263" s="19">
        <v>25154</v>
      </c>
      <c r="C263" s="5" t="s">
        <v>49</v>
      </c>
      <c r="D263" s="6"/>
      <c r="E263" s="15">
        <v>42.443677777799998</v>
      </c>
      <c r="F263" s="15">
        <v>-76.409083333300003</v>
      </c>
      <c r="G263" s="5" t="s">
        <v>137</v>
      </c>
      <c r="H263" s="5">
        <v>58.7</v>
      </c>
      <c r="I263" s="5">
        <v>70.099999999999994</v>
      </c>
      <c r="J263" s="5">
        <v>74</v>
      </c>
      <c r="K263" s="5">
        <v>53.7</v>
      </c>
      <c r="L263" s="10">
        <v>0.3888888888888889</v>
      </c>
      <c r="M263" s="10">
        <v>0.67083333333333328</v>
      </c>
      <c r="N263" s="11">
        <f t="shared" si="82"/>
        <v>99.84</v>
      </c>
      <c r="O263" s="11">
        <f t="shared" si="174"/>
        <v>99.84</v>
      </c>
      <c r="P263" s="11">
        <f t="shared" si="176"/>
        <v>99.84</v>
      </c>
      <c r="Q263" s="11">
        <f t="shared" si="177"/>
        <v>99.839999999999989</v>
      </c>
      <c r="R263" s="5">
        <v>3</v>
      </c>
      <c r="S263" s="5" t="s">
        <v>14</v>
      </c>
      <c r="T263" s="5" t="s">
        <v>9</v>
      </c>
      <c r="U263" s="5" t="s">
        <v>56</v>
      </c>
      <c r="V263" s="5">
        <v>14.7</v>
      </c>
      <c r="W263" s="5" t="s">
        <v>8</v>
      </c>
      <c r="X263" s="5" t="s">
        <v>8</v>
      </c>
      <c r="Y263" s="5">
        <v>2</v>
      </c>
      <c r="Z263" s="6"/>
      <c r="AA263" s="6"/>
      <c r="AB263" s="6"/>
    </row>
    <row r="264" spans="1:28" ht="16" x14ac:dyDescent="0.2">
      <c r="A264" s="4">
        <v>45812</v>
      </c>
      <c r="B264" s="19">
        <v>25155</v>
      </c>
      <c r="C264" s="5" t="s">
        <v>32</v>
      </c>
      <c r="D264" s="5" t="s">
        <v>140</v>
      </c>
      <c r="E264" s="15">
        <v>42.446750000000002</v>
      </c>
      <c r="F264" s="15">
        <v>-75.703789</v>
      </c>
      <c r="G264" s="5" t="s">
        <v>120</v>
      </c>
      <c r="H264" s="5">
        <v>66</v>
      </c>
      <c r="I264" s="5">
        <v>72.8</v>
      </c>
      <c r="J264" s="5">
        <v>83</v>
      </c>
      <c r="K264" s="5">
        <v>45.9</v>
      </c>
      <c r="L264" s="10">
        <v>0.40625</v>
      </c>
      <c r="M264" s="10">
        <v>0.62013888888888891</v>
      </c>
      <c r="N264" s="11">
        <f t="shared" si="82"/>
        <v>99.84</v>
      </c>
      <c r="O264" s="11">
        <f t="shared" si="174"/>
        <v>99.84</v>
      </c>
      <c r="P264" s="11">
        <f t="shared" si="176"/>
        <v>99.84</v>
      </c>
      <c r="Q264" s="11">
        <f t="shared" si="177"/>
        <v>99.839999999999989</v>
      </c>
      <c r="R264" s="5">
        <v>1</v>
      </c>
      <c r="S264" s="5" t="s">
        <v>131</v>
      </c>
      <c r="T264" s="5" t="s">
        <v>9</v>
      </c>
      <c r="U264" s="5" t="s">
        <v>55</v>
      </c>
      <c r="V264" s="5">
        <v>13</v>
      </c>
      <c r="W264" s="5">
        <v>5.8</v>
      </c>
      <c r="X264" s="5">
        <v>51</v>
      </c>
      <c r="Y264" s="5">
        <v>4.5</v>
      </c>
      <c r="Z264" s="6"/>
      <c r="AA264" s="6"/>
      <c r="AB264" s="6"/>
    </row>
    <row r="265" spans="1:28" ht="16" x14ac:dyDescent="0.2">
      <c r="A265" s="4">
        <v>45812</v>
      </c>
      <c r="B265" s="19">
        <v>25155</v>
      </c>
      <c r="C265" s="5" t="s">
        <v>32</v>
      </c>
      <c r="D265" s="6"/>
      <c r="E265" s="15">
        <v>42.446750000000002</v>
      </c>
      <c r="F265" s="15">
        <v>-75.703789</v>
      </c>
      <c r="G265" s="5" t="s">
        <v>120</v>
      </c>
      <c r="H265" s="5">
        <v>66</v>
      </c>
      <c r="I265" s="5">
        <v>72.8</v>
      </c>
      <c r="J265" s="5">
        <v>83</v>
      </c>
      <c r="K265" s="5">
        <v>45.9</v>
      </c>
      <c r="L265" s="10">
        <v>0.40625</v>
      </c>
      <c r="M265" s="10">
        <v>0.62013888888888891</v>
      </c>
      <c r="N265" s="11">
        <f t="shared" si="82"/>
        <v>99.84</v>
      </c>
      <c r="O265" s="11">
        <f t="shared" si="174"/>
        <v>99.84</v>
      </c>
      <c r="P265" s="11">
        <f t="shared" si="176"/>
        <v>99.84</v>
      </c>
      <c r="Q265" s="11">
        <f t="shared" si="177"/>
        <v>99.839999999999989</v>
      </c>
      <c r="R265" s="5">
        <v>1</v>
      </c>
      <c r="S265" s="5" t="s">
        <v>131</v>
      </c>
      <c r="T265" s="5" t="s">
        <v>9</v>
      </c>
      <c r="U265" s="5" t="s">
        <v>55</v>
      </c>
      <c r="V265" s="5">
        <v>13.6</v>
      </c>
      <c r="W265" s="5">
        <v>5.7</v>
      </c>
      <c r="X265" s="5">
        <v>40</v>
      </c>
      <c r="Y265" s="5">
        <v>4</v>
      </c>
      <c r="Z265" s="6"/>
      <c r="AA265" s="6"/>
      <c r="AB265" s="6"/>
    </row>
    <row r="266" spans="1:28" ht="16" x14ac:dyDescent="0.2">
      <c r="A266" s="4">
        <v>45812</v>
      </c>
      <c r="B266" s="19">
        <v>25155</v>
      </c>
      <c r="C266" s="5" t="s">
        <v>32</v>
      </c>
      <c r="D266" s="6"/>
      <c r="E266" s="15">
        <v>42.446750000000002</v>
      </c>
      <c r="F266" s="15">
        <v>-75.703789</v>
      </c>
      <c r="G266" s="5" t="s">
        <v>120</v>
      </c>
      <c r="H266" s="5">
        <v>66</v>
      </c>
      <c r="I266" s="5">
        <v>72.8</v>
      </c>
      <c r="J266" s="5">
        <v>83</v>
      </c>
      <c r="K266" s="5">
        <v>45.9</v>
      </c>
      <c r="L266" s="10">
        <v>0.40625</v>
      </c>
      <c r="M266" s="10">
        <v>0.62013888888888891</v>
      </c>
      <c r="N266" s="11">
        <f t="shared" si="82"/>
        <v>99.84</v>
      </c>
      <c r="O266" s="11">
        <f t="shared" si="174"/>
        <v>99.84</v>
      </c>
      <c r="P266" s="11">
        <f t="shared" si="176"/>
        <v>99.84</v>
      </c>
      <c r="Q266" s="11">
        <f t="shared" si="177"/>
        <v>99.839999999999989</v>
      </c>
      <c r="R266" s="5">
        <v>1</v>
      </c>
      <c r="S266" s="5" t="s">
        <v>131</v>
      </c>
      <c r="T266" s="5" t="s">
        <v>9</v>
      </c>
      <c r="U266" s="5" t="s">
        <v>55</v>
      </c>
      <c r="V266" s="5">
        <v>12.7</v>
      </c>
      <c r="W266" s="5">
        <v>5</v>
      </c>
      <c r="X266" s="5">
        <v>70</v>
      </c>
      <c r="Y266" s="5">
        <v>4</v>
      </c>
      <c r="Z266" s="5"/>
      <c r="AA266" s="5" t="s">
        <v>141</v>
      </c>
      <c r="AB266" s="6"/>
    </row>
    <row r="267" spans="1:28" ht="16" x14ac:dyDescent="0.2">
      <c r="A267" s="4">
        <v>45812</v>
      </c>
      <c r="B267" s="19">
        <v>25155</v>
      </c>
      <c r="C267" s="5" t="s">
        <v>32</v>
      </c>
      <c r="D267" s="6"/>
      <c r="E267" s="15">
        <v>42.446750000000002</v>
      </c>
      <c r="F267" s="15">
        <v>-75.703789</v>
      </c>
      <c r="G267" s="5" t="s">
        <v>120</v>
      </c>
      <c r="H267" s="5">
        <v>66</v>
      </c>
      <c r="I267" s="5">
        <v>72.8</v>
      </c>
      <c r="J267" s="5">
        <v>83</v>
      </c>
      <c r="K267" s="5">
        <v>45.9</v>
      </c>
      <c r="L267" s="10">
        <v>0.40625</v>
      </c>
      <c r="M267" s="10">
        <v>0.62013888888888891</v>
      </c>
      <c r="N267" s="11">
        <f t="shared" si="82"/>
        <v>99.84</v>
      </c>
      <c r="O267" s="11">
        <f t="shared" si="174"/>
        <v>99.84</v>
      </c>
      <c r="P267" s="11">
        <f t="shared" si="176"/>
        <v>99.84</v>
      </c>
      <c r="Q267" s="11">
        <f t="shared" si="177"/>
        <v>99.839999999999989</v>
      </c>
      <c r="R267" s="5">
        <v>1</v>
      </c>
      <c r="S267" s="5">
        <v>13.6</v>
      </c>
      <c r="T267" s="5" t="s">
        <v>4</v>
      </c>
      <c r="U267" s="5" t="s">
        <v>55</v>
      </c>
      <c r="V267" s="5">
        <v>13.2</v>
      </c>
      <c r="W267" s="5">
        <v>5.3</v>
      </c>
      <c r="X267" s="5">
        <v>65</v>
      </c>
      <c r="Y267" s="5">
        <v>5</v>
      </c>
      <c r="Z267" s="6"/>
      <c r="AA267" s="6"/>
      <c r="AB267" s="6"/>
    </row>
    <row r="268" spans="1:28" ht="16" x14ac:dyDescent="0.2">
      <c r="A268" s="4">
        <v>45812</v>
      </c>
      <c r="B268" s="19">
        <v>25155</v>
      </c>
      <c r="C268" s="5" t="s">
        <v>32</v>
      </c>
      <c r="D268" s="6"/>
      <c r="E268" s="15">
        <v>42.446750000000002</v>
      </c>
      <c r="F268" s="15">
        <v>-75.703789</v>
      </c>
      <c r="G268" s="5" t="s">
        <v>120</v>
      </c>
      <c r="H268" s="5">
        <v>66</v>
      </c>
      <c r="I268" s="5">
        <v>72.8</v>
      </c>
      <c r="J268" s="5">
        <v>83</v>
      </c>
      <c r="K268" s="5">
        <v>45.9</v>
      </c>
      <c r="L268" s="10">
        <v>0.40625</v>
      </c>
      <c r="M268" s="10">
        <v>0.62013888888888891</v>
      </c>
      <c r="N268" s="11">
        <f t="shared" si="82"/>
        <v>99.84</v>
      </c>
      <c r="O268" s="11">
        <f t="shared" si="174"/>
        <v>99.84</v>
      </c>
      <c r="P268" s="11">
        <f t="shared" si="176"/>
        <v>99.84</v>
      </c>
      <c r="Q268" s="11">
        <f t="shared" si="177"/>
        <v>99.839999999999989</v>
      </c>
      <c r="R268" s="5">
        <v>1</v>
      </c>
      <c r="S268" s="5" t="s">
        <v>105</v>
      </c>
      <c r="T268" s="5" t="s">
        <v>9</v>
      </c>
      <c r="U268" s="5" t="s">
        <v>55</v>
      </c>
      <c r="V268" s="5">
        <v>12.8</v>
      </c>
      <c r="W268" s="5">
        <v>5.5</v>
      </c>
      <c r="X268" s="5">
        <v>55</v>
      </c>
      <c r="Y268" s="5">
        <v>0</v>
      </c>
      <c r="Z268" s="5"/>
      <c r="AA268" s="5" t="s">
        <v>142</v>
      </c>
      <c r="AB268" s="6"/>
    </row>
    <row r="269" spans="1:28" ht="16" x14ac:dyDescent="0.2">
      <c r="A269" s="4">
        <v>45812</v>
      </c>
      <c r="B269" s="19">
        <v>25155</v>
      </c>
      <c r="C269" s="5" t="s">
        <v>32</v>
      </c>
      <c r="D269" s="6"/>
      <c r="E269" s="15">
        <v>42.446750000000002</v>
      </c>
      <c r="F269" s="15">
        <v>-75.703789</v>
      </c>
      <c r="G269" s="5" t="s">
        <v>120</v>
      </c>
      <c r="H269" s="5">
        <v>66</v>
      </c>
      <c r="I269" s="5">
        <v>72.8</v>
      </c>
      <c r="J269" s="5">
        <v>83</v>
      </c>
      <c r="K269" s="5">
        <v>45.9</v>
      </c>
      <c r="L269" s="10">
        <v>0.40625</v>
      </c>
      <c r="M269" s="10">
        <v>0.62013888888888891</v>
      </c>
      <c r="N269" s="11">
        <f t="shared" si="82"/>
        <v>99.84</v>
      </c>
      <c r="O269" s="11">
        <f t="shared" si="174"/>
        <v>99.84</v>
      </c>
      <c r="P269" s="11">
        <f t="shared" si="176"/>
        <v>99.84</v>
      </c>
      <c r="Q269" s="11">
        <f t="shared" si="177"/>
        <v>99.839999999999989</v>
      </c>
      <c r="R269" s="5">
        <v>1</v>
      </c>
      <c r="S269" s="5" t="s">
        <v>105</v>
      </c>
      <c r="T269" s="5" t="s">
        <v>9</v>
      </c>
      <c r="U269" s="5" t="s">
        <v>55</v>
      </c>
      <c r="V269" s="5">
        <v>14</v>
      </c>
      <c r="W269" s="5">
        <v>5.4</v>
      </c>
      <c r="X269" s="5">
        <v>52</v>
      </c>
      <c r="Y269" s="5">
        <v>0.5</v>
      </c>
      <c r="Z269" s="6"/>
      <c r="AA269" s="6"/>
      <c r="AB269" s="6"/>
    </row>
    <row r="270" spans="1:28" ht="16" x14ac:dyDescent="0.2">
      <c r="A270" s="4">
        <v>45812</v>
      </c>
      <c r="B270" s="19">
        <v>25155</v>
      </c>
      <c r="C270" s="5" t="s">
        <v>32</v>
      </c>
      <c r="D270" s="6"/>
      <c r="E270" s="15">
        <v>42.446750000000002</v>
      </c>
      <c r="F270" s="15">
        <v>-75.703789</v>
      </c>
      <c r="G270" s="5" t="s">
        <v>120</v>
      </c>
      <c r="H270" s="5">
        <v>66</v>
      </c>
      <c r="I270" s="5">
        <v>72.8</v>
      </c>
      <c r="J270" s="5">
        <v>83</v>
      </c>
      <c r="K270" s="5">
        <v>45.9</v>
      </c>
      <c r="L270" s="10">
        <v>0.40625</v>
      </c>
      <c r="M270" s="10">
        <v>0.62013888888888891</v>
      </c>
      <c r="N270" s="11">
        <f t="shared" si="82"/>
        <v>99.84</v>
      </c>
      <c r="O270" s="11">
        <f t="shared" si="174"/>
        <v>99.84</v>
      </c>
      <c r="P270" s="11">
        <f t="shared" si="176"/>
        <v>99.84</v>
      </c>
      <c r="Q270" s="11">
        <f t="shared" si="177"/>
        <v>99.839999999999989</v>
      </c>
      <c r="R270" s="5">
        <v>1</v>
      </c>
      <c r="S270" s="5" t="s">
        <v>105</v>
      </c>
      <c r="T270" s="5" t="s">
        <v>9</v>
      </c>
      <c r="U270" s="5" t="s">
        <v>55</v>
      </c>
      <c r="V270" s="5">
        <v>13.8</v>
      </c>
      <c r="W270" s="5">
        <v>5.3</v>
      </c>
      <c r="X270" s="5">
        <v>55</v>
      </c>
      <c r="Y270" s="5">
        <v>4.5</v>
      </c>
      <c r="Z270" s="6"/>
      <c r="AA270" s="6"/>
      <c r="AB270" s="6"/>
    </row>
    <row r="271" spans="1:28" ht="16" x14ac:dyDescent="0.2">
      <c r="A271" s="4">
        <v>45812</v>
      </c>
      <c r="B271" s="19">
        <v>25155</v>
      </c>
      <c r="C271" s="5" t="s">
        <v>32</v>
      </c>
      <c r="D271" s="6"/>
      <c r="E271" s="15">
        <v>42.446750000000002</v>
      </c>
      <c r="F271" s="15">
        <v>-75.703789</v>
      </c>
      <c r="G271" s="5" t="s">
        <v>120</v>
      </c>
      <c r="H271" s="5">
        <v>66</v>
      </c>
      <c r="I271" s="5">
        <v>72.8</v>
      </c>
      <c r="J271" s="5">
        <v>83</v>
      </c>
      <c r="K271" s="5">
        <v>45.9</v>
      </c>
      <c r="L271" s="10">
        <v>0.40625</v>
      </c>
      <c r="M271" s="10">
        <v>0.62013888888888891</v>
      </c>
      <c r="N271" s="11">
        <f t="shared" si="82"/>
        <v>99.84</v>
      </c>
      <c r="O271" s="11">
        <f t="shared" si="174"/>
        <v>99.84</v>
      </c>
      <c r="P271" s="11">
        <f t="shared" si="176"/>
        <v>99.84</v>
      </c>
      <c r="Q271" s="11">
        <f t="shared" si="177"/>
        <v>99.839999999999989</v>
      </c>
      <c r="R271" s="5">
        <v>1</v>
      </c>
      <c r="S271" s="5" t="s">
        <v>14</v>
      </c>
      <c r="T271" s="5" t="s">
        <v>9</v>
      </c>
      <c r="U271" s="5" t="s">
        <v>55</v>
      </c>
      <c r="V271" s="5">
        <v>12.4</v>
      </c>
      <c r="W271" s="5" t="s">
        <v>8</v>
      </c>
      <c r="X271" s="5" t="s">
        <v>8</v>
      </c>
      <c r="Y271" s="5">
        <v>5.5</v>
      </c>
      <c r="Z271" s="5"/>
      <c r="AA271" s="5" t="s">
        <v>123</v>
      </c>
      <c r="AB271" s="6"/>
    </row>
    <row r="272" spans="1:28" ht="16" x14ac:dyDescent="0.2">
      <c r="A272" s="4">
        <v>45812</v>
      </c>
      <c r="B272" s="19">
        <v>25155</v>
      </c>
      <c r="C272" s="5" t="s">
        <v>32</v>
      </c>
      <c r="D272" s="6"/>
      <c r="E272" s="15">
        <v>42.446750000000002</v>
      </c>
      <c r="F272" s="15">
        <v>-75.703789</v>
      </c>
      <c r="G272" s="5" t="s">
        <v>120</v>
      </c>
      <c r="H272" s="5">
        <v>66</v>
      </c>
      <c r="I272" s="5">
        <v>72.8</v>
      </c>
      <c r="J272" s="5">
        <v>83</v>
      </c>
      <c r="K272" s="5">
        <v>45.9</v>
      </c>
      <c r="L272" s="10">
        <v>0.40625</v>
      </c>
      <c r="M272" s="10">
        <v>0.62013888888888891</v>
      </c>
      <c r="N272" s="11">
        <f t="shared" si="82"/>
        <v>99.84</v>
      </c>
      <c r="O272" s="11">
        <f t="shared" si="174"/>
        <v>99.84</v>
      </c>
      <c r="P272" s="11">
        <f t="shared" si="176"/>
        <v>99.84</v>
      </c>
      <c r="Q272" s="11">
        <f t="shared" si="177"/>
        <v>99.839999999999989</v>
      </c>
      <c r="R272" s="5">
        <v>1</v>
      </c>
      <c r="S272" s="5" t="s">
        <v>14</v>
      </c>
      <c r="T272" s="5" t="s">
        <v>9</v>
      </c>
      <c r="U272" s="5" t="s">
        <v>55</v>
      </c>
      <c r="V272" s="5">
        <v>13.9</v>
      </c>
      <c r="W272" s="5">
        <v>6.2</v>
      </c>
      <c r="X272" s="5">
        <v>40</v>
      </c>
      <c r="Y272" s="5">
        <v>2</v>
      </c>
      <c r="Z272" s="6"/>
      <c r="AA272" s="6"/>
      <c r="AB272" s="6"/>
    </row>
    <row r="273" spans="1:28" ht="16" x14ac:dyDescent="0.2">
      <c r="A273" s="4">
        <v>45812</v>
      </c>
      <c r="B273" s="19">
        <v>25155</v>
      </c>
      <c r="C273" s="5" t="s">
        <v>32</v>
      </c>
      <c r="D273" s="6"/>
      <c r="E273" s="15">
        <v>42.446750000000002</v>
      </c>
      <c r="F273" s="15">
        <v>-75.703789</v>
      </c>
      <c r="G273" s="5" t="s">
        <v>120</v>
      </c>
      <c r="H273" s="5">
        <v>66</v>
      </c>
      <c r="I273" s="5">
        <v>72.8</v>
      </c>
      <c r="J273" s="5">
        <v>83</v>
      </c>
      <c r="K273" s="5">
        <v>45.9</v>
      </c>
      <c r="L273" s="10">
        <v>0.40625</v>
      </c>
      <c r="M273" s="10">
        <v>0.62013888888888891</v>
      </c>
      <c r="N273" s="11">
        <f t="shared" si="82"/>
        <v>99.84</v>
      </c>
      <c r="O273" s="11">
        <f t="shared" si="174"/>
        <v>99.84</v>
      </c>
      <c r="P273" s="11">
        <f t="shared" si="176"/>
        <v>99.84</v>
      </c>
      <c r="Q273" s="11">
        <f t="shared" si="177"/>
        <v>99.839999999999989</v>
      </c>
      <c r="R273" s="5">
        <v>1</v>
      </c>
      <c r="S273" s="5" t="s">
        <v>14</v>
      </c>
      <c r="T273" s="5" t="s">
        <v>9</v>
      </c>
      <c r="U273" s="5" t="s">
        <v>64</v>
      </c>
      <c r="V273" s="5">
        <v>14.2</v>
      </c>
      <c r="W273" s="5">
        <v>5.5</v>
      </c>
      <c r="X273" s="5">
        <v>52</v>
      </c>
      <c r="Y273" s="5">
        <v>4.5</v>
      </c>
      <c r="Z273" s="6"/>
      <c r="AA273" s="6"/>
      <c r="AB273" s="6"/>
    </row>
    <row r="274" spans="1:28" ht="16" x14ac:dyDescent="0.2">
      <c r="A274" s="4">
        <v>45812</v>
      </c>
      <c r="B274" s="19">
        <v>25155</v>
      </c>
      <c r="C274" s="5" t="s">
        <v>32</v>
      </c>
      <c r="D274" s="6"/>
      <c r="E274" s="15">
        <v>42.446750000000002</v>
      </c>
      <c r="F274" s="15">
        <v>-75.703789</v>
      </c>
      <c r="G274" s="5" t="s">
        <v>120</v>
      </c>
      <c r="H274" s="5">
        <v>66</v>
      </c>
      <c r="I274" s="5">
        <v>72.8</v>
      </c>
      <c r="J274" s="5">
        <v>83</v>
      </c>
      <c r="K274" s="5">
        <v>45.9</v>
      </c>
      <c r="L274" s="10">
        <v>0.40625</v>
      </c>
      <c r="M274" s="10">
        <v>0.62013888888888891</v>
      </c>
      <c r="N274" s="11">
        <f t="shared" si="82"/>
        <v>99.84</v>
      </c>
      <c r="O274" s="11">
        <f t="shared" si="174"/>
        <v>99.84</v>
      </c>
      <c r="P274" s="11">
        <f t="shared" si="176"/>
        <v>99.84</v>
      </c>
      <c r="Q274" s="11">
        <f t="shared" si="177"/>
        <v>99.839999999999989</v>
      </c>
      <c r="R274" s="5">
        <v>2</v>
      </c>
      <c r="S274" s="5" t="s">
        <v>131</v>
      </c>
      <c r="T274" s="5" t="s">
        <v>9</v>
      </c>
      <c r="U274" s="5" t="s">
        <v>55</v>
      </c>
      <c r="V274" s="5">
        <v>15.1</v>
      </c>
      <c r="W274" s="5">
        <v>5.2</v>
      </c>
      <c r="X274" s="5">
        <v>85</v>
      </c>
      <c r="Y274" s="5">
        <v>7</v>
      </c>
      <c r="Z274" s="6"/>
      <c r="AA274" s="6"/>
      <c r="AB274" s="6"/>
    </row>
    <row r="275" spans="1:28" ht="16" x14ac:dyDescent="0.2">
      <c r="A275" s="4">
        <v>45812</v>
      </c>
      <c r="B275" s="19">
        <v>25155</v>
      </c>
      <c r="C275" s="5" t="s">
        <v>32</v>
      </c>
      <c r="D275" s="6"/>
      <c r="E275" s="15">
        <v>42.446750000000002</v>
      </c>
      <c r="F275" s="15">
        <v>-75.703789</v>
      </c>
      <c r="G275" s="5" t="s">
        <v>120</v>
      </c>
      <c r="H275" s="5">
        <v>66</v>
      </c>
      <c r="I275" s="5">
        <v>72.8</v>
      </c>
      <c r="J275" s="5">
        <v>83</v>
      </c>
      <c r="K275" s="5">
        <v>45.9</v>
      </c>
      <c r="L275" s="10">
        <v>0.40625</v>
      </c>
      <c r="M275" s="10">
        <v>0.62013888888888891</v>
      </c>
      <c r="N275" s="11">
        <f t="shared" si="82"/>
        <v>99.84</v>
      </c>
      <c r="O275" s="11">
        <f t="shared" si="174"/>
        <v>99.84</v>
      </c>
      <c r="P275" s="11">
        <f t="shared" si="176"/>
        <v>99.84</v>
      </c>
      <c r="Q275" s="11">
        <f t="shared" si="177"/>
        <v>99.839999999999989</v>
      </c>
      <c r="R275" s="5">
        <v>2</v>
      </c>
      <c r="S275" s="5" t="s">
        <v>131</v>
      </c>
      <c r="T275" s="5" t="s">
        <v>9</v>
      </c>
      <c r="U275" s="5" t="s">
        <v>55</v>
      </c>
      <c r="V275" s="5">
        <v>14.7</v>
      </c>
      <c r="W275" s="5">
        <v>5.2</v>
      </c>
      <c r="X275" s="5">
        <v>46</v>
      </c>
      <c r="Y275" s="5">
        <v>5</v>
      </c>
      <c r="Z275" s="6"/>
      <c r="AA275" s="6"/>
      <c r="AB275" s="6"/>
    </row>
    <row r="276" spans="1:28" ht="16" x14ac:dyDescent="0.2">
      <c r="A276" s="4">
        <v>45812</v>
      </c>
      <c r="B276" s="19">
        <v>25155</v>
      </c>
      <c r="C276" s="5" t="s">
        <v>32</v>
      </c>
      <c r="D276" s="6"/>
      <c r="E276" s="15">
        <v>42.446750000000002</v>
      </c>
      <c r="F276" s="15">
        <v>-75.703789</v>
      </c>
      <c r="G276" s="5" t="s">
        <v>120</v>
      </c>
      <c r="H276" s="5">
        <v>66</v>
      </c>
      <c r="I276" s="5">
        <v>72.8</v>
      </c>
      <c r="J276" s="5">
        <v>83</v>
      </c>
      <c r="K276" s="5">
        <v>45.9</v>
      </c>
      <c r="L276" s="10">
        <v>0.40625</v>
      </c>
      <c r="M276" s="10">
        <v>0.62013888888888891</v>
      </c>
      <c r="N276" s="11">
        <f t="shared" si="82"/>
        <v>99.84</v>
      </c>
      <c r="O276" s="11">
        <f t="shared" si="174"/>
        <v>99.84</v>
      </c>
      <c r="P276" s="11">
        <f t="shared" si="176"/>
        <v>99.84</v>
      </c>
      <c r="Q276" s="11">
        <f t="shared" si="177"/>
        <v>99.839999999999989</v>
      </c>
      <c r="R276" s="5">
        <v>2</v>
      </c>
      <c r="S276" s="5" t="s">
        <v>131</v>
      </c>
      <c r="T276" s="5" t="s">
        <v>9</v>
      </c>
      <c r="U276" s="5" t="s">
        <v>55</v>
      </c>
      <c r="V276" s="5">
        <v>17.399999999999999</v>
      </c>
      <c r="W276" s="5">
        <v>5</v>
      </c>
      <c r="X276" s="5">
        <v>90</v>
      </c>
      <c r="Y276" s="5">
        <v>4</v>
      </c>
      <c r="Z276" s="6"/>
      <c r="AA276" s="6"/>
      <c r="AB276" s="6"/>
    </row>
    <row r="277" spans="1:28" ht="16" x14ac:dyDescent="0.2">
      <c r="A277" s="4">
        <v>45812</v>
      </c>
      <c r="B277" s="19">
        <v>25155</v>
      </c>
      <c r="C277" s="5" t="s">
        <v>32</v>
      </c>
      <c r="D277" s="6"/>
      <c r="E277" s="15">
        <v>42.446750000000002</v>
      </c>
      <c r="F277" s="15">
        <v>-75.703789</v>
      </c>
      <c r="G277" s="5" t="s">
        <v>120</v>
      </c>
      <c r="H277" s="5">
        <v>66</v>
      </c>
      <c r="I277" s="5">
        <v>72.8</v>
      </c>
      <c r="J277" s="5">
        <v>83</v>
      </c>
      <c r="K277" s="5">
        <v>45.9</v>
      </c>
      <c r="L277" s="10">
        <v>0.40625</v>
      </c>
      <c r="M277" s="10">
        <v>0.62013888888888891</v>
      </c>
      <c r="N277" s="11">
        <f t="shared" si="82"/>
        <v>99.84</v>
      </c>
      <c r="O277" s="11">
        <f t="shared" si="174"/>
        <v>99.84</v>
      </c>
      <c r="P277" s="11">
        <f t="shared" si="176"/>
        <v>99.84</v>
      </c>
      <c r="Q277" s="11">
        <f t="shared" si="177"/>
        <v>99.839999999999989</v>
      </c>
      <c r="R277" s="5">
        <v>2</v>
      </c>
      <c r="S277" s="5" t="s">
        <v>105</v>
      </c>
      <c r="T277" s="5" t="s">
        <v>9</v>
      </c>
      <c r="U277" s="5" t="s">
        <v>55</v>
      </c>
      <c r="V277" s="5">
        <v>17.3</v>
      </c>
      <c r="W277" s="5">
        <v>5.0999999999999996</v>
      </c>
      <c r="X277" s="5">
        <v>90</v>
      </c>
      <c r="Y277" s="5">
        <v>3</v>
      </c>
      <c r="Z277" s="6"/>
      <c r="AA277" s="6"/>
      <c r="AB277" s="6"/>
    </row>
    <row r="278" spans="1:28" ht="16" x14ac:dyDescent="0.2">
      <c r="A278" s="4">
        <v>45812</v>
      </c>
      <c r="B278" s="19">
        <v>25155</v>
      </c>
      <c r="C278" s="5" t="s">
        <v>32</v>
      </c>
      <c r="D278" s="6"/>
      <c r="E278" s="15">
        <v>42.446750000000002</v>
      </c>
      <c r="F278" s="15">
        <v>-75.703789</v>
      </c>
      <c r="G278" s="5" t="s">
        <v>120</v>
      </c>
      <c r="H278" s="5">
        <v>66</v>
      </c>
      <c r="I278" s="5">
        <v>72.8</v>
      </c>
      <c r="J278" s="5">
        <v>83</v>
      </c>
      <c r="K278" s="5">
        <v>45.9</v>
      </c>
      <c r="L278" s="10">
        <v>0.40625</v>
      </c>
      <c r="M278" s="10">
        <v>0.62013888888888891</v>
      </c>
      <c r="N278" s="11">
        <f t="shared" si="82"/>
        <v>99.84</v>
      </c>
      <c r="O278" s="11">
        <f t="shared" si="174"/>
        <v>99.84</v>
      </c>
      <c r="P278" s="11">
        <f t="shared" si="176"/>
        <v>99.84</v>
      </c>
      <c r="Q278" s="11">
        <f t="shared" si="177"/>
        <v>99.839999999999989</v>
      </c>
      <c r="R278" s="5">
        <v>2</v>
      </c>
      <c r="S278" s="5" t="s">
        <v>105</v>
      </c>
      <c r="T278" s="5" t="s">
        <v>9</v>
      </c>
      <c r="U278" s="5" t="s">
        <v>55</v>
      </c>
      <c r="V278" s="5">
        <v>13.1</v>
      </c>
      <c r="W278" s="5">
        <v>4.9000000000000004</v>
      </c>
      <c r="X278" s="5">
        <v>75</v>
      </c>
      <c r="Y278" s="5">
        <v>4</v>
      </c>
      <c r="Z278" s="6"/>
      <c r="AA278" s="6"/>
      <c r="AB278" s="6"/>
    </row>
    <row r="279" spans="1:28" ht="16" x14ac:dyDescent="0.2">
      <c r="A279" s="4">
        <v>45812</v>
      </c>
      <c r="B279" s="19">
        <v>25155</v>
      </c>
      <c r="C279" s="5" t="s">
        <v>32</v>
      </c>
      <c r="D279" s="6"/>
      <c r="E279" s="15">
        <v>42.446750000000002</v>
      </c>
      <c r="F279" s="15">
        <v>-75.703789</v>
      </c>
      <c r="G279" s="5" t="s">
        <v>120</v>
      </c>
      <c r="H279" s="5">
        <v>66</v>
      </c>
      <c r="I279" s="5">
        <v>72.8</v>
      </c>
      <c r="J279" s="5">
        <v>83</v>
      </c>
      <c r="K279" s="5">
        <v>45.9</v>
      </c>
      <c r="L279" s="10">
        <v>0.40625</v>
      </c>
      <c r="M279" s="10">
        <v>0.62013888888888891</v>
      </c>
      <c r="N279" s="11">
        <f t="shared" si="82"/>
        <v>99.84</v>
      </c>
      <c r="O279" s="11">
        <f t="shared" si="174"/>
        <v>99.84</v>
      </c>
      <c r="P279" s="11">
        <f t="shared" si="176"/>
        <v>99.84</v>
      </c>
      <c r="Q279" s="11">
        <f t="shared" si="177"/>
        <v>99.839999999999989</v>
      </c>
      <c r="R279" s="5">
        <v>2</v>
      </c>
      <c r="S279" s="5" t="s">
        <v>105</v>
      </c>
      <c r="T279" s="5" t="s">
        <v>9</v>
      </c>
      <c r="U279" s="5" t="s">
        <v>55</v>
      </c>
      <c r="V279" s="5">
        <v>13.5</v>
      </c>
      <c r="W279" s="5">
        <v>4.7</v>
      </c>
      <c r="X279" s="5">
        <v>85</v>
      </c>
      <c r="Y279" s="5">
        <v>4</v>
      </c>
      <c r="Z279" s="6"/>
      <c r="AA279" s="6"/>
      <c r="AB279" s="6"/>
    </row>
    <row r="280" spans="1:28" ht="16" x14ac:dyDescent="0.2">
      <c r="A280" s="4">
        <v>45812</v>
      </c>
      <c r="B280" s="19">
        <v>25155</v>
      </c>
      <c r="C280" s="5" t="s">
        <v>32</v>
      </c>
      <c r="D280" s="6"/>
      <c r="E280" s="15">
        <v>42.446750000000002</v>
      </c>
      <c r="F280" s="15">
        <v>-75.703789</v>
      </c>
      <c r="G280" s="5" t="s">
        <v>120</v>
      </c>
      <c r="H280" s="5">
        <v>66</v>
      </c>
      <c r="I280" s="5">
        <v>72.8</v>
      </c>
      <c r="J280" s="5">
        <v>83</v>
      </c>
      <c r="K280" s="5">
        <v>45.9</v>
      </c>
      <c r="L280" s="10">
        <v>0.40625</v>
      </c>
      <c r="M280" s="10">
        <v>0.62013888888888891</v>
      </c>
      <c r="N280" s="11">
        <f t="shared" si="82"/>
        <v>99.84</v>
      </c>
      <c r="O280" s="11">
        <f t="shared" si="174"/>
        <v>99.84</v>
      </c>
      <c r="P280" s="11">
        <f t="shared" si="176"/>
        <v>99.84</v>
      </c>
      <c r="Q280" s="11">
        <f t="shared" si="177"/>
        <v>99.839999999999989</v>
      </c>
      <c r="R280" s="5">
        <v>2</v>
      </c>
      <c r="S280" s="5">
        <v>24.9</v>
      </c>
      <c r="T280" s="5" t="s">
        <v>4</v>
      </c>
      <c r="U280" s="5" t="s">
        <v>55</v>
      </c>
      <c r="V280" s="5">
        <v>14.7</v>
      </c>
      <c r="W280" s="5">
        <v>4.7</v>
      </c>
      <c r="X280" s="5">
        <v>75</v>
      </c>
      <c r="Y280" s="5">
        <v>5</v>
      </c>
      <c r="Z280" s="6"/>
      <c r="AA280" s="6"/>
      <c r="AB280" s="6"/>
    </row>
    <row r="281" spans="1:28" ht="16" x14ac:dyDescent="0.2">
      <c r="A281" s="4">
        <v>45812</v>
      </c>
      <c r="B281" s="19">
        <v>25155</v>
      </c>
      <c r="C281" s="5" t="s">
        <v>32</v>
      </c>
      <c r="D281" s="6"/>
      <c r="E281" s="15">
        <v>42.446750000000002</v>
      </c>
      <c r="F281" s="15">
        <v>-75.703789</v>
      </c>
      <c r="G281" s="5" t="s">
        <v>120</v>
      </c>
      <c r="H281" s="5">
        <v>66</v>
      </c>
      <c r="I281" s="5">
        <v>72.8</v>
      </c>
      <c r="J281" s="5">
        <v>83</v>
      </c>
      <c r="K281" s="5">
        <v>45.9</v>
      </c>
      <c r="L281" s="10">
        <v>0.40625</v>
      </c>
      <c r="M281" s="10">
        <v>0.62013888888888891</v>
      </c>
      <c r="N281" s="11">
        <f t="shared" si="82"/>
        <v>99.84</v>
      </c>
      <c r="O281" s="11">
        <f t="shared" si="174"/>
        <v>99.84</v>
      </c>
      <c r="P281" s="11">
        <f t="shared" si="176"/>
        <v>99.84</v>
      </c>
      <c r="Q281" s="11">
        <f t="shared" si="177"/>
        <v>99.839999999999989</v>
      </c>
      <c r="R281" s="5">
        <v>2</v>
      </c>
      <c r="S281" s="5" t="s">
        <v>14</v>
      </c>
      <c r="T281" s="5" t="s">
        <v>9</v>
      </c>
      <c r="U281" s="5" t="s">
        <v>56</v>
      </c>
      <c r="V281" s="5">
        <v>14.7</v>
      </c>
      <c r="W281" s="5" t="s">
        <v>8</v>
      </c>
      <c r="X281" s="5" t="s">
        <v>8</v>
      </c>
      <c r="Y281" s="5">
        <v>1</v>
      </c>
      <c r="Z281" s="5"/>
      <c r="AA281" s="5" t="s">
        <v>123</v>
      </c>
      <c r="AB281" s="6"/>
    </row>
    <row r="282" spans="1:28" ht="16" x14ac:dyDescent="0.2">
      <c r="A282" s="4">
        <v>45812</v>
      </c>
      <c r="B282" s="19">
        <v>25155</v>
      </c>
      <c r="C282" s="5" t="s">
        <v>32</v>
      </c>
      <c r="D282" s="6"/>
      <c r="E282" s="15">
        <v>42.446750000000002</v>
      </c>
      <c r="F282" s="15">
        <v>-75.703789</v>
      </c>
      <c r="G282" s="5" t="s">
        <v>120</v>
      </c>
      <c r="H282" s="5">
        <v>66</v>
      </c>
      <c r="I282" s="5">
        <v>72.8</v>
      </c>
      <c r="J282" s="5">
        <v>83</v>
      </c>
      <c r="K282" s="5">
        <v>45.9</v>
      </c>
      <c r="L282" s="10">
        <v>0.40625</v>
      </c>
      <c r="M282" s="10">
        <v>0.62013888888888891</v>
      </c>
      <c r="N282" s="11">
        <f t="shared" si="82"/>
        <v>99.84</v>
      </c>
      <c r="O282" s="11">
        <f t="shared" si="174"/>
        <v>99.84</v>
      </c>
      <c r="P282" s="11">
        <f t="shared" si="176"/>
        <v>99.84</v>
      </c>
      <c r="Q282" s="11">
        <f t="shared" si="177"/>
        <v>99.839999999999989</v>
      </c>
      <c r="R282" s="5">
        <v>2</v>
      </c>
      <c r="S282" s="5" t="s">
        <v>14</v>
      </c>
      <c r="T282" s="5" t="s">
        <v>9</v>
      </c>
      <c r="U282" s="5" t="s">
        <v>55</v>
      </c>
      <c r="V282" s="5">
        <v>14.1</v>
      </c>
      <c r="W282" s="5">
        <v>4.3</v>
      </c>
      <c r="X282" s="6"/>
      <c r="Y282" s="5">
        <v>3.5</v>
      </c>
      <c r="Z282" s="5"/>
      <c r="AA282" s="5" t="s">
        <v>143</v>
      </c>
      <c r="AB282" s="6"/>
    </row>
    <row r="283" spans="1:28" ht="16" x14ac:dyDescent="0.2">
      <c r="A283" s="4">
        <v>45812</v>
      </c>
      <c r="B283" s="19">
        <v>25155</v>
      </c>
      <c r="C283" s="5" t="s">
        <v>32</v>
      </c>
      <c r="D283" s="6"/>
      <c r="E283" s="15">
        <v>42.446750000000002</v>
      </c>
      <c r="F283" s="15">
        <v>-75.703789</v>
      </c>
      <c r="G283" s="5" t="s">
        <v>120</v>
      </c>
      <c r="H283" s="5">
        <v>66</v>
      </c>
      <c r="I283" s="5">
        <v>72.8</v>
      </c>
      <c r="J283" s="5">
        <v>83</v>
      </c>
      <c r="K283" s="5">
        <v>45.9</v>
      </c>
      <c r="L283" s="10">
        <v>0.40625</v>
      </c>
      <c r="M283" s="10">
        <v>0.62013888888888891</v>
      </c>
      <c r="N283" s="11">
        <f t="shared" si="82"/>
        <v>99.84</v>
      </c>
      <c r="O283" s="11">
        <f t="shared" si="174"/>
        <v>99.84</v>
      </c>
      <c r="P283" s="11">
        <f t="shared" si="176"/>
        <v>99.84</v>
      </c>
      <c r="Q283" s="11">
        <f t="shared" si="177"/>
        <v>99.839999999999989</v>
      </c>
      <c r="R283" s="5">
        <v>2</v>
      </c>
      <c r="S283" s="5" t="s">
        <v>14</v>
      </c>
      <c r="T283" s="5" t="s">
        <v>9</v>
      </c>
      <c r="U283" s="5" t="s">
        <v>55</v>
      </c>
      <c r="V283" s="5">
        <v>15.3</v>
      </c>
      <c r="W283" s="5">
        <v>5.2</v>
      </c>
      <c r="X283" s="5">
        <v>68</v>
      </c>
      <c r="Y283" s="5">
        <v>4</v>
      </c>
      <c r="Z283" s="6"/>
      <c r="AA283" s="6"/>
      <c r="AB283" s="6"/>
    </row>
    <row r="284" spans="1:28" ht="16" x14ac:dyDescent="0.2">
      <c r="A284" s="4">
        <v>45812</v>
      </c>
      <c r="B284" s="19">
        <v>25155</v>
      </c>
      <c r="C284" s="5" t="s">
        <v>32</v>
      </c>
      <c r="D284" s="6"/>
      <c r="E284" s="15">
        <v>42.446750000000002</v>
      </c>
      <c r="F284" s="15">
        <v>-75.703789</v>
      </c>
      <c r="G284" s="5" t="s">
        <v>120</v>
      </c>
      <c r="H284" s="5">
        <v>66</v>
      </c>
      <c r="I284" s="5">
        <v>72.8</v>
      </c>
      <c r="J284" s="5">
        <v>83</v>
      </c>
      <c r="K284" s="5">
        <v>45.9</v>
      </c>
      <c r="L284" s="10">
        <v>0.40625</v>
      </c>
      <c r="M284" s="10">
        <v>0.62013888888888891</v>
      </c>
      <c r="N284" s="11">
        <f t="shared" si="82"/>
        <v>99.84</v>
      </c>
      <c r="O284" s="11">
        <f t="shared" si="174"/>
        <v>99.84</v>
      </c>
      <c r="P284" s="11">
        <f t="shared" si="176"/>
        <v>99.84</v>
      </c>
      <c r="Q284" s="11">
        <f t="shared" si="177"/>
        <v>99.839999999999989</v>
      </c>
      <c r="R284" s="5">
        <v>3</v>
      </c>
      <c r="S284" s="5" t="s">
        <v>131</v>
      </c>
      <c r="T284" s="5" t="s">
        <v>9</v>
      </c>
      <c r="U284" s="5" t="s">
        <v>55</v>
      </c>
      <c r="V284" s="5">
        <v>16.3</v>
      </c>
      <c r="W284" s="5">
        <v>5.0999999999999996</v>
      </c>
      <c r="X284" s="5">
        <v>85</v>
      </c>
      <c r="Y284" s="5">
        <v>4</v>
      </c>
      <c r="Z284" s="6"/>
      <c r="AA284" s="6"/>
      <c r="AB284" s="6"/>
    </row>
    <row r="285" spans="1:28" ht="16" x14ac:dyDescent="0.2">
      <c r="A285" s="4">
        <v>45812</v>
      </c>
      <c r="B285" s="19">
        <v>25155</v>
      </c>
      <c r="C285" s="5" t="s">
        <v>32</v>
      </c>
      <c r="D285" s="6"/>
      <c r="E285" s="15">
        <v>42.446750000000002</v>
      </c>
      <c r="F285" s="15">
        <v>-75.703789</v>
      </c>
      <c r="G285" s="5" t="s">
        <v>120</v>
      </c>
      <c r="H285" s="5">
        <v>66</v>
      </c>
      <c r="I285" s="5">
        <v>72.8</v>
      </c>
      <c r="J285" s="5">
        <v>83</v>
      </c>
      <c r="K285" s="5">
        <v>45.9</v>
      </c>
      <c r="L285" s="10">
        <v>0.40625</v>
      </c>
      <c r="M285" s="10">
        <v>0.62013888888888891</v>
      </c>
      <c r="N285" s="11">
        <f t="shared" si="82"/>
        <v>99.84</v>
      </c>
      <c r="O285" s="11">
        <f t="shared" si="174"/>
        <v>99.84</v>
      </c>
      <c r="P285" s="11">
        <f t="shared" si="176"/>
        <v>99.84</v>
      </c>
      <c r="Q285" s="11">
        <f t="shared" si="177"/>
        <v>99.839999999999989</v>
      </c>
      <c r="R285" s="5">
        <v>3</v>
      </c>
      <c r="S285" s="5" t="s">
        <v>131</v>
      </c>
      <c r="T285" s="5" t="s">
        <v>9</v>
      </c>
      <c r="U285" s="5" t="s">
        <v>55</v>
      </c>
      <c r="V285" s="5">
        <v>14.9</v>
      </c>
      <c r="W285" s="5" t="s">
        <v>8</v>
      </c>
      <c r="X285" s="5" t="s">
        <v>8</v>
      </c>
      <c r="Y285" s="5">
        <v>3</v>
      </c>
      <c r="Z285" s="5"/>
      <c r="AA285" s="5" t="s">
        <v>144</v>
      </c>
      <c r="AB285" s="6"/>
    </row>
    <row r="286" spans="1:28" ht="16" x14ac:dyDescent="0.2">
      <c r="A286" s="4">
        <v>45812</v>
      </c>
      <c r="B286" s="19">
        <v>25155</v>
      </c>
      <c r="C286" s="5" t="s">
        <v>32</v>
      </c>
      <c r="D286" s="6"/>
      <c r="E286" s="15">
        <v>42.446750000000002</v>
      </c>
      <c r="F286" s="15">
        <v>-75.703789</v>
      </c>
      <c r="G286" s="5" t="s">
        <v>120</v>
      </c>
      <c r="H286" s="5">
        <v>66</v>
      </c>
      <c r="I286" s="5">
        <v>72.8</v>
      </c>
      <c r="J286" s="5">
        <v>83</v>
      </c>
      <c r="K286" s="5">
        <v>45.9</v>
      </c>
      <c r="L286" s="10">
        <v>0.40625</v>
      </c>
      <c r="M286" s="10">
        <v>0.62013888888888891</v>
      </c>
      <c r="N286" s="11">
        <f t="shared" si="82"/>
        <v>99.84</v>
      </c>
      <c r="O286" s="11">
        <f t="shared" si="174"/>
        <v>99.84</v>
      </c>
      <c r="P286" s="11">
        <f t="shared" si="176"/>
        <v>99.84</v>
      </c>
      <c r="Q286" s="11">
        <f t="shared" si="177"/>
        <v>99.839999999999989</v>
      </c>
      <c r="R286" s="5">
        <v>3</v>
      </c>
      <c r="S286" s="5" t="s">
        <v>131</v>
      </c>
      <c r="T286" s="5" t="s">
        <v>9</v>
      </c>
      <c r="U286" s="5" t="s">
        <v>55</v>
      </c>
      <c r="V286" s="5">
        <v>15.4</v>
      </c>
      <c r="W286" s="5">
        <v>4.0999999999999996</v>
      </c>
      <c r="X286" s="5">
        <v>66</v>
      </c>
      <c r="Y286" s="5">
        <v>3.5</v>
      </c>
      <c r="Z286" s="6"/>
      <c r="AA286" s="6"/>
      <c r="AB286" s="6"/>
    </row>
    <row r="287" spans="1:28" ht="16" x14ac:dyDescent="0.2">
      <c r="A287" s="4">
        <v>45812</v>
      </c>
      <c r="B287" s="19">
        <v>25155</v>
      </c>
      <c r="C287" s="5" t="s">
        <v>32</v>
      </c>
      <c r="D287" s="6"/>
      <c r="E287" s="15">
        <v>42.446750000000002</v>
      </c>
      <c r="F287" s="15">
        <v>-75.703789</v>
      </c>
      <c r="G287" s="5" t="s">
        <v>120</v>
      </c>
      <c r="H287" s="5">
        <v>66</v>
      </c>
      <c r="I287" s="5">
        <v>72.8</v>
      </c>
      <c r="J287" s="5">
        <v>83</v>
      </c>
      <c r="K287" s="5">
        <v>45.9</v>
      </c>
      <c r="L287" s="10">
        <v>0.40625</v>
      </c>
      <c r="M287" s="10">
        <v>0.62013888888888891</v>
      </c>
      <c r="N287" s="11">
        <f t="shared" si="82"/>
        <v>99.84</v>
      </c>
      <c r="O287" s="11">
        <f t="shared" si="174"/>
        <v>99.84</v>
      </c>
      <c r="P287" s="11">
        <f t="shared" si="176"/>
        <v>99.84</v>
      </c>
      <c r="Q287" s="11">
        <f t="shared" si="177"/>
        <v>99.839999999999989</v>
      </c>
      <c r="R287" s="5">
        <v>3</v>
      </c>
      <c r="S287" s="5" t="s">
        <v>105</v>
      </c>
      <c r="T287" s="5" t="s">
        <v>9</v>
      </c>
      <c r="U287" s="5" t="s">
        <v>55</v>
      </c>
      <c r="V287" s="5">
        <v>17</v>
      </c>
      <c r="W287" s="5">
        <v>5.8</v>
      </c>
      <c r="X287" s="5">
        <v>59</v>
      </c>
      <c r="Y287" s="5">
        <v>2</v>
      </c>
      <c r="Z287" s="6"/>
      <c r="AA287" s="6"/>
      <c r="AB287" s="6"/>
    </row>
    <row r="288" spans="1:28" ht="16" x14ac:dyDescent="0.2">
      <c r="A288" s="4">
        <v>45812</v>
      </c>
      <c r="B288" s="19">
        <v>25155</v>
      </c>
      <c r="C288" s="5" t="s">
        <v>32</v>
      </c>
      <c r="D288" s="6"/>
      <c r="E288" s="15">
        <v>42.446750000000002</v>
      </c>
      <c r="F288" s="15">
        <v>-75.703789</v>
      </c>
      <c r="G288" s="5" t="s">
        <v>120</v>
      </c>
      <c r="H288" s="5">
        <v>66</v>
      </c>
      <c r="I288" s="5">
        <v>72.8</v>
      </c>
      <c r="J288" s="5">
        <v>83</v>
      </c>
      <c r="K288" s="5">
        <v>45.9</v>
      </c>
      <c r="L288" s="10">
        <v>0.40625</v>
      </c>
      <c r="M288" s="10">
        <v>0.62013888888888891</v>
      </c>
      <c r="N288" s="11">
        <f t="shared" si="82"/>
        <v>99.84</v>
      </c>
      <c r="O288" s="11">
        <f t="shared" si="174"/>
        <v>99.84</v>
      </c>
      <c r="P288" s="11">
        <f t="shared" si="176"/>
        <v>99.84</v>
      </c>
      <c r="Q288" s="11">
        <f t="shared" si="177"/>
        <v>99.839999999999989</v>
      </c>
      <c r="R288" s="5">
        <v>3</v>
      </c>
      <c r="S288" s="5">
        <v>13.8</v>
      </c>
      <c r="T288" s="5" t="s">
        <v>4</v>
      </c>
      <c r="U288" s="5" t="s">
        <v>55</v>
      </c>
      <c r="V288" s="5">
        <v>17.100000000000001</v>
      </c>
      <c r="W288" s="5">
        <v>5.0999999999999996</v>
      </c>
      <c r="X288" s="5">
        <v>67</v>
      </c>
      <c r="Y288" s="5">
        <v>2.5</v>
      </c>
      <c r="Z288" s="6"/>
      <c r="AA288" s="6"/>
      <c r="AB288" s="6"/>
    </row>
    <row r="289" spans="1:28" ht="16" x14ac:dyDescent="0.2">
      <c r="A289" s="4">
        <v>45812</v>
      </c>
      <c r="B289" s="19">
        <v>25155</v>
      </c>
      <c r="C289" s="5" t="s">
        <v>32</v>
      </c>
      <c r="D289" s="6"/>
      <c r="E289" s="15">
        <v>42.446750000000002</v>
      </c>
      <c r="F289" s="15">
        <v>-75.703789</v>
      </c>
      <c r="G289" s="5" t="s">
        <v>120</v>
      </c>
      <c r="H289" s="5">
        <v>66</v>
      </c>
      <c r="I289" s="5">
        <v>72.8</v>
      </c>
      <c r="J289" s="5">
        <v>83</v>
      </c>
      <c r="K289" s="5">
        <v>45.9</v>
      </c>
      <c r="L289" s="10">
        <v>0.40625</v>
      </c>
      <c r="M289" s="10">
        <v>0.62013888888888891</v>
      </c>
      <c r="N289" s="11">
        <f t="shared" si="82"/>
        <v>99.84</v>
      </c>
      <c r="O289" s="11">
        <f t="shared" si="174"/>
        <v>99.84</v>
      </c>
      <c r="P289" s="11">
        <f t="shared" si="176"/>
        <v>99.84</v>
      </c>
      <c r="Q289" s="11">
        <f t="shared" si="177"/>
        <v>99.839999999999989</v>
      </c>
      <c r="R289" s="5">
        <v>3</v>
      </c>
      <c r="S289" s="5" t="s">
        <v>105</v>
      </c>
      <c r="T289" s="5" t="s">
        <v>9</v>
      </c>
      <c r="U289" s="5" t="s">
        <v>55</v>
      </c>
      <c r="V289" s="5">
        <v>18</v>
      </c>
      <c r="W289" s="5">
        <v>4.7</v>
      </c>
      <c r="X289" s="5">
        <v>80</v>
      </c>
      <c r="Y289" s="5">
        <v>3</v>
      </c>
      <c r="Z289" s="6"/>
      <c r="AA289" s="6"/>
      <c r="AB289" s="6"/>
    </row>
    <row r="290" spans="1:28" ht="16" x14ac:dyDescent="0.2">
      <c r="A290" s="4">
        <v>45812</v>
      </c>
      <c r="B290" s="19">
        <v>25155</v>
      </c>
      <c r="C290" s="5" t="s">
        <v>32</v>
      </c>
      <c r="D290" s="6"/>
      <c r="E290" s="15">
        <v>42.446750000000002</v>
      </c>
      <c r="F290" s="15">
        <v>-75.703789</v>
      </c>
      <c r="G290" s="5" t="s">
        <v>120</v>
      </c>
      <c r="H290" s="5">
        <v>66</v>
      </c>
      <c r="I290" s="5">
        <v>72.8</v>
      </c>
      <c r="J290" s="5">
        <v>83</v>
      </c>
      <c r="K290" s="5">
        <v>45.9</v>
      </c>
      <c r="L290" s="10">
        <v>0.40625</v>
      </c>
      <c r="M290" s="10">
        <v>0.62013888888888891</v>
      </c>
      <c r="N290" s="11">
        <f t="shared" si="82"/>
        <v>99.84</v>
      </c>
      <c r="O290" s="11">
        <f t="shared" si="174"/>
        <v>99.84</v>
      </c>
      <c r="P290" s="11">
        <f t="shared" si="176"/>
        <v>99.84</v>
      </c>
      <c r="Q290" s="11">
        <f t="shared" si="177"/>
        <v>99.839999999999989</v>
      </c>
      <c r="R290" s="5">
        <v>3</v>
      </c>
      <c r="S290" s="5" t="s">
        <v>105</v>
      </c>
      <c r="T290" s="5" t="s">
        <v>9</v>
      </c>
      <c r="U290" s="5" t="s">
        <v>55</v>
      </c>
      <c r="V290" s="5">
        <v>16.8</v>
      </c>
      <c r="W290" s="5">
        <v>5.4</v>
      </c>
      <c r="X290" s="5">
        <v>80</v>
      </c>
      <c r="Y290" s="5">
        <v>5</v>
      </c>
      <c r="Z290" s="6"/>
      <c r="AA290" s="6"/>
      <c r="AB290" s="6"/>
    </row>
    <row r="291" spans="1:28" ht="16" x14ac:dyDescent="0.2">
      <c r="A291" s="4">
        <v>45812</v>
      </c>
      <c r="B291" s="19">
        <v>25155</v>
      </c>
      <c r="C291" s="5" t="s">
        <v>32</v>
      </c>
      <c r="D291" s="6"/>
      <c r="E291" s="15">
        <v>42.446750000000002</v>
      </c>
      <c r="F291" s="15">
        <v>-75.703789</v>
      </c>
      <c r="G291" s="5" t="s">
        <v>120</v>
      </c>
      <c r="H291" s="5">
        <v>66</v>
      </c>
      <c r="I291" s="5">
        <v>72.8</v>
      </c>
      <c r="J291" s="5">
        <v>83</v>
      </c>
      <c r="K291" s="5">
        <v>45.9</v>
      </c>
      <c r="L291" s="10">
        <v>0.40625</v>
      </c>
      <c r="M291" s="10">
        <v>0.62013888888888891</v>
      </c>
      <c r="N291" s="11">
        <f t="shared" si="82"/>
        <v>99.84</v>
      </c>
      <c r="O291" s="11">
        <f t="shared" si="174"/>
        <v>99.84</v>
      </c>
      <c r="P291" s="11">
        <f t="shared" si="176"/>
        <v>99.84</v>
      </c>
      <c r="Q291" s="11">
        <f t="shared" si="177"/>
        <v>99.839999999999989</v>
      </c>
      <c r="R291" s="5">
        <v>3</v>
      </c>
      <c r="S291" s="5" t="s">
        <v>14</v>
      </c>
      <c r="T291" s="5" t="s">
        <v>9</v>
      </c>
      <c r="U291" s="5" t="s">
        <v>55</v>
      </c>
      <c r="V291" s="5">
        <v>16.600000000000001</v>
      </c>
      <c r="W291" s="5">
        <v>5.2</v>
      </c>
      <c r="X291" s="5">
        <v>75</v>
      </c>
      <c r="Y291" s="5">
        <v>5</v>
      </c>
      <c r="Z291" s="6"/>
      <c r="AA291" s="6"/>
      <c r="AB291" s="6"/>
    </row>
    <row r="292" spans="1:28" ht="16" x14ac:dyDescent="0.2">
      <c r="A292" s="4">
        <v>45812</v>
      </c>
      <c r="B292" s="19">
        <v>25155</v>
      </c>
      <c r="C292" s="5" t="s">
        <v>32</v>
      </c>
      <c r="D292" s="6"/>
      <c r="E292" s="15">
        <v>42.446750000000002</v>
      </c>
      <c r="F292" s="15">
        <v>-75.703789</v>
      </c>
      <c r="G292" s="5" t="s">
        <v>120</v>
      </c>
      <c r="H292" s="5">
        <v>66</v>
      </c>
      <c r="I292" s="5">
        <v>72.8</v>
      </c>
      <c r="J292" s="5">
        <v>83</v>
      </c>
      <c r="K292" s="5">
        <v>45.9</v>
      </c>
      <c r="L292" s="10">
        <v>0.40625</v>
      </c>
      <c r="M292" s="10">
        <v>0.62013888888888891</v>
      </c>
      <c r="N292" s="11">
        <f t="shared" si="82"/>
        <v>99.84</v>
      </c>
      <c r="O292" s="11">
        <f t="shared" si="174"/>
        <v>99.84</v>
      </c>
      <c r="P292" s="11">
        <f t="shared" si="176"/>
        <v>99.84</v>
      </c>
      <c r="Q292" s="11">
        <f t="shared" si="177"/>
        <v>99.839999999999989</v>
      </c>
      <c r="R292" s="5">
        <v>3</v>
      </c>
      <c r="S292" s="5" t="s">
        <v>14</v>
      </c>
      <c r="T292" s="5" t="s">
        <v>9</v>
      </c>
      <c r="U292" s="5" t="s">
        <v>55</v>
      </c>
      <c r="V292" s="5">
        <v>16.8</v>
      </c>
      <c r="W292" s="5">
        <v>5</v>
      </c>
      <c r="X292" s="5">
        <v>75</v>
      </c>
      <c r="Y292" s="5">
        <v>5</v>
      </c>
      <c r="Z292" s="6"/>
      <c r="AA292" s="6"/>
      <c r="AB292" s="6"/>
    </row>
    <row r="293" spans="1:28" ht="16" x14ac:dyDescent="0.2">
      <c r="A293" s="4">
        <v>45812</v>
      </c>
      <c r="B293" s="19">
        <v>25155</v>
      </c>
      <c r="C293" s="5" t="s">
        <v>32</v>
      </c>
      <c r="D293" s="6"/>
      <c r="E293" s="15">
        <v>42.446750000000002</v>
      </c>
      <c r="F293" s="15">
        <v>-75.703789</v>
      </c>
      <c r="G293" s="5" t="s">
        <v>120</v>
      </c>
      <c r="H293" s="5">
        <v>66</v>
      </c>
      <c r="I293" s="5">
        <v>72.8</v>
      </c>
      <c r="J293" s="5">
        <v>83</v>
      </c>
      <c r="K293" s="5">
        <v>45.9</v>
      </c>
      <c r="L293" s="10">
        <v>0.40625</v>
      </c>
      <c r="M293" s="10">
        <v>0.62013888888888891</v>
      </c>
      <c r="N293" s="11">
        <f t="shared" si="82"/>
        <v>99.84</v>
      </c>
      <c r="O293" s="11">
        <f t="shared" si="174"/>
        <v>99.84</v>
      </c>
      <c r="P293" s="11">
        <f t="shared" si="176"/>
        <v>99.84</v>
      </c>
      <c r="Q293" s="11">
        <f t="shared" si="177"/>
        <v>99.839999999999989</v>
      </c>
      <c r="R293" s="5">
        <v>3</v>
      </c>
      <c r="S293" s="5" t="s">
        <v>14</v>
      </c>
      <c r="T293" s="5" t="s">
        <v>9</v>
      </c>
      <c r="U293" s="5" t="s">
        <v>55</v>
      </c>
      <c r="V293" s="5">
        <v>18.399999999999999</v>
      </c>
      <c r="W293" s="5" t="s">
        <v>8</v>
      </c>
      <c r="X293" s="5" t="s">
        <v>8</v>
      </c>
      <c r="Y293" s="5">
        <v>2</v>
      </c>
      <c r="Z293" s="5"/>
      <c r="AA293" s="5" t="s">
        <v>123</v>
      </c>
      <c r="AB293" s="6"/>
    </row>
    <row r="294" spans="1:28" ht="16" x14ac:dyDescent="0.2">
      <c r="A294" s="4">
        <v>45812</v>
      </c>
      <c r="B294" s="19">
        <v>25155</v>
      </c>
      <c r="C294" s="5" t="s">
        <v>32</v>
      </c>
      <c r="D294" s="6"/>
      <c r="E294" s="15">
        <v>42.446750000000002</v>
      </c>
      <c r="F294" s="15">
        <v>-75.703789</v>
      </c>
      <c r="G294" s="5" t="s">
        <v>120</v>
      </c>
      <c r="H294" s="5">
        <v>66</v>
      </c>
      <c r="I294" s="5">
        <v>72.8</v>
      </c>
      <c r="J294" s="5">
        <v>83</v>
      </c>
      <c r="K294" s="5">
        <v>45.9</v>
      </c>
      <c r="L294" s="10">
        <v>0.40625</v>
      </c>
      <c r="M294" s="10">
        <v>0.62013888888888891</v>
      </c>
      <c r="N294" s="11">
        <f t="shared" si="82"/>
        <v>99.84</v>
      </c>
      <c r="O294" s="11">
        <f t="shared" si="174"/>
        <v>99.84</v>
      </c>
      <c r="P294" s="11">
        <f t="shared" si="176"/>
        <v>99.84</v>
      </c>
      <c r="Q294" s="11">
        <f t="shared" si="177"/>
        <v>99.839999999999989</v>
      </c>
      <c r="R294" s="5">
        <v>3</v>
      </c>
      <c r="S294" s="5">
        <v>20</v>
      </c>
      <c r="T294" s="5" t="s">
        <v>4</v>
      </c>
      <c r="U294" s="5" t="s">
        <v>55</v>
      </c>
      <c r="V294" s="5">
        <v>17.100000000000001</v>
      </c>
      <c r="W294" s="5">
        <v>4.5</v>
      </c>
      <c r="X294" s="5">
        <v>60</v>
      </c>
      <c r="Y294" s="5">
        <v>3</v>
      </c>
      <c r="Z294" s="6"/>
      <c r="AA294" s="6"/>
      <c r="AB294" s="6"/>
    </row>
    <row r="295" spans="1:28" ht="16" x14ac:dyDescent="0.2">
      <c r="A295" s="4">
        <v>45813</v>
      </c>
      <c r="B295" s="19">
        <v>25156</v>
      </c>
      <c r="C295" s="5" t="s">
        <v>35</v>
      </c>
      <c r="D295" s="5" t="s">
        <v>145</v>
      </c>
      <c r="E295" s="15">
        <v>42.588641666699999</v>
      </c>
      <c r="F295" s="15">
        <v>-74.521061111099996</v>
      </c>
      <c r="G295" s="5" t="s">
        <v>146</v>
      </c>
      <c r="H295" s="5">
        <v>76.5</v>
      </c>
      <c r="I295" s="5">
        <v>62.1</v>
      </c>
      <c r="J295" s="5" t="s">
        <v>8</v>
      </c>
      <c r="K295" s="5" t="s">
        <v>8</v>
      </c>
      <c r="L295" s="10">
        <v>0.44722222222222224</v>
      </c>
      <c r="M295" s="5" t="s">
        <v>8</v>
      </c>
      <c r="N295" s="11">
        <f t="shared" si="82"/>
        <v>99.84</v>
      </c>
      <c r="O295" s="11">
        <f t="shared" si="174"/>
        <v>99.84</v>
      </c>
      <c r="P295" s="11">
        <f>AVERAGE(96,96,93,96)*1.04</f>
        <v>99.06</v>
      </c>
      <c r="Q295" s="11">
        <f t="shared" si="177"/>
        <v>99.58</v>
      </c>
      <c r="R295" s="5">
        <v>1</v>
      </c>
      <c r="S295" s="5" t="s">
        <v>15</v>
      </c>
      <c r="T295" s="5" t="s">
        <v>9</v>
      </c>
      <c r="U295" s="5" t="s">
        <v>55</v>
      </c>
      <c r="V295" s="5">
        <v>16.3</v>
      </c>
      <c r="W295" s="5" t="s">
        <v>8</v>
      </c>
      <c r="X295" s="5" t="s">
        <v>8</v>
      </c>
      <c r="Y295" s="5">
        <v>2.5</v>
      </c>
      <c r="Z295" s="5"/>
      <c r="AA295" s="5" t="s">
        <v>123</v>
      </c>
      <c r="AB295" s="6"/>
    </row>
    <row r="296" spans="1:28" ht="16" x14ac:dyDescent="0.2">
      <c r="A296" s="4">
        <v>45813</v>
      </c>
      <c r="B296" s="19">
        <v>25156</v>
      </c>
      <c r="C296" s="5" t="s">
        <v>35</v>
      </c>
      <c r="D296" s="5"/>
      <c r="E296" s="15">
        <v>42.588641666699999</v>
      </c>
      <c r="F296" s="15">
        <v>-74.521061111099996</v>
      </c>
      <c r="G296" s="5" t="s">
        <v>146</v>
      </c>
      <c r="H296" s="5">
        <v>76.5</v>
      </c>
      <c r="I296" s="5">
        <v>62.1</v>
      </c>
      <c r="J296" s="5" t="s">
        <v>8</v>
      </c>
      <c r="K296" s="5" t="s">
        <v>8</v>
      </c>
      <c r="L296" s="10">
        <v>0.44722222222222224</v>
      </c>
      <c r="M296" s="5" t="s">
        <v>8</v>
      </c>
      <c r="N296" s="11">
        <f t="shared" si="82"/>
        <v>99.84</v>
      </c>
      <c r="O296" s="11">
        <f t="shared" si="174"/>
        <v>99.84</v>
      </c>
      <c r="P296" s="11">
        <f t="shared" ref="P296:P381" si="178">AVERAGE(96,96,96,96)*1.04</f>
        <v>99.84</v>
      </c>
      <c r="Q296" s="11">
        <f t="shared" si="177"/>
        <v>99.839999999999989</v>
      </c>
      <c r="R296" s="5">
        <v>1</v>
      </c>
      <c r="S296" s="5" t="s">
        <v>15</v>
      </c>
      <c r="T296" s="5" t="s">
        <v>9</v>
      </c>
      <c r="U296" s="5" t="s">
        <v>56</v>
      </c>
      <c r="V296" s="5">
        <v>16.7</v>
      </c>
      <c r="W296" s="5" t="s">
        <v>8</v>
      </c>
      <c r="X296" s="5" t="s">
        <v>8</v>
      </c>
      <c r="Y296" s="5">
        <v>1</v>
      </c>
      <c r="Z296" s="5"/>
      <c r="AA296" s="5" t="s">
        <v>147</v>
      </c>
      <c r="AB296" s="6"/>
    </row>
    <row r="297" spans="1:28" ht="16" x14ac:dyDescent="0.2">
      <c r="A297" s="4">
        <v>45813</v>
      </c>
      <c r="B297" s="19">
        <v>25156</v>
      </c>
      <c r="C297" s="5" t="s">
        <v>35</v>
      </c>
      <c r="D297" s="6"/>
      <c r="E297" s="15">
        <v>42.588641666699999</v>
      </c>
      <c r="F297" s="15">
        <v>-74.521061111099996</v>
      </c>
      <c r="G297" s="5" t="s">
        <v>146</v>
      </c>
      <c r="H297" s="5">
        <v>76.5</v>
      </c>
      <c r="I297" s="5">
        <v>62.1</v>
      </c>
      <c r="J297" s="5" t="s">
        <v>8</v>
      </c>
      <c r="K297" s="5" t="s">
        <v>8</v>
      </c>
      <c r="L297" s="10">
        <v>0.44722222222222224</v>
      </c>
      <c r="M297" s="5" t="s">
        <v>8</v>
      </c>
      <c r="N297" s="11">
        <f t="shared" si="82"/>
        <v>99.84</v>
      </c>
      <c r="O297" s="11">
        <f t="shared" si="174"/>
        <v>99.84</v>
      </c>
      <c r="P297" s="11">
        <f t="shared" si="178"/>
        <v>99.84</v>
      </c>
      <c r="Q297" s="11">
        <f t="shared" si="177"/>
        <v>99.839999999999989</v>
      </c>
      <c r="R297" s="5">
        <v>1</v>
      </c>
      <c r="S297" s="5" t="s">
        <v>15</v>
      </c>
      <c r="T297" s="5" t="s">
        <v>9</v>
      </c>
      <c r="U297" s="5" t="s">
        <v>56</v>
      </c>
      <c r="V297" s="5">
        <v>17.3</v>
      </c>
      <c r="W297" s="5" t="s">
        <v>8</v>
      </c>
      <c r="X297" s="5" t="s">
        <v>8</v>
      </c>
      <c r="Y297" s="5">
        <v>0.5</v>
      </c>
      <c r="Z297" s="5"/>
      <c r="AA297" s="5" t="s">
        <v>148</v>
      </c>
      <c r="AB297" s="6"/>
    </row>
    <row r="298" spans="1:28" ht="16" x14ac:dyDescent="0.2">
      <c r="A298" s="4">
        <v>45813</v>
      </c>
      <c r="B298" s="19">
        <v>25156</v>
      </c>
      <c r="C298" s="5" t="s">
        <v>35</v>
      </c>
      <c r="D298" s="6"/>
      <c r="E298" s="15">
        <v>42.588641666699999</v>
      </c>
      <c r="F298" s="15">
        <v>-74.521061111099996</v>
      </c>
      <c r="G298" s="5" t="s">
        <v>146</v>
      </c>
      <c r="H298" s="5">
        <v>76.5</v>
      </c>
      <c r="I298" s="5">
        <v>62.1</v>
      </c>
      <c r="J298" s="5" t="s">
        <v>8</v>
      </c>
      <c r="K298" s="5" t="s">
        <v>8</v>
      </c>
      <c r="L298" s="10">
        <v>0.44722222222222224</v>
      </c>
      <c r="M298" s="5" t="s">
        <v>8</v>
      </c>
      <c r="N298" s="11">
        <f t="shared" si="82"/>
        <v>99.84</v>
      </c>
      <c r="O298" s="11">
        <f t="shared" si="174"/>
        <v>99.84</v>
      </c>
      <c r="P298" s="11">
        <f t="shared" si="178"/>
        <v>99.84</v>
      </c>
      <c r="Q298" s="11">
        <f t="shared" si="177"/>
        <v>99.839999999999989</v>
      </c>
      <c r="R298" s="5">
        <v>1</v>
      </c>
      <c r="S298" s="5" t="s">
        <v>105</v>
      </c>
      <c r="T298" s="5" t="s">
        <v>9</v>
      </c>
      <c r="U298" s="5" t="s">
        <v>62</v>
      </c>
      <c r="V298" s="5">
        <v>16.399999999999999</v>
      </c>
      <c r="W298" s="5">
        <v>5.6</v>
      </c>
      <c r="X298" s="5">
        <v>58</v>
      </c>
      <c r="Y298" s="5">
        <v>3</v>
      </c>
      <c r="Z298" s="5"/>
      <c r="AA298" s="5" t="s">
        <v>149</v>
      </c>
      <c r="AB298" s="6"/>
    </row>
    <row r="299" spans="1:28" ht="16" x14ac:dyDescent="0.2">
      <c r="A299" s="4">
        <v>45813</v>
      </c>
      <c r="B299" s="19">
        <v>25156</v>
      </c>
      <c r="C299" s="5" t="s">
        <v>35</v>
      </c>
      <c r="D299" s="6"/>
      <c r="E299" s="15">
        <v>42.588641666699999</v>
      </c>
      <c r="F299" s="15">
        <v>-74.521061111099996</v>
      </c>
      <c r="G299" s="5" t="s">
        <v>146</v>
      </c>
      <c r="H299" s="5">
        <v>76.5</v>
      </c>
      <c r="I299" s="5">
        <v>62.1</v>
      </c>
      <c r="J299" s="5" t="s">
        <v>8</v>
      </c>
      <c r="K299" s="5" t="s">
        <v>8</v>
      </c>
      <c r="L299" s="10">
        <v>0.44722222222222224</v>
      </c>
      <c r="M299" s="5" t="s">
        <v>8</v>
      </c>
      <c r="N299" s="11">
        <f t="shared" si="82"/>
        <v>99.84</v>
      </c>
      <c r="O299" s="11">
        <f t="shared" si="174"/>
        <v>99.84</v>
      </c>
      <c r="P299" s="11">
        <f t="shared" si="178"/>
        <v>99.84</v>
      </c>
      <c r="Q299" s="11">
        <f t="shared" si="177"/>
        <v>99.839999999999989</v>
      </c>
      <c r="R299" s="5">
        <v>1</v>
      </c>
      <c r="S299" s="5" t="s">
        <v>105</v>
      </c>
      <c r="T299" s="5" t="s">
        <v>9</v>
      </c>
      <c r="U299" s="5" t="s">
        <v>55</v>
      </c>
      <c r="V299" s="5">
        <v>16.7</v>
      </c>
      <c r="W299" s="5">
        <v>5.2</v>
      </c>
      <c r="X299" s="5">
        <v>69</v>
      </c>
      <c r="Y299" s="5">
        <v>2</v>
      </c>
      <c r="Z299" s="6"/>
      <c r="AA299" s="6"/>
      <c r="AB299" s="6"/>
    </row>
    <row r="300" spans="1:28" ht="16" x14ac:dyDescent="0.2">
      <c r="A300" s="4">
        <v>45813</v>
      </c>
      <c r="B300" s="19">
        <v>25156</v>
      </c>
      <c r="C300" s="5" t="s">
        <v>35</v>
      </c>
      <c r="D300" s="6"/>
      <c r="E300" s="15">
        <v>42.588641666699999</v>
      </c>
      <c r="F300" s="15">
        <v>-74.521061111099996</v>
      </c>
      <c r="G300" s="5" t="s">
        <v>146</v>
      </c>
      <c r="H300" s="5">
        <v>76.5</v>
      </c>
      <c r="I300" s="5">
        <v>62.1</v>
      </c>
      <c r="J300" s="5" t="s">
        <v>8</v>
      </c>
      <c r="K300" s="5" t="s">
        <v>8</v>
      </c>
      <c r="L300" s="10">
        <v>0.44722222222222224</v>
      </c>
      <c r="M300" s="5" t="s">
        <v>8</v>
      </c>
      <c r="N300" s="11">
        <f t="shared" si="82"/>
        <v>99.84</v>
      </c>
      <c r="O300" s="11">
        <f t="shared" si="174"/>
        <v>99.84</v>
      </c>
      <c r="P300" s="11">
        <f t="shared" si="178"/>
        <v>99.84</v>
      </c>
      <c r="Q300" s="11">
        <f t="shared" si="177"/>
        <v>99.839999999999989</v>
      </c>
      <c r="R300" s="5">
        <v>1</v>
      </c>
      <c r="S300" s="5" t="s">
        <v>105</v>
      </c>
      <c r="T300" s="5" t="s">
        <v>9</v>
      </c>
      <c r="U300" s="5" t="s">
        <v>55</v>
      </c>
      <c r="V300" s="5">
        <v>18.7</v>
      </c>
      <c r="W300" s="5">
        <v>6.2</v>
      </c>
      <c r="X300" s="5">
        <v>49</v>
      </c>
      <c r="Y300" s="5">
        <v>3</v>
      </c>
      <c r="Z300" s="6"/>
      <c r="AA300" s="6"/>
      <c r="AB300" s="6"/>
    </row>
    <row r="301" spans="1:28" ht="16" x14ac:dyDescent="0.2">
      <c r="A301" s="4">
        <v>45813</v>
      </c>
      <c r="B301" s="19">
        <v>25156</v>
      </c>
      <c r="C301" s="5" t="s">
        <v>35</v>
      </c>
      <c r="D301" s="6"/>
      <c r="E301" s="15">
        <v>42.588641666699999</v>
      </c>
      <c r="F301" s="15">
        <v>-74.521061111099996</v>
      </c>
      <c r="G301" s="5" t="s">
        <v>146</v>
      </c>
      <c r="H301" s="5">
        <v>76.5</v>
      </c>
      <c r="I301" s="5">
        <v>62.1</v>
      </c>
      <c r="J301" s="5" t="s">
        <v>8</v>
      </c>
      <c r="K301" s="5" t="s">
        <v>8</v>
      </c>
      <c r="L301" s="10">
        <v>0.44722222222222224</v>
      </c>
      <c r="M301" s="5" t="s">
        <v>8</v>
      </c>
      <c r="N301" s="11">
        <f t="shared" si="82"/>
        <v>99.84</v>
      </c>
      <c r="O301" s="11">
        <f t="shared" si="174"/>
        <v>99.84</v>
      </c>
      <c r="P301" s="11">
        <f t="shared" si="178"/>
        <v>99.84</v>
      </c>
      <c r="Q301" s="11">
        <f t="shared" si="177"/>
        <v>99.839999999999989</v>
      </c>
      <c r="R301" s="5">
        <v>1</v>
      </c>
      <c r="S301" s="5" t="s">
        <v>14</v>
      </c>
      <c r="T301" s="5" t="s">
        <v>9</v>
      </c>
      <c r="U301" s="5" t="s">
        <v>55</v>
      </c>
      <c r="V301" s="5">
        <v>16.7</v>
      </c>
      <c r="W301" s="5">
        <v>5.6</v>
      </c>
      <c r="X301" s="5">
        <v>52</v>
      </c>
      <c r="Y301" s="5">
        <v>3.5</v>
      </c>
      <c r="Z301" s="6"/>
      <c r="AA301" s="6"/>
      <c r="AB301" s="6"/>
    </row>
    <row r="302" spans="1:28" ht="16" x14ac:dyDescent="0.2">
      <c r="A302" s="4">
        <v>45813</v>
      </c>
      <c r="B302" s="19">
        <v>25156</v>
      </c>
      <c r="C302" s="5" t="s">
        <v>35</v>
      </c>
      <c r="D302" s="6"/>
      <c r="E302" s="15">
        <v>42.588641666699999</v>
      </c>
      <c r="F302" s="15">
        <v>-74.521061111099996</v>
      </c>
      <c r="G302" s="5" t="s">
        <v>146</v>
      </c>
      <c r="H302" s="5">
        <v>76.5</v>
      </c>
      <c r="I302" s="5">
        <v>62.1</v>
      </c>
      <c r="J302" s="5" t="s">
        <v>8</v>
      </c>
      <c r="K302" s="5" t="s">
        <v>8</v>
      </c>
      <c r="L302" s="10">
        <v>0.44722222222222224</v>
      </c>
      <c r="M302" s="5" t="s">
        <v>8</v>
      </c>
      <c r="N302" s="11">
        <f t="shared" si="82"/>
        <v>99.84</v>
      </c>
      <c r="O302" s="11">
        <f t="shared" si="174"/>
        <v>99.84</v>
      </c>
      <c r="P302" s="11">
        <f t="shared" si="178"/>
        <v>99.84</v>
      </c>
      <c r="Q302" s="11">
        <f t="shared" si="177"/>
        <v>99.839999999999989</v>
      </c>
      <c r="R302" s="5">
        <v>1</v>
      </c>
      <c r="S302" s="5">
        <v>27.1</v>
      </c>
      <c r="T302" s="5" t="s">
        <v>4</v>
      </c>
      <c r="U302" s="5" t="s">
        <v>55</v>
      </c>
      <c r="V302" s="5">
        <v>15.4</v>
      </c>
      <c r="W302" s="5">
        <v>5.8</v>
      </c>
      <c r="X302" s="5">
        <v>75</v>
      </c>
      <c r="Y302" s="5">
        <v>2.5</v>
      </c>
      <c r="Z302" s="6"/>
      <c r="AA302" s="6"/>
      <c r="AB302" s="6"/>
    </row>
    <row r="303" spans="1:28" ht="16" x14ac:dyDescent="0.2">
      <c r="A303" s="4">
        <v>45813</v>
      </c>
      <c r="B303" s="19">
        <v>25156</v>
      </c>
      <c r="C303" s="5" t="s">
        <v>35</v>
      </c>
      <c r="D303" s="6"/>
      <c r="E303" s="15">
        <v>42.588641666699999</v>
      </c>
      <c r="F303" s="15">
        <v>-74.521061111099996</v>
      </c>
      <c r="G303" s="5" t="s">
        <v>146</v>
      </c>
      <c r="H303" s="5">
        <v>76.5</v>
      </c>
      <c r="I303" s="5">
        <v>62.1</v>
      </c>
      <c r="J303" s="5" t="s">
        <v>8</v>
      </c>
      <c r="K303" s="5" t="s">
        <v>8</v>
      </c>
      <c r="L303" s="10">
        <v>0.44722222222222224</v>
      </c>
      <c r="M303" s="5" t="s">
        <v>8</v>
      </c>
      <c r="N303" s="11">
        <f t="shared" si="82"/>
        <v>99.84</v>
      </c>
      <c r="O303" s="11">
        <f t="shared" si="174"/>
        <v>99.84</v>
      </c>
      <c r="P303" s="11">
        <f t="shared" si="178"/>
        <v>99.84</v>
      </c>
      <c r="Q303" s="11">
        <f t="shared" si="177"/>
        <v>99.839999999999989</v>
      </c>
      <c r="R303" s="5">
        <v>1</v>
      </c>
      <c r="S303" s="5" t="s">
        <v>14</v>
      </c>
      <c r="T303" s="5" t="s">
        <v>9</v>
      </c>
      <c r="U303" s="5" t="s">
        <v>55</v>
      </c>
      <c r="V303" s="5">
        <v>18.8</v>
      </c>
      <c r="W303" s="5">
        <v>5.0999999999999996</v>
      </c>
      <c r="X303" s="5">
        <v>85</v>
      </c>
      <c r="Y303" s="5">
        <v>3</v>
      </c>
      <c r="Z303" s="6"/>
      <c r="AA303" s="6"/>
      <c r="AB303" s="6"/>
    </row>
    <row r="304" spans="1:28" ht="16" x14ac:dyDescent="0.2">
      <c r="A304" s="4">
        <v>45813</v>
      </c>
      <c r="B304" s="19">
        <v>25156</v>
      </c>
      <c r="C304" s="5" t="s">
        <v>35</v>
      </c>
      <c r="D304" s="6"/>
      <c r="E304" s="15">
        <v>42.588641666699999</v>
      </c>
      <c r="F304" s="15">
        <v>-74.521061111099996</v>
      </c>
      <c r="G304" s="5" t="s">
        <v>146</v>
      </c>
      <c r="H304" s="5">
        <v>76.5</v>
      </c>
      <c r="I304" s="5">
        <v>62.1</v>
      </c>
      <c r="J304" s="5" t="s">
        <v>8</v>
      </c>
      <c r="K304" s="5" t="s">
        <v>8</v>
      </c>
      <c r="L304" s="10">
        <v>0.44722222222222224</v>
      </c>
      <c r="M304" s="5" t="s">
        <v>8</v>
      </c>
      <c r="N304" s="11">
        <f t="shared" si="82"/>
        <v>99.84</v>
      </c>
      <c r="O304" s="11">
        <f t="shared" si="174"/>
        <v>99.84</v>
      </c>
      <c r="P304" s="11">
        <f t="shared" si="178"/>
        <v>99.84</v>
      </c>
      <c r="Q304" s="11">
        <f t="shared" si="177"/>
        <v>99.839999999999989</v>
      </c>
      <c r="R304" s="5">
        <v>1</v>
      </c>
      <c r="S304" s="5" t="s">
        <v>14</v>
      </c>
      <c r="T304" s="5" t="s">
        <v>9</v>
      </c>
      <c r="U304" s="5" t="s">
        <v>55</v>
      </c>
      <c r="V304" s="5">
        <v>18.600000000000001</v>
      </c>
      <c r="W304" s="5">
        <v>5.3</v>
      </c>
      <c r="X304" s="5">
        <v>78</v>
      </c>
      <c r="Y304" s="5">
        <v>3.5</v>
      </c>
      <c r="Z304" s="6"/>
      <c r="AA304" s="6"/>
      <c r="AB304" s="6"/>
    </row>
    <row r="305" spans="1:28" ht="16" x14ac:dyDescent="0.2">
      <c r="A305" s="4">
        <v>45813</v>
      </c>
      <c r="B305" s="19">
        <v>25156</v>
      </c>
      <c r="C305" s="5" t="s">
        <v>35</v>
      </c>
      <c r="D305" s="6"/>
      <c r="E305" s="15">
        <v>42.588641666699999</v>
      </c>
      <c r="F305" s="15">
        <v>-74.521061111099996</v>
      </c>
      <c r="G305" s="5" t="s">
        <v>146</v>
      </c>
      <c r="H305" s="5">
        <v>76.5</v>
      </c>
      <c r="I305" s="5">
        <v>62.1</v>
      </c>
      <c r="J305" s="5" t="s">
        <v>8</v>
      </c>
      <c r="K305" s="5" t="s">
        <v>8</v>
      </c>
      <c r="L305" s="10">
        <v>0.44722222222222224</v>
      </c>
      <c r="M305" s="5" t="s">
        <v>8</v>
      </c>
      <c r="N305" s="11">
        <f t="shared" si="82"/>
        <v>99.84</v>
      </c>
      <c r="O305" s="11">
        <f t="shared" si="174"/>
        <v>99.84</v>
      </c>
      <c r="P305" s="11">
        <f t="shared" si="178"/>
        <v>99.84</v>
      </c>
      <c r="Q305" s="11">
        <f t="shared" si="177"/>
        <v>99.839999999999989</v>
      </c>
      <c r="R305" s="5">
        <v>1</v>
      </c>
      <c r="S305" s="5">
        <v>20.6</v>
      </c>
      <c r="T305" s="5" t="s">
        <v>4</v>
      </c>
      <c r="U305" s="5" t="s">
        <v>55</v>
      </c>
      <c r="V305" s="5">
        <v>20</v>
      </c>
      <c r="W305" s="5">
        <v>5.4</v>
      </c>
      <c r="X305" s="5">
        <v>81</v>
      </c>
      <c r="Y305" s="5">
        <v>2.5</v>
      </c>
      <c r="Z305" s="6"/>
      <c r="AA305" s="6"/>
      <c r="AB305" s="6"/>
    </row>
    <row r="306" spans="1:28" ht="16" x14ac:dyDescent="0.2">
      <c r="A306" s="4">
        <v>45813</v>
      </c>
      <c r="B306" s="19">
        <v>25156</v>
      </c>
      <c r="C306" s="5" t="s">
        <v>35</v>
      </c>
      <c r="D306" s="6"/>
      <c r="E306" s="15">
        <v>42.588641666699999</v>
      </c>
      <c r="F306" s="15">
        <v>-74.521061111099996</v>
      </c>
      <c r="G306" s="5" t="s">
        <v>146</v>
      </c>
      <c r="H306" s="5">
        <v>76.5</v>
      </c>
      <c r="I306" s="5">
        <v>62.1</v>
      </c>
      <c r="J306" s="5" t="s">
        <v>8</v>
      </c>
      <c r="K306" s="5" t="s">
        <v>8</v>
      </c>
      <c r="L306" s="10">
        <v>0.44722222222222224</v>
      </c>
      <c r="M306" s="5" t="s">
        <v>8</v>
      </c>
      <c r="N306" s="11">
        <f t="shared" si="82"/>
        <v>99.84</v>
      </c>
      <c r="O306" s="11">
        <f t="shared" si="174"/>
        <v>99.84</v>
      </c>
      <c r="P306" s="11">
        <f t="shared" si="178"/>
        <v>99.84</v>
      </c>
      <c r="Q306" s="11">
        <f t="shared" si="177"/>
        <v>99.839999999999989</v>
      </c>
      <c r="R306" s="5">
        <v>2</v>
      </c>
      <c r="S306" s="5" t="s">
        <v>15</v>
      </c>
      <c r="T306" s="5" t="s">
        <v>9</v>
      </c>
      <c r="U306" s="5" t="s">
        <v>55</v>
      </c>
      <c r="V306" s="5">
        <v>15.4</v>
      </c>
      <c r="W306" s="5" t="s">
        <v>8</v>
      </c>
      <c r="X306" s="5" t="s">
        <v>8</v>
      </c>
      <c r="Y306" s="5">
        <v>2.5</v>
      </c>
      <c r="Z306" s="5"/>
      <c r="AA306" s="5" t="s">
        <v>123</v>
      </c>
      <c r="AB306" s="6"/>
    </row>
    <row r="307" spans="1:28" ht="16" x14ac:dyDescent="0.2">
      <c r="A307" s="4">
        <v>45813</v>
      </c>
      <c r="B307" s="19">
        <v>25156</v>
      </c>
      <c r="C307" s="5" t="s">
        <v>35</v>
      </c>
      <c r="D307" s="6"/>
      <c r="E307" s="15">
        <v>42.588641666699999</v>
      </c>
      <c r="F307" s="15">
        <v>-74.521061111099996</v>
      </c>
      <c r="G307" s="5" t="s">
        <v>146</v>
      </c>
      <c r="H307" s="5">
        <v>76.5</v>
      </c>
      <c r="I307" s="5">
        <v>62.1</v>
      </c>
      <c r="J307" s="5" t="s">
        <v>8</v>
      </c>
      <c r="K307" s="5" t="s">
        <v>8</v>
      </c>
      <c r="L307" s="10">
        <v>0.44722222222222224</v>
      </c>
      <c r="M307" s="5" t="s">
        <v>8</v>
      </c>
      <c r="N307" s="11">
        <f t="shared" si="82"/>
        <v>99.84</v>
      </c>
      <c r="O307" s="11">
        <f t="shared" si="174"/>
        <v>99.84</v>
      </c>
      <c r="P307" s="11">
        <f t="shared" si="178"/>
        <v>99.84</v>
      </c>
      <c r="Q307" s="11">
        <f t="shared" si="177"/>
        <v>99.839999999999989</v>
      </c>
      <c r="R307" s="5">
        <v>2</v>
      </c>
      <c r="S307" s="5" t="s">
        <v>15</v>
      </c>
      <c r="T307" s="5" t="s">
        <v>9</v>
      </c>
      <c r="U307" s="5" t="s">
        <v>56</v>
      </c>
      <c r="V307" s="5">
        <v>16.399999999999999</v>
      </c>
      <c r="W307" s="5" t="s">
        <v>8</v>
      </c>
      <c r="X307" s="5" t="s">
        <v>8</v>
      </c>
      <c r="Y307" s="5">
        <v>3.5</v>
      </c>
      <c r="Z307" s="5"/>
      <c r="AA307" s="5" t="s">
        <v>123</v>
      </c>
      <c r="AB307" s="6"/>
    </row>
    <row r="308" spans="1:28" ht="16" x14ac:dyDescent="0.2">
      <c r="A308" s="4">
        <v>45813</v>
      </c>
      <c r="B308" s="19">
        <v>25156</v>
      </c>
      <c r="C308" s="5" t="s">
        <v>35</v>
      </c>
      <c r="D308" s="6"/>
      <c r="E308" s="15">
        <v>42.588641666699999</v>
      </c>
      <c r="F308" s="15">
        <v>-74.521061111099996</v>
      </c>
      <c r="G308" s="5" t="s">
        <v>146</v>
      </c>
      <c r="H308" s="5">
        <v>76.5</v>
      </c>
      <c r="I308" s="5">
        <v>62.1</v>
      </c>
      <c r="J308" s="5" t="s">
        <v>8</v>
      </c>
      <c r="K308" s="5" t="s">
        <v>8</v>
      </c>
      <c r="L308" s="10">
        <v>0.44722222222222224</v>
      </c>
      <c r="M308" s="5" t="s">
        <v>8</v>
      </c>
      <c r="N308" s="11">
        <f t="shared" si="82"/>
        <v>99.84</v>
      </c>
      <c r="O308" s="11">
        <f t="shared" si="174"/>
        <v>99.84</v>
      </c>
      <c r="P308" s="11">
        <f t="shared" si="178"/>
        <v>99.84</v>
      </c>
      <c r="Q308" s="11">
        <f t="shared" si="177"/>
        <v>99.839999999999989</v>
      </c>
      <c r="R308" s="5">
        <v>2</v>
      </c>
      <c r="S308" s="5" t="s">
        <v>15</v>
      </c>
      <c r="T308" s="5" t="s">
        <v>9</v>
      </c>
      <c r="U308" s="5" t="s">
        <v>55</v>
      </c>
      <c r="V308" s="5">
        <v>17.7</v>
      </c>
      <c r="W308" s="5" t="s">
        <v>8</v>
      </c>
      <c r="X308" s="5" t="s">
        <v>8</v>
      </c>
      <c r="Y308" s="5">
        <v>3</v>
      </c>
      <c r="Z308" s="5"/>
      <c r="AA308" s="5" t="s">
        <v>123</v>
      </c>
      <c r="AB308" s="6"/>
    </row>
    <row r="309" spans="1:28" ht="16" x14ac:dyDescent="0.2">
      <c r="A309" s="4">
        <v>45813</v>
      </c>
      <c r="B309" s="19">
        <v>25156</v>
      </c>
      <c r="C309" s="5" t="s">
        <v>35</v>
      </c>
      <c r="D309" s="6"/>
      <c r="E309" s="15">
        <v>42.588641666699999</v>
      </c>
      <c r="F309" s="15">
        <v>-74.521061111099996</v>
      </c>
      <c r="G309" s="5" t="s">
        <v>146</v>
      </c>
      <c r="H309" s="5">
        <v>76.5</v>
      </c>
      <c r="I309" s="5">
        <v>62.1</v>
      </c>
      <c r="J309" s="5" t="s">
        <v>8</v>
      </c>
      <c r="K309" s="5" t="s">
        <v>8</v>
      </c>
      <c r="L309" s="10">
        <v>0.44722222222222224</v>
      </c>
      <c r="M309" s="5" t="s">
        <v>8</v>
      </c>
      <c r="N309" s="11">
        <f t="shared" si="82"/>
        <v>99.84</v>
      </c>
      <c r="O309" s="11">
        <f t="shared" si="174"/>
        <v>99.84</v>
      </c>
      <c r="P309" s="11">
        <f t="shared" si="178"/>
        <v>99.84</v>
      </c>
      <c r="Q309" s="11">
        <f t="shared" si="177"/>
        <v>99.839999999999989</v>
      </c>
      <c r="R309" s="5">
        <v>2</v>
      </c>
      <c r="S309" s="5" t="s">
        <v>105</v>
      </c>
      <c r="T309" s="5" t="s">
        <v>9</v>
      </c>
      <c r="U309" s="5" t="s">
        <v>55</v>
      </c>
      <c r="V309" s="5">
        <v>20.2</v>
      </c>
      <c r="W309" s="5">
        <v>5.6</v>
      </c>
      <c r="X309" s="5">
        <v>70</v>
      </c>
      <c r="Y309" s="5">
        <v>3</v>
      </c>
      <c r="Z309" s="6"/>
      <c r="AA309" s="6"/>
      <c r="AB309" s="6"/>
    </row>
    <row r="310" spans="1:28" ht="16" x14ac:dyDescent="0.2">
      <c r="A310" s="4">
        <v>45813</v>
      </c>
      <c r="B310" s="19">
        <v>25156</v>
      </c>
      <c r="C310" s="5" t="s">
        <v>35</v>
      </c>
      <c r="D310" s="6"/>
      <c r="E310" s="15">
        <v>42.588641666699999</v>
      </c>
      <c r="F310" s="15">
        <v>-74.521061111099996</v>
      </c>
      <c r="G310" s="5" t="s">
        <v>146</v>
      </c>
      <c r="H310" s="5">
        <v>76.5</v>
      </c>
      <c r="I310" s="5">
        <v>62.1</v>
      </c>
      <c r="J310" s="5" t="s">
        <v>8</v>
      </c>
      <c r="K310" s="5" t="s">
        <v>8</v>
      </c>
      <c r="L310" s="10">
        <v>0.44722222222222224</v>
      </c>
      <c r="M310" s="5" t="s">
        <v>8</v>
      </c>
      <c r="N310" s="11">
        <f t="shared" si="82"/>
        <v>99.84</v>
      </c>
      <c r="O310" s="11">
        <f t="shared" si="174"/>
        <v>99.84</v>
      </c>
      <c r="P310" s="11">
        <f t="shared" si="178"/>
        <v>99.84</v>
      </c>
      <c r="Q310" s="11">
        <f t="shared" si="177"/>
        <v>99.839999999999989</v>
      </c>
      <c r="R310" s="5">
        <v>2</v>
      </c>
      <c r="S310" s="5" t="s">
        <v>105</v>
      </c>
      <c r="T310" s="5" t="s">
        <v>9</v>
      </c>
      <c r="U310" s="5" t="s">
        <v>55</v>
      </c>
      <c r="V310" s="5">
        <v>20</v>
      </c>
      <c r="W310" s="5">
        <v>5.8</v>
      </c>
      <c r="X310" s="5">
        <v>70</v>
      </c>
      <c r="Y310" s="5">
        <v>3</v>
      </c>
      <c r="Z310" s="6"/>
      <c r="AA310" s="6"/>
      <c r="AB310" s="6"/>
    </row>
    <row r="311" spans="1:28" ht="16" x14ac:dyDescent="0.2">
      <c r="A311" s="4">
        <v>45813</v>
      </c>
      <c r="B311" s="19">
        <v>25156</v>
      </c>
      <c r="C311" s="5" t="s">
        <v>35</v>
      </c>
      <c r="D311" s="6"/>
      <c r="E311" s="15">
        <v>42.588641666699999</v>
      </c>
      <c r="F311" s="15">
        <v>-74.521061111099996</v>
      </c>
      <c r="G311" s="5" t="s">
        <v>146</v>
      </c>
      <c r="H311" s="5">
        <v>76.5</v>
      </c>
      <c r="I311" s="5">
        <v>62.1</v>
      </c>
      <c r="J311" s="5" t="s">
        <v>8</v>
      </c>
      <c r="K311" s="5" t="s">
        <v>8</v>
      </c>
      <c r="L311" s="10">
        <v>0.44722222222222224</v>
      </c>
      <c r="M311" s="5" t="s">
        <v>8</v>
      </c>
      <c r="N311" s="11">
        <f t="shared" si="82"/>
        <v>99.84</v>
      </c>
      <c r="O311" s="11">
        <f t="shared" si="174"/>
        <v>99.84</v>
      </c>
      <c r="P311" s="11">
        <f t="shared" si="178"/>
        <v>99.84</v>
      </c>
      <c r="Q311" s="11">
        <f t="shared" si="177"/>
        <v>99.839999999999989</v>
      </c>
      <c r="R311" s="5">
        <v>2</v>
      </c>
      <c r="S311" s="5" t="s">
        <v>105</v>
      </c>
      <c r="T311" s="5" t="s">
        <v>9</v>
      </c>
      <c r="U311" s="5" t="s">
        <v>55</v>
      </c>
      <c r="V311" s="5">
        <v>17.899999999999999</v>
      </c>
      <c r="W311" s="5">
        <v>5.8</v>
      </c>
      <c r="X311" s="5">
        <v>78</v>
      </c>
      <c r="Y311" s="5">
        <v>3.5</v>
      </c>
      <c r="Z311" s="6"/>
      <c r="AA311" s="6"/>
      <c r="AB311" s="6"/>
    </row>
    <row r="312" spans="1:28" ht="16" x14ac:dyDescent="0.2">
      <c r="A312" s="4">
        <v>45813</v>
      </c>
      <c r="B312" s="19">
        <v>25156</v>
      </c>
      <c r="C312" s="5" t="s">
        <v>35</v>
      </c>
      <c r="D312" s="6"/>
      <c r="E312" s="15">
        <v>42.588641666699999</v>
      </c>
      <c r="F312" s="15">
        <v>-74.521061111099996</v>
      </c>
      <c r="G312" s="5" t="s">
        <v>146</v>
      </c>
      <c r="H312" s="5">
        <v>76.5</v>
      </c>
      <c r="I312" s="5">
        <v>62.1</v>
      </c>
      <c r="J312" s="5" t="s">
        <v>8</v>
      </c>
      <c r="K312" s="5" t="s">
        <v>8</v>
      </c>
      <c r="L312" s="10">
        <v>0.44722222222222224</v>
      </c>
      <c r="M312" s="5" t="s">
        <v>8</v>
      </c>
      <c r="N312" s="11">
        <f t="shared" si="82"/>
        <v>99.84</v>
      </c>
      <c r="O312" s="11">
        <f t="shared" si="174"/>
        <v>99.84</v>
      </c>
      <c r="P312" s="11">
        <f t="shared" si="178"/>
        <v>99.84</v>
      </c>
      <c r="Q312" s="11">
        <f t="shared" si="177"/>
        <v>99.839999999999989</v>
      </c>
      <c r="R312" s="5">
        <v>2</v>
      </c>
      <c r="S312" s="5" t="s">
        <v>14</v>
      </c>
      <c r="T312" s="5" t="s">
        <v>9</v>
      </c>
      <c r="U312" s="5" t="s">
        <v>55</v>
      </c>
      <c r="V312" s="5">
        <v>19.100000000000001</v>
      </c>
      <c r="W312" s="5">
        <v>5.5</v>
      </c>
      <c r="X312" s="5">
        <v>60</v>
      </c>
      <c r="Y312" s="5">
        <v>4</v>
      </c>
      <c r="Z312" s="6"/>
      <c r="AA312" s="6"/>
      <c r="AB312" s="6"/>
    </row>
    <row r="313" spans="1:28" ht="16" x14ac:dyDescent="0.2">
      <c r="A313" s="4">
        <v>45813</v>
      </c>
      <c r="B313" s="19">
        <v>25156</v>
      </c>
      <c r="C313" s="5" t="s">
        <v>35</v>
      </c>
      <c r="D313" s="6"/>
      <c r="E313" s="15">
        <v>42.588641666699999</v>
      </c>
      <c r="F313" s="15">
        <v>-74.521061111099996</v>
      </c>
      <c r="G313" s="5" t="s">
        <v>146</v>
      </c>
      <c r="H313" s="5">
        <v>76.5</v>
      </c>
      <c r="I313" s="5">
        <v>62.1</v>
      </c>
      <c r="J313" s="5" t="s">
        <v>8</v>
      </c>
      <c r="K313" s="5" t="s">
        <v>8</v>
      </c>
      <c r="L313" s="10">
        <v>0.44722222222222224</v>
      </c>
      <c r="M313" s="5" t="s">
        <v>8</v>
      </c>
      <c r="N313" s="11">
        <f t="shared" si="82"/>
        <v>99.84</v>
      </c>
      <c r="O313" s="11">
        <f t="shared" si="174"/>
        <v>99.84</v>
      </c>
      <c r="P313" s="11">
        <f t="shared" si="178"/>
        <v>99.84</v>
      </c>
      <c r="Q313" s="11">
        <f t="shared" si="177"/>
        <v>99.839999999999989</v>
      </c>
      <c r="R313" s="5">
        <v>2</v>
      </c>
      <c r="S313" s="5" t="s">
        <v>14</v>
      </c>
      <c r="T313" s="5" t="s">
        <v>9</v>
      </c>
      <c r="U313" s="5" t="s">
        <v>55</v>
      </c>
      <c r="V313" s="5">
        <v>19.600000000000001</v>
      </c>
      <c r="W313" s="5">
        <v>6.2</v>
      </c>
      <c r="X313" s="5">
        <v>58</v>
      </c>
      <c r="Y313" s="5">
        <v>2.5</v>
      </c>
      <c r="Z313" s="6"/>
      <c r="AA313" s="6"/>
      <c r="AB313" s="6"/>
    </row>
    <row r="314" spans="1:28" ht="16" x14ac:dyDescent="0.2">
      <c r="A314" s="4">
        <v>45813</v>
      </c>
      <c r="B314" s="19">
        <v>25156</v>
      </c>
      <c r="C314" s="5" t="s">
        <v>35</v>
      </c>
      <c r="D314" s="6"/>
      <c r="E314" s="15">
        <v>42.588641666699999</v>
      </c>
      <c r="F314" s="15">
        <v>-74.521061111099996</v>
      </c>
      <c r="G314" s="5" t="s">
        <v>146</v>
      </c>
      <c r="H314" s="5">
        <v>76.5</v>
      </c>
      <c r="I314" s="5">
        <v>62.1</v>
      </c>
      <c r="J314" s="5" t="s">
        <v>8</v>
      </c>
      <c r="K314" s="5" t="s">
        <v>8</v>
      </c>
      <c r="L314" s="10">
        <v>0.44722222222222224</v>
      </c>
      <c r="M314" s="5" t="s">
        <v>8</v>
      </c>
      <c r="N314" s="11">
        <f t="shared" si="82"/>
        <v>99.84</v>
      </c>
      <c r="O314" s="11">
        <f t="shared" si="174"/>
        <v>99.84</v>
      </c>
      <c r="P314" s="11">
        <f t="shared" si="178"/>
        <v>99.84</v>
      </c>
      <c r="Q314" s="11">
        <f t="shared" si="177"/>
        <v>99.839999999999989</v>
      </c>
      <c r="R314" s="5">
        <v>2</v>
      </c>
      <c r="S314" s="5" t="s">
        <v>14</v>
      </c>
      <c r="T314" s="5" t="s">
        <v>9</v>
      </c>
      <c r="U314" s="5" t="s">
        <v>55</v>
      </c>
      <c r="V314" s="5">
        <v>21.7</v>
      </c>
      <c r="W314" s="5">
        <v>5.3</v>
      </c>
      <c r="X314" s="5">
        <v>90</v>
      </c>
      <c r="Y314" s="5">
        <v>2.5</v>
      </c>
      <c r="Z314" s="6"/>
      <c r="AA314" s="6"/>
      <c r="AB314" s="6"/>
    </row>
    <row r="315" spans="1:28" ht="16" x14ac:dyDescent="0.2">
      <c r="A315" s="4">
        <v>45813</v>
      </c>
      <c r="B315" s="19">
        <v>25156</v>
      </c>
      <c r="C315" s="5" t="s">
        <v>35</v>
      </c>
      <c r="D315" s="6"/>
      <c r="E315" s="15">
        <v>42.588641666699999</v>
      </c>
      <c r="F315" s="15">
        <v>-74.521061111099996</v>
      </c>
      <c r="G315" s="5" t="s">
        <v>146</v>
      </c>
      <c r="H315" s="5">
        <v>76.5</v>
      </c>
      <c r="I315" s="5">
        <v>62.1</v>
      </c>
      <c r="J315" s="5" t="s">
        <v>8</v>
      </c>
      <c r="K315" s="5" t="s">
        <v>8</v>
      </c>
      <c r="L315" s="10">
        <v>0.44722222222222224</v>
      </c>
      <c r="M315" s="5" t="s">
        <v>8</v>
      </c>
      <c r="N315" s="11">
        <f t="shared" si="82"/>
        <v>99.84</v>
      </c>
      <c r="O315" s="11">
        <f t="shared" si="174"/>
        <v>99.84</v>
      </c>
      <c r="P315" s="11">
        <f t="shared" si="178"/>
        <v>99.84</v>
      </c>
      <c r="Q315" s="11">
        <f t="shared" si="177"/>
        <v>99.839999999999989</v>
      </c>
      <c r="R315" s="5">
        <v>2</v>
      </c>
      <c r="S315" s="5">
        <v>10.8</v>
      </c>
      <c r="T315" s="5" t="s">
        <v>4</v>
      </c>
      <c r="U315" s="5" t="s">
        <v>55</v>
      </c>
      <c r="V315" s="5">
        <v>19</v>
      </c>
      <c r="W315" s="5">
        <v>5.6</v>
      </c>
      <c r="X315" s="5">
        <v>68</v>
      </c>
      <c r="Y315" s="5">
        <v>2</v>
      </c>
      <c r="Z315" s="6"/>
      <c r="AA315" s="6"/>
      <c r="AB315" s="6"/>
    </row>
    <row r="316" spans="1:28" ht="16" x14ac:dyDescent="0.2">
      <c r="A316" s="4">
        <v>45813</v>
      </c>
      <c r="B316" s="19">
        <v>25156</v>
      </c>
      <c r="C316" s="5" t="s">
        <v>35</v>
      </c>
      <c r="D316" s="6"/>
      <c r="E316" s="15">
        <v>42.588641666699999</v>
      </c>
      <c r="F316" s="15">
        <v>-74.521061111099996</v>
      </c>
      <c r="G316" s="5" t="s">
        <v>146</v>
      </c>
      <c r="H316" s="5">
        <v>76.5</v>
      </c>
      <c r="I316" s="5">
        <v>62.1</v>
      </c>
      <c r="J316" s="5" t="s">
        <v>8</v>
      </c>
      <c r="K316" s="5" t="s">
        <v>8</v>
      </c>
      <c r="L316" s="10">
        <v>0.44722222222222224</v>
      </c>
      <c r="M316" s="5" t="s">
        <v>8</v>
      </c>
      <c r="N316" s="11">
        <f t="shared" si="82"/>
        <v>99.84</v>
      </c>
      <c r="O316" s="11">
        <f t="shared" si="174"/>
        <v>99.84</v>
      </c>
      <c r="P316" s="11">
        <f t="shared" si="178"/>
        <v>99.84</v>
      </c>
      <c r="Q316" s="11">
        <f t="shared" si="177"/>
        <v>99.839999999999989</v>
      </c>
      <c r="R316" s="5">
        <v>3</v>
      </c>
      <c r="S316" s="5" t="s">
        <v>15</v>
      </c>
      <c r="T316" s="5" t="s">
        <v>9</v>
      </c>
      <c r="U316" s="5" t="s">
        <v>56</v>
      </c>
      <c r="V316" s="5">
        <v>19.8</v>
      </c>
      <c r="W316" s="5" t="s">
        <v>8</v>
      </c>
      <c r="X316" s="5" t="s">
        <v>8</v>
      </c>
      <c r="Y316" s="5">
        <v>2</v>
      </c>
      <c r="Z316" s="5"/>
      <c r="AA316" s="5" t="s">
        <v>150</v>
      </c>
      <c r="AB316" s="6"/>
    </row>
    <row r="317" spans="1:28" ht="16" x14ac:dyDescent="0.2">
      <c r="A317" s="4">
        <v>45813</v>
      </c>
      <c r="B317" s="19">
        <v>25156</v>
      </c>
      <c r="C317" s="5" t="s">
        <v>35</v>
      </c>
      <c r="D317" s="6"/>
      <c r="E317" s="15">
        <v>42.588641666699999</v>
      </c>
      <c r="F317" s="15">
        <v>-74.521061111099996</v>
      </c>
      <c r="G317" s="5" t="s">
        <v>146</v>
      </c>
      <c r="H317" s="5">
        <v>76.5</v>
      </c>
      <c r="I317" s="5">
        <v>62.1</v>
      </c>
      <c r="J317" s="5" t="s">
        <v>8</v>
      </c>
      <c r="K317" s="5" t="s">
        <v>8</v>
      </c>
      <c r="L317" s="10">
        <v>0.44722222222222224</v>
      </c>
      <c r="M317" s="5" t="s">
        <v>8</v>
      </c>
      <c r="N317" s="11">
        <f t="shared" si="82"/>
        <v>99.84</v>
      </c>
      <c r="O317" s="11">
        <f t="shared" si="174"/>
        <v>99.84</v>
      </c>
      <c r="P317" s="11">
        <f t="shared" si="178"/>
        <v>99.84</v>
      </c>
      <c r="Q317" s="11">
        <f t="shared" si="177"/>
        <v>99.839999999999989</v>
      </c>
      <c r="R317" s="5">
        <v>3</v>
      </c>
      <c r="S317" s="5" t="s">
        <v>15</v>
      </c>
      <c r="T317" s="5" t="s">
        <v>9</v>
      </c>
      <c r="U317" s="5" t="s">
        <v>56</v>
      </c>
      <c r="V317" s="5">
        <v>17.600000000000001</v>
      </c>
      <c r="W317" s="5" t="s">
        <v>8</v>
      </c>
      <c r="X317" s="5" t="s">
        <v>8</v>
      </c>
      <c r="Y317" s="5">
        <v>2</v>
      </c>
      <c r="Z317" s="5"/>
      <c r="AA317" s="5" t="s">
        <v>123</v>
      </c>
      <c r="AB317" s="6"/>
    </row>
    <row r="318" spans="1:28" ht="16" x14ac:dyDescent="0.2">
      <c r="A318" s="4">
        <v>45813</v>
      </c>
      <c r="B318" s="19">
        <v>25156</v>
      </c>
      <c r="C318" s="5" t="s">
        <v>35</v>
      </c>
      <c r="D318" s="6"/>
      <c r="E318" s="15">
        <v>42.588641666699999</v>
      </c>
      <c r="F318" s="15">
        <v>-74.521061111099996</v>
      </c>
      <c r="G318" s="5" t="s">
        <v>146</v>
      </c>
      <c r="H318" s="5">
        <v>76.5</v>
      </c>
      <c r="I318" s="5">
        <v>62.1</v>
      </c>
      <c r="J318" s="5" t="s">
        <v>8</v>
      </c>
      <c r="K318" s="5" t="s">
        <v>8</v>
      </c>
      <c r="L318" s="10">
        <v>0.44722222222222224</v>
      </c>
      <c r="M318" s="5" t="s">
        <v>8</v>
      </c>
      <c r="N318" s="11">
        <f t="shared" si="82"/>
        <v>99.84</v>
      </c>
      <c r="O318" s="11">
        <f t="shared" si="174"/>
        <v>99.84</v>
      </c>
      <c r="P318" s="11">
        <f t="shared" si="178"/>
        <v>99.84</v>
      </c>
      <c r="Q318" s="11">
        <f t="shared" si="177"/>
        <v>99.839999999999989</v>
      </c>
      <c r="R318" s="5">
        <v>3</v>
      </c>
      <c r="S318" s="5" t="s">
        <v>15</v>
      </c>
      <c r="T318" s="5" t="s">
        <v>9</v>
      </c>
      <c r="U318" s="5" t="s">
        <v>55</v>
      </c>
      <c r="V318" s="5">
        <v>16</v>
      </c>
      <c r="W318" s="5">
        <v>6.4</v>
      </c>
      <c r="X318" s="5">
        <v>60</v>
      </c>
      <c r="Y318" s="5">
        <v>3</v>
      </c>
      <c r="Z318" s="6"/>
      <c r="AA318" s="6"/>
      <c r="AB318" s="6"/>
    </row>
    <row r="319" spans="1:28" ht="16" x14ac:dyDescent="0.2">
      <c r="A319" s="4">
        <v>45813</v>
      </c>
      <c r="B319" s="19">
        <v>25156</v>
      </c>
      <c r="C319" s="5" t="s">
        <v>35</v>
      </c>
      <c r="D319" s="6"/>
      <c r="E319" s="15">
        <v>42.588641666699999</v>
      </c>
      <c r="F319" s="15">
        <v>-74.521061111099996</v>
      </c>
      <c r="G319" s="5" t="s">
        <v>146</v>
      </c>
      <c r="H319" s="5">
        <v>76.5</v>
      </c>
      <c r="I319" s="5">
        <v>62.1</v>
      </c>
      <c r="J319" s="5" t="s">
        <v>8</v>
      </c>
      <c r="K319" s="5" t="s">
        <v>8</v>
      </c>
      <c r="L319" s="10">
        <v>0.44722222222222224</v>
      </c>
      <c r="M319" s="5" t="s">
        <v>8</v>
      </c>
      <c r="N319" s="11">
        <f t="shared" si="82"/>
        <v>99.84</v>
      </c>
      <c r="O319" s="11">
        <f t="shared" si="174"/>
        <v>99.84</v>
      </c>
      <c r="P319" s="11">
        <f t="shared" si="178"/>
        <v>99.84</v>
      </c>
      <c r="Q319" s="11">
        <f t="shared" si="177"/>
        <v>99.839999999999989</v>
      </c>
      <c r="R319" s="5">
        <v>3</v>
      </c>
      <c r="S319" s="5" t="s">
        <v>105</v>
      </c>
      <c r="T319" s="5" t="s">
        <v>9</v>
      </c>
      <c r="U319" s="5" t="s">
        <v>55</v>
      </c>
      <c r="V319" s="5">
        <v>19.8</v>
      </c>
      <c r="W319" s="5">
        <v>5.5</v>
      </c>
      <c r="X319" s="5">
        <v>65</v>
      </c>
      <c r="Y319" s="5">
        <v>3</v>
      </c>
      <c r="Z319" s="6"/>
      <c r="AA319" s="6"/>
      <c r="AB319" s="6"/>
    </row>
    <row r="320" spans="1:28" ht="16" x14ac:dyDescent="0.2">
      <c r="A320" s="4">
        <v>45813</v>
      </c>
      <c r="B320" s="19">
        <v>25156</v>
      </c>
      <c r="C320" s="5" t="s">
        <v>35</v>
      </c>
      <c r="D320" s="6"/>
      <c r="E320" s="15">
        <v>42.588641666699999</v>
      </c>
      <c r="F320" s="15">
        <v>-74.521061111099996</v>
      </c>
      <c r="G320" s="5" t="s">
        <v>146</v>
      </c>
      <c r="H320" s="5">
        <v>76.5</v>
      </c>
      <c r="I320" s="5">
        <v>62.1</v>
      </c>
      <c r="J320" s="5" t="s">
        <v>8</v>
      </c>
      <c r="K320" s="5" t="s">
        <v>8</v>
      </c>
      <c r="L320" s="10">
        <v>0.44722222222222224</v>
      </c>
      <c r="M320" s="5" t="s">
        <v>8</v>
      </c>
      <c r="N320" s="11">
        <f t="shared" si="82"/>
        <v>99.84</v>
      </c>
      <c r="O320" s="11">
        <f t="shared" si="174"/>
        <v>99.84</v>
      </c>
      <c r="P320" s="11">
        <f t="shared" si="178"/>
        <v>99.84</v>
      </c>
      <c r="Q320" s="11">
        <f t="shared" si="177"/>
        <v>99.839999999999989</v>
      </c>
      <c r="R320" s="5">
        <v>3</v>
      </c>
      <c r="S320" s="5" t="s">
        <v>105</v>
      </c>
      <c r="T320" s="5" t="s">
        <v>9</v>
      </c>
      <c r="U320" s="5" t="s">
        <v>55</v>
      </c>
      <c r="V320" s="5">
        <v>19.399999999999999</v>
      </c>
      <c r="W320" s="5">
        <v>6.2</v>
      </c>
      <c r="X320" s="5">
        <v>49</v>
      </c>
      <c r="Y320" s="5">
        <v>1.5</v>
      </c>
      <c r="Z320" s="6"/>
      <c r="AA320" s="6"/>
      <c r="AB320" s="6"/>
    </row>
    <row r="321" spans="1:28" ht="16" x14ac:dyDescent="0.2">
      <c r="A321" s="4">
        <v>45813</v>
      </c>
      <c r="B321" s="19">
        <v>25156</v>
      </c>
      <c r="C321" s="5" t="s">
        <v>35</v>
      </c>
      <c r="D321" s="6"/>
      <c r="E321" s="15">
        <v>42.588641666699999</v>
      </c>
      <c r="F321" s="15">
        <v>-74.521061111099996</v>
      </c>
      <c r="G321" s="5" t="s">
        <v>146</v>
      </c>
      <c r="H321" s="5">
        <v>76.5</v>
      </c>
      <c r="I321" s="5">
        <v>62.1</v>
      </c>
      <c r="J321" s="5" t="s">
        <v>8</v>
      </c>
      <c r="K321" s="5" t="s">
        <v>8</v>
      </c>
      <c r="L321" s="10">
        <v>0.44722222222222224</v>
      </c>
      <c r="M321" s="5" t="s">
        <v>8</v>
      </c>
      <c r="N321" s="11">
        <f t="shared" si="82"/>
        <v>99.84</v>
      </c>
      <c r="O321" s="11">
        <f t="shared" si="174"/>
        <v>99.84</v>
      </c>
      <c r="P321" s="11">
        <f t="shared" si="178"/>
        <v>99.84</v>
      </c>
      <c r="Q321" s="11">
        <f t="shared" si="177"/>
        <v>99.839999999999989</v>
      </c>
      <c r="R321" s="5">
        <v>3</v>
      </c>
      <c r="S321" s="5" t="s">
        <v>105</v>
      </c>
      <c r="T321" s="5" t="s">
        <v>9</v>
      </c>
      <c r="U321" s="5" t="s">
        <v>55</v>
      </c>
      <c r="V321" s="5">
        <v>19.2</v>
      </c>
      <c r="W321" s="5">
        <v>6.2</v>
      </c>
      <c r="X321" s="5">
        <v>69</v>
      </c>
      <c r="Y321" s="5">
        <v>3</v>
      </c>
      <c r="Z321" s="6"/>
      <c r="AA321" s="6"/>
      <c r="AB321" s="6"/>
    </row>
    <row r="322" spans="1:28" ht="16" x14ac:dyDescent="0.2">
      <c r="A322" s="4">
        <v>45813</v>
      </c>
      <c r="B322" s="19">
        <v>25156</v>
      </c>
      <c r="C322" s="5" t="s">
        <v>35</v>
      </c>
      <c r="D322" s="6"/>
      <c r="E322" s="15">
        <v>42.588641666699999</v>
      </c>
      <c r="F322" s="15">
        <v>-74.521061111099996</v>
      </c>
      <c r="G322" s="5" t="s">
        <v>146</v>
      </c>
      <c r="H322" s="5">
        <v>76.5</v>
      </c>
      <c r="I322" s="5">
        <v>62.1</v>
      </c>
      <c r="J322" s="5" t="s">
        <v>8</v>
      </c>
      <c r="K322" s="5" t="s">
        <v>8</v>
      </c>
      <c r="L322" s="10">
        <v>0.44722222222222224</v>
      </c>
      <c r="M322" s="5" t="s">
        <v>8</v>
      </c>
      <c r="N322" s="11">
        <f t="shared" si="82"/>
        <v>99.84</v>
      </c>
      <c r="O322" s="11">
        <f t="shared" si="174"/>
        <v>99.84</v>
      </c>
      <c r="P322" s="11">
        <f t="shared" si="178"/>
        <v>99.84</v>
      </c>
      <c r="Q322" s="11">
        <f t="shared" si="177"/>
        <v>99.839999999999989</v>
      </c>
      <c r="R322" s="5">
        <v>3</v>
      </c>
      <c r="S322" s="5" t="s">
        <v>14</v>
      </c>
      <c r="T322" s="5" t="s">
        <v>9</v>
      </c>
      <c r="U322" s="5" t="s">
        <v>55</v>
      </c>
      <c r="V322" s="5">
        <v>17.7</v>
      </c>
      <c r="W322" s="5">
        <v>6.1</v>
      </c>
      <c r="X322" s="5">
        <v>70</v>
      </c>
      <c r="Y322" s="5">
        <v>2</v>
      </c>
      <c r="Z322" s="6"/>
      <c r="AA322" s="6"/>
      <c r="AB322" s="6"/>
    </row>
    <row r="323" spans="1:28" ht="16" x14ac:dyDescent="0.2">
      <c r="A323" s="4">
        <v>45813</v>
      </c>
      <c r="B323" s="19">
        <v>25156</v>
      </c>
      <c r="C323" s="5" t="s">
        <v>35</v>
      </c>
      <c r="D323" s="6"/>
      <c r="E323" s="15">
        <v>42.588641666699999</v>
      </c>
      <c r="F323" s="15">
        <v>-74.521061111099996</v>
      </c>
      <c r="G323" s="5" t="s">
        <v>146</v>
      </c>
      <c r="H323" s="5">
        <v>76.5</v>
      </c>
      <c r="I323" s="5">
        <v>62.1</v>
      </c>
      <c r="J323" s="5" t="s">
        <v>8</v>
      </c>
      <c r="K323" s="5" t="s">
        <v>8</v>
      </c>
      <c r="L323" s="10">
        <v>0.44722222222222224</v>
      </c>
      <c r="M323" s="5" t="s">
        <v>8</v>
      </c>
      <c r="N323" s="11">
        <f t="shared" si="82"/>
        <v>99.84</v>
      </c>
      <c r="O323" s="11">
        <f t="shared" si="174"/>
        <v>99.84</v>
      </c>
      <c r="P323" s="11">
        <f t="shared" si="178"/>
        <v>99.84</v>
      </c>
      <c r="Q323" s="11">
        <f t="shared" si="177"/>
        <v>99.839999999999989</v>
      </c>
      <c r="R323" s="5">
        <v>3</v>
      </c>
      <c r="S323" s="5" t="s">
        <v>14</v>
      </c>
      <c r="T323" s="5" t="s">
        <v>9</v>
      </c>
      <c r="U323" s="5" t="s">
        <v>64</v>
      </c>
      <c r="V323" s="5">
        <v>17.5</v>
      </c>
      <c r="W323" s="5">
        <v>6.4</v>
      </c>
      <c r="X323" s="5">
        <v>14</v>
      </c>
      <c r="Y323" s="5">
        <v>1</v>
      </c>
      <c r="Z323" s="6"/>
      <c r="AA323" s="6"/>
      <c r="AB323" s="6"/>
    </row>
    <row r="324" spans="1:28" ht="16" x14ac:dyDescent="0.2">
      <c r="A324" s="4">
        <v>45813</v>
      </c>
      <c r="B324" s="19">
        <v>25156</v>
      </c>
      <c r="C324" s="5" t="s">
        <v>35</v>
      </c>
      <c r="D324" s="6"/>
      <c r="E324" s="15">
        <v>42.588641666699999</v>
      </c>
      <c r="F324" s="15">
        <v>-74.521061111099996</v>
      </c>
      <c r="G324" s="5" t="s">
        <v>146</v>
      </c>
      <c r="H324" s="5">
        <v>76.5</v>
      </c>
      <c r="I324" s="5">
        <v>62.1</v>
      </c>
      <c r="J324" s="5" t="s">
        <v>8</v>
      </c>
      <c r="K324" s="5" t="s">
        <v>8</v>
      </c>
      <c r="L324" s="10">
        <v>0.44722222222222224</v>
      </c>
      <c r="M324" s="5" t="s">
        <v>8</v>
      </c>
      <c r="N324" s="11">
        <f t="shared" si="82"/>
        <v>99.84</v>
      </c>
      <c r="O324" s="11">
        <f t="shared" si="174"/>
        <v>99.84</v>
      </c>
      <c r="P324" s="11">
        <f t="shared" si="178"/>
        <v>99.84</v>
      </c>
      <c r="Q324" s="11">
        <f t="shared" si="177"/>
        <v>99.839999999999989</v>
      </c>
      <c r="R324" s="5">
        <v>3</v>
      </c>
      <c r="S324" s="5" t="s">
        <v>14</v>
      </c>
      <c r="T324" s="5" t="s">
        <v>9</v>
      </c>
      <c r="U324" s="5" t="s">
        <v>55</v>
      </c>
      <c r="V324" s="5">
        <v>19.100000000000001</v>
      </c>
      <c r="W324" s="5">
        <v>6.1</v>
      </c>
      <c r="X324" s="5">
        <v>52</v>
      </c>
      <c r="Y324" s="5">
        <v>2.5</v>
      </c>
      <c r="Z324" s="6"/>
      <c r="AA324" s="6"/>
      <c r="AB324" s="6"/>
    </row>
    <row r="325" spans="1:28" ht="16" x14ac:dyDescent="0.2">
      <c r="A325" s="4">
        <v>45817</v>
      </c>
      <c r="B325" s="19">
        <v>25160</v>
      </c>
      <c r="C325" s="5" t="s">
        <v>37</v>
      </c>
      <c r="D325" s="5" t="s">
        <v>151</v>
      </c>
      <c r="E325" s="15">
        <v>42.774216666699999</v>
      </c>
      <c r="F325" s="15">
        <v>-76.309277777800006</v>
      </c>
      <c r="G325" s="5" t="s">
        <v>78</v>
      </c>
      <c r="H325" s="5">
        <v>61.3</v>
      </c>
      <c r="I325" s="5">
        <v>92.1</v>
      </c>
      <c r="J325" s="5">
        <v>72.5</v>
      </c>
      <c r="K325" s="5">
        <v>76.2</v>
      </c>
      <c r="L325" s="10">
        <v>0.41666666666666669</v>
      </c>
      <c r="M325" s="10">
        <v>0.62361111111111112</v>
      </c>
      <c r="N325" s="11">
        <f t="shared" si="82"/>
        <v>99.84</v>
      </c>
      <c r="O325" s="11">
        <f t="shared" si="174"/>
        <v>99.84</v>
      </c>
      <c r="P325" s="11">
        <f t="shared" si="178"/>
        <v>99.84</v>
      </c>
      <c r="Q325" s="11">
        <f t="shared" si="177"/>
        <v>99.839999999999989</v>
      </c>
      <c r="R325" s="5">
        <v>1</v>
      </c>
      <c r="S325" s="5">
        <v>0.4</v>
      </c>
      <c r="T325" s="5" t="s">
        <v>9</v>
      </c>
      <c r="U325" s="5" t="s">
        <v>152</v>
      </c>
      <c r="V325" s="5">
        <v>13.9</v>
      </c>
      <c r="W325" s="5">
        <v>6</v>
      </c>
      <c r="X325" s="5">
        <v>45</v>
      </c>
      <c r="Y325" s="5">
        <v>1</v>
      </c>
      <c r="Z325" s="6"/>
      <c r="AA325" s="6"/>
      <c r="AB325" s="6"/>
    </row>
    <row r="326" spans="1:28" ht="16" x14ac:dyDescent="0.2">
      <c r="A326" s="4">
        <v>45817</v>
      </c>
      <c r="B326" s="19">
        <v>25160</v>
      </c>
      <c r="C326" s="5" t="s">
        <v>37</v>
      </c>
      <c r="D326" s="6"/>
      <c r="E326" s="15">
        <v>42.774216666699999</v>
      </c>
      <c r="F326" s="15">
        <v>-76.309277777800006</v>
      </c>
      <c r="G326" s="5" t="s">
        <v>78</v>
      </c>
      <c r="H326" s="5">
        <v>61.3</v>
      </c>
      <c r="I326" s="5">
        <v>92.1</v>
      </c>
      <c r="J326" s="5">
        <v>72.5</v>
      </c>
      <c r="K326" s="5">
        <v>76.2</v>
      </c>
      <c r="L326" s="10">
        <v>0.41666666666666669</v>
      </c>
      <c r="M326" s="10">
        <v>0.62361111111111112</v>
      </c>
      <c r="N326" s="11">
        <f t="shared" si="82"/>
        <v>99.84</v>
      </c>
      <c r="O326" s="11">
        <f t="shared" si="174"/>
        <v>99.84</v>
      </c>
      <c r="P326" s="11">
        <f t="shared" si="178"/>
        <v>99.84</v>
      </c>
      <c r="Q326" s="11">
        <f t="shared" si="177"/>
        <v>99.839999999999989</v>
      </c>
      <c r="R326" s="5">
        <v>1</v>
      </c>
      <c r="S326" s="5">
        <v>2.4</v>
      </c>
      <c r="T326" s="5" t="s">
        <v>9</v>
      </c>
      <c r="U326" s="5" t="s">
        <v>152</v>
      </c>
      <c r="V326" s="5">
        <v>14.4</v>
      </c>
      <c r="W326" s="5">
        <v>5.6</v>
      </c>
      <c r="X326" s="5">
        <v>47</v>
      </c>
      <c r="Y326" s="5">
        <v>4</v>
      </c>
      <c r="Z326" s="6"/>
      <c r="AA326" s="6"/>
      <c r="AB326" s="6"/>
    </row>
    <row r="327" spans="1:28" ht="16" x14ac:dyDescent="0.2">
      <c r="A327" s="4">
        <v>45817</v>
      </c>
      <c r="B327" s="19">
        <v>25160</v>
      </c>
      <c r="C327" s="5" t="s">
        <v>37</v>
      </c>
      <c r="D327" s="6"/>
      <c r="E327" s="15">
        <v>42.774216666699999</v>
      </c>
      <c r="F327" s="15">
        <v>-76.309277777800006</v>
      </c>
      <c r="G327" s="5" t="s">
        <v>78</v>
      </c>
      <c r="H327" s="5">
        <v>61.3</v>
      </c>
      <c r="I327" s="5">
        <v>92.1</v>
      </c>
      <c r="J327" s="5">
        <v>72.5</v>
      </c>
      <c r="K327" s="5">
        <v>76.2</v>
      </c>
      <c r="L327" s="10">
        <v>0.41666666666666669</v>
      </c>
      <c r="M327" s="10">
        <v>0.62361111111111112</v>
      </c>
      <c r="N327" s="11">
        <f t="shared" si="82"/>
        <v>99.84</v>
      </c>
      <c r="O327" s="11">
        <f t="shared" si="174"/>
        <v>99.84</v>
      </c>
      <c r="P327" s="11">
        <f t="shared" si="178"/>
        <v>99.84</v>
      </c>
      <c r="Q327" s="11">
        <f t="shared" si="177"/>
        <v>99.839999999999989</v>
      </c>
      <c r="R327" s="5">
        <v>1</v>
      </c>
      <c r="S327" s="5">
        <v>2.2999999999999998</v>
      </c>
      <c r="T327" s="5" t="s">
        <v>9</v>
      </c>
      <c r="U327" s="5" t="s">
        <v>152</v>
      </c>
      <c r="V327" s="5">
        <v>14.7</v>
      </c>
      <c r="W327" s="5">
        <v>5.0999999999999996</v>
      </c>
      <c r="X327" s="5">
        <v>68</v>
      </c>
      <c r="Y327" s="5">
        <v>3</v>
      </c>
      <c r="Z327" s="6"/>
      <c r="AA327" s="6"/>
      <c r="AB327" s="6"/>
    </row>
    <row r="328" spans="1:28" ht="16" x14ac:dyDescent="0.2">
      <c r="A328" s="4">
        <v>45817</v>
      </c>
      <c r="B328" s="19">
        <v>25160</v>
      </c>
      <c r="C328" s="5" t="s">
        <v>37</v>
      </c>
      <c r="D328" s="6"/>
      <c r="E328" s="15">
        <v>42.774216666699999</v>
      </c>
      <c r="F328" s="15">
        <v>-76.309277777800006</v>
      </c>
      <c r="G328" s="5" t="s">
        <v>78</v>
      </c>
      <c r="H328" s="5">
        <v>61.3</v>
      </c>
      <c r="I328" s="5">
        <v>92.1</v>
      </c>
      <c r="J328" s="5">
        <v>72.5</v>
      </c>
      <c r="K328" s="5">
        <v>76.2</v>
      </c>
      <c r="L328" s="10">
        <v>0.41666666666666669</v>
      </c>
      <c r="M328" s="10">
        <v>0.62361111111111112</v>
      </c>
      <c r="N328" s="11">
        <f t="shared" si="82"/>
        <v>99.84</v>
      </c>
      <c r="O328" s="11">
        <f t="shared" si="174"/>
        <v>99.84</v>
      </c>
      <c r="P328" s="11">
        <f t="shared" si="178"/>
        <v>99.84</v>
      </c>
      <c r="Q328" s="11">
        <f t="shared" si="177"/>
        <v>99.839999999999989</v>
      </c>
      <c r="R328" s="5">
        <v>1</v>
      </c>
      <c r="S328" s="5">
        <v>13.1</v>
      </c>
      <c r="T328" s="5" t="s">
        <v>9</v>
      </c>
      <c r="U328" s="5" t="s">
        <v>64</v>
      </c>
      <c r="V328" s="5">
        <v>15.4</v>
      </c>
      <c r="W328" s="5">
        <v>5.8</v>
      </c>
      <c r="X328" s="5">
        <v>54</v>
      </c>
      <c r="Y328" s="5">
        <v>2.5</v>
      </c>
      <c r="Z328" s="5"/>
      <c r="AA328" s="5" t="s">
        <v>153</v>
      </c>
      <c r="AB328" s="6"/>
    </row>
    <row r="329" spans="1:28" ht="16" x14ac:dyDescent="0.2">
      <c r="A329" s="4">
        <v>45817</v>
      </c>
      <c r="B329" s="19">
        <v>25160</v>
      </c>
      <c r="C329" s="5" t="s">
        <v>37</v>
      </c>
      <c r="D329" s="6"/>
      <c r="E329" s="15">
        <v>42.774216666699999</v>
      </c>
      <c r="F329" s="15">
        <v>-76.309277777800006</v>
      </c>
      <c r="G329" s="5" t="s">
        <v>78</v>
      </c>
      <c r="H329" s="5">
        <v>61.3</v>
      </c>
      <c r="I329" s="5">
        <v>92.1</v>
      </c>
      <c r="J329" s="5">
        <v>72.5</v>
      </c>
      <c r="K329" s="5">
        <v>76.2</v>
      </c>
      <c r="L329" s="10">
        <v>0.41666666666666669</v>
      </c>
      <c r="M329" s="10">
        <v>0.62361111111111112</v>
      </c>
      <c r="N329" s="11">
        <f t="shared" si="82"/>
        <v>99.84</v>
      </c>
      <c r="O329" s="11">
        <f t="shared" si="174"/>
        <v>99.84</v>
      </c>
      <c r="P329" s="11">
        <f t="shared" si="178"/>
        <v>99.84</v>
      </c>
      <c r="Q329" s="11">
        <f t="shared" si="177"/>
        <v>99.839999999999989</v>
      </c>
      <c r="R329" s="5">
        <v>1</v>
      </c>
      <c r="S329" s="5">
        <v>16.600000000000001</v>
      </c>
      <c r="T329" s="5" t="s">
        <v>9</v>
      </c>
      <c r="U329" s="5" t="s">
        <v>152</v>
      </c>
      <c r="V329" s="5">
        <v>14.2</v>
      </c>
      <c r="W329" s="5">
        <v>5.9</v>
      </c>
      <c r="X329" s="5">
        <v>35</v>
      </c>
      <c r="Y329" s="5">
        <v>2.5</v>
      </c>
      <c r="Z329" s="6"/>
      <c r="AA329" s="6"/>
      <c r="AB329" s="6"/>
    </row>
    <row r="330" spans="1:28" ht="16" x14ac:dyDescent="0.2">
      <c r="A330" s="4">
        <v>45817</v>
      </c>
      <c r="B330" s="19">
        <v>25160</v>
      </c>
      <c r="C330" s="5" t="s">
        <v>37</v>
      </c>
      <c r="D330" s="6"/>
      <c r="E330" s="15">
        <v>42.774216666699999</v>
      </c>
      <c r="F330" s="15">
        <v>-76.309277777800006</v>
      </c>
      <c r="G330" s="5" t="s">
        <v>78</v>
      </c>
      <c r="H330" s="5">
        <v>61.3</v>
      </c>
      <c r="I330" s="5">
        <v>92.1</v>
      </c>
      <c r="J330" s="5">
        <v>72.5</v>
      </c>
      <c r="K330" s="5">
        <v>76.2</v>
      </c>
      <c r="L330" s="10">
        <v>0.41666666666666669</v>
      </c>
      <c r="M330" s="10">
        <v>0.62361111111111112</v>
      </c>
      <c r="N330" s="11">
        <f t="shared" si="82"/>
        <v>99.84</v>
      </c>
      <c r="O330" s="11">
        <f t="shared" si="174"/>
        <v>99.84</v>
      </c>
      <c r="P330" s="11">
        <f t="shared" si="178"/>
        <v>99.84</v>
      </c>
      <c r="Q330" s="11">
        <f t="shared" si="177"/>
        <v>99.839999999999989</v>
      </c>
      <c r="R330" s="5">
        <v>1</v>
      </c>
      <c r="S330" s="5">
        <v>18.5</v>
      </c>
      <c r="T330" s="5" t="s">
        <v>9</v>
      </c>
      <c r="U330" s="5" t="s">
        <v>152</v>
      </c>
      <c r="V330" s="5">
        <v>14.8</v>
      </c>
      <c r="W330" s="5">
        <v>5.4</v>
      </c>
      <c r="X330" s="5">
        <v>52</v>
      </c>
      <c r="Y330" s="5">
        <v>2.5</v>
      </c>
      <c r="Z330" s="6"/>
      <c r="AA330" s="6"/>
      <c r="AB330" s="6"/>
    </row>
    <row r="331" spans="1:28" ht="16" x14ac:dyDescent="0.2">
      <c r="A331" s="4">
        <v>45817</v>
      </c>
      <c r="B331" s="19">
        <v>25160</v>
      </c>
      <c r="C331" s="5" t="s">
        <v>37</v>
      </c>
      <c r="D331" s="6"/>
      <c r="E331" s="15">
        <v>42.774216666699999</v>
      </c>
      <c r="F331" s="15">
        <v>-76.309277777800006</v>
      </c>
      <c r="G331" s="5" t="s">
        <v>78</v>
      </c>
      <c r="H331" s="5">
        <v>61.3</v>
      </c>
      <c r="I331" s="5">
        <v>92.1</v>
      </c>
      <c r="J331" s="5">
        <v>72.5</v>
      </c>
      <c r="K331" s="5">
        <v>76.2</v>
      </c>
      <c r="L331" s="10">
        <v>0.41666666666666669</v>
      </c>
      <c r="M331" s="10">
        <v>0.62361111111111112</v>
      </c>
      <c r="N331" s="11">
        <f t="shared" si="82"/>
        <v>99.84</v>
      </c>
      <c r="O331" s="11">
        <f t="shared" si="174"/>
        <v>99.84</v>
      </c>
      <c r="P331" s="11">
        <f t="shared" si="178"/>
        <v>99.84</v>
      </c>
      <c r="Q331" s="11">
        <f t="shared" si="177"/>
        <v>99.839999999999989</v>
      </c>
      <c r="R331" s="5">
        <v>1</v>
      </c>
      <c r="S331" s="5">
        <v>28.7</v>
      </c>
      <c r="T331" s="5" t="s">
        <v>9</v>
      </c>
      <c r="U331" s="5" t="s">
        <v>152</v>
      </c>
      <c r="V331" s="5">
        <v>14.6</v>
      </c>
      <c r="W331" s="5">
        <v>5.0999999999999996</v>
      </c>
      <c r="X331" s="5">
        <v>55</v>
      </c>
      <c r="Y331" s="5">
        <v>3</v>
      </c>
      <c r="Z331" s="6"/>
      <c r="AA331" s="6"/>
      <c r="AB331" s="6"/>
    </row>
    <row r="332" spans="1:28" ht="16" x14ac:dyDescent="0.2">
      <c r="A332" s="4">
        <v>45817</v>
      </c>
      <c r="B332" s="19">
        <v>25160</v>
      </c>
      <c r="C332" s="5" t="s">
        <v>37</v>
      </c>
      <c r="D332" s="6"/>
      <c r="E332" s="15">
        <v>42.774216666699999</v>
      </c>
      <c r="F332" s="15">
        <v>-76.309277777800006</v>
      </c>
      <c r="G332" s="5" t="s">
        <v>78</v>
      </c>
      <c r="H332" s="5">
        <v>61.3</v>
      </c>
      <c r="I332" s="5">
        <v>92.1</v>
      </c>
      <c r="J332" s="5">
        <v>72.5</v>
      </c>
      <c r="K332" s="5">
        <v>76.2</v>
      </c>
      <c r="L332" s="10">
        <v>0.41666666666666669</v>
      </c>
      <c r="M332" s="10">
        <v>0.62361111111111112</v>
      </c>
      <c r="N332" s="11">
        <f t="shared" si="82"/>
        <v>99.84</v>
      </c>
      <c r="O332" s="11">
        <f t="shared" si="174"/>
        <v>99.84</v>
      </c>
      <c r="P332" s="11">
        <f t="shared" si="178"/>
        <v>99.84</v>
      </c>
      <c r="Q332" s="11">
        <f t="shared" si="177"/>
        <v>99.839999999999989</v>
      </c>
      <c r="R332" s="5">
        <v>1</v>
      </c>
      <c r="S332" s="5">
        <v>28.9</v>
      </c>
      <c r="T332" s="5" t="s">
        <v>9</v>
      </c>
      <c r="U332" s="5" t="s">
        <v>152</v>
      </c>
      <c r="V332" s="5">
        <v>15.2</v>
      </c>
      <c r="W332" s="5">
        <v>5</v>
      </c>
      <c r="X332" s="5">
        <v>55</v>
      </c>
      <c r="Y332" s="5">
        <v>4</v>
      </c>
      <c r="Z332" s="6"/>
      <c r="AA332" s="6"/>
      <c r="AB332" s="6"/>
    </row>
    <row r="333" spans="1:28" ht="16" x14ac:dyDescent="0.2">
      <c r="A333" s="4">
        <v>45817</v>
      </c>
      <c r="B333" s="19">
        <v>25160</v>
      </c>
      <c r="C333" s="5" t="s">
        <v>37</v>
      </c>
      <c r="D333" s="6"/>
      <c r="E333" s="15">
        <v>42.774216666699999</v>
      </c>
      <c r="F333" s="15">
        <v>-76.309277777800006</v>
      </c>
      <c r="G333" s="5" t="s">
        <v>78</v>
      </c>
      <c r="H333" s="5">
        <v>61.3</v>
      </c>
      <c r="I333" s="5">
        <v>92.1</v>
      </c>
      <c r="J333" s="5">
        <v>72.5</v>
      </c>
      <c r="K333" s="5">
        <v>76.2</v>
      </c>
      <c r="L333" s="10">
        <v>0.41666666666666669</v>
      </c>
      <c r="M333" s="10">
        <v>0.62361111111111112</v>
      </c>
      <c r="N333" s="11">
        <f t="shared" si="82"/>
        <v>99.84</v>
      </c>
      <c r="O333" s="11">
        <f t="shared" si="174"/>
        <v>99.84</v>
      </c>
      <c r="P333" s="11">
        <f t="shared" si="178"/>
        <v>99.84</v>
      </c>
      <c r="Q333" s="11">
        <f t="shared" si="177"/>
        <v>99.839999999999989</v>
      </c>
      <c r="R333" s="5">
        <v>1</v>
      </c>
      <c r="S333" s="5">
        <v>27.7</v>
      </c>
      <c r="T333" s="5" t="s">
        <v>9</v>
      </c>
      <c r="U333" s="5" t="s">
        <v>152</v>
      </c>
      <c r="V333" s="5">
        <v>14.3</v>
      </c>
      <c r="W333" s="5">
        <v>5.4</v>
      </c>
      <c r="X333" s="5">
        <v>62</v>
      </c>
      <c r="Y333" s="5">
        <v>3</v>
      </c>
      <c r="Z333" s="6"/>
      <c r="AA333" s="6"/>
      <c r="AB333" s="6"/>
    </row>
    <row r="334" spans="1:28" ht="16" x14ac:dyDescent="0.2">
      <c r="A334" s="4">
        <v>45817</v>
      </c>
      <c r="B334" s="19">
        <v>25160</v>
      </c>
      <c r="C334" s="5" t="s">
        <v>37</v>
      </c>
      <c r="D334" s="6"/>
      <c r="E334" s="15">
        <v>42.774216666699999</v>
      </c>
      <c r="F334" s="15">
        <v>-76.309277777800006</v>
      </c>
      <c r="G334" s="5" t="s">
        <v>78</v>
      </c>
      <c r="H334" s="5">
        <v>61.3</v>
      </c>
      <c r="I334" s="5">
        <v>92.1</v>
      </c>
      <c r="J334" s="5">
        <v>72.5</v>
      </c>
      <c r="K334" s="5">
        <v>76.2</v>
      </c>
      <c r="L334" s="10">
        <v>0.41666666666666669</v>
      </c>
      <c r="M334" s="10">
        <v>0.62361111111111112</v>
      </c>
      <c r="N334" s="11">
        <f t="shared" si="82"/>
        <v>99.84</v>
      </c>
      <c r="O334" s="11">
        <f t="shared" si="174"/>
        <v>99.84</v>
      </c>
      <c r="P334" s="11">
        <f t="shared" si="178"/>
        <v>99.84</v>
      </c>
      <c r="Q334" s="11">
        <f t="shared" si="177"/>
        <v>99.839999999999989</v>
      </c>
      <c r="R334" s="5">
        <v>2</v>
      </c>
      <c r="S334" s="5">
        <v>2.2000000000000002</v>
      </c>
      <c r="T334" s="5" t="s">
        <v>9</v>
      </c>
      <c r="U334" s="5" t="s">
        <v>55</v>
      </c>
      <c r="V334" s="5">
        <v>15.8</v>
      </c>
      <c r="W334" s="5">
        <v>5.7</v>
      </c>
      <c r="X334" s="5">
        <v>45</v>
      </c>
      <c r="Y334" s="5">
        <v>2.5</v>
      </c>
      <c r="Z334" s="6"/>
      <c r="AA334" s="6"/>
      <c r="AB334" s="6"/>
    </row>
    <row r="335" spans="1:28" ht="16" x14ac:dyDescent="0.2">
      <c r="A335" s="4">
        <v>45817</v>
      </c>
      <c r="B335" s="19">
        <v>25160</v>
      </c>
      <c r="C335" s="5" t="s">
        <v>37</v>
      </c>
      <c r="D335" s="6"/>
      <c r="E335" s="15">
        <v>42.774216666699999</v>
      </c>
      <c r="F335" s="15">
        <v>-76.309277777800006</v>
      </c>
      <c r="G335" s="5" t="s">
        <v>78</v>
      </c>
      <c r="H335" s="5">
        <v>61.3</v>
      </c>
      <c r="I335" s="5">
        <v>92.1</v>
      </c>
      <c r="J335" s="5">
        <v>72.5</v>
      </c>
      <c r="K335" s="5">
        <v>76.2</v>
      </c>
      <c r="L335" s="10">
        <v>0.41666666666666669</v>
      </c>
      <c r="M335" s="10">
        <v>0.62361111111111112</v>
      </c>
      <c r="N335" s="11">
        <f t="shared" si="82"/>
        <v>99.84</v>
      </c>
      <c r="O335" s="11">
        <f t="shared" si="174"/>
        <v>99.84</v>
      </c>
      <c r="P335" s="11">
        <f t="shared" si="178"/>
        <v>99.84</v>
      </c>
      <c r="Q335" s="11">
        <f t="shared" si="177"/>
        <v>99.839999999999989</v>
      </c>
      <c r="R335" s="5">
        <v>2</v>
      </c>
      <c r="S335" s="5">
        <v>4.2</v>
      </c>
      <c r="T335" s="5" t="s">
        <v>9</v>
      </c>
      <c r="U335" s="5" t="s">
        <v>55</v>
      </c>
      <c r="V335" s="5">
        <v>15.7</v>
      </c>
      <c r="W335" s="5">
        <v>5.6</v>
      </c>
      <c r="X335" s="5">
        <v>52</v>
      </c>
      <c r="Y335" s="5">
        <v>2</v>
      </c>
      <c r="Z335" s="6"/>
      <c r="AA335" s="6"/>
      <c r="AB335" s="6"/>
    </row>
    <row r="336" spans="1:28" ht="16" x14ac:dyDescent="0.2">
      <c r="A336" s="4">
        <v>45817</v>
      </c>
      <c r="B336" s="19">
        <v>25160</v>
      </c>
      <c r="C336" s="5" t="s">
        <v>37</v>
      </c>
      <c r="D336" s="6"/>
      <c r="E336" s="15">
        <v>42.774216666699999</v>
      </c>
      <c r="F336" s="15">
        <v>-76.309277777800006</v>
      </c>
      <c r="G336" s="5" t="s">
        <v>78</v>
      </c>
      <c r="H336" s="5">
        <v>61.3</v>
      </c>
      <c r="I336" s="5">
        <v>92.1</v>
      </c>
      <c r="J336" s="5">
        <v>72.5</v>
      </c>
      <c r="K336" s="5">
        <v>76.2</v>
      </c>
      <c r="L336" s="10">
        <v>0.41666666666666669</v>
      </c>
      <c r="M336" s="10">
        <v>0.62361111111111112</v>
      </c>
      <c r="N336" s="11">
        <f t="shared" si="82"/>
        <v>99.84</v>
      </c>
      <c r="O336" s="11">
        <f t="shared" si="174"/>
        <v>99.84</v>
      </c>
      <c r="P336" s="11">
        <f t="shared" si="178"/>
        <v>99.84</v>
      </c>
      <c r="Q336" s="11">
        <f t="shared" si="177"/>
        <v>99.839999999999989</v>
      </c>
      <c r="R336" s="5">
        <v>2</v>
      </c>
      <c r="S336" s="5">
        <v>5.3</v>
      </c>
      <c r="T336" s="5" t="s">
        <v>9</v>
      </c>
      <c r="U336" s="5" t="s">
        <v>152</v>
      </c>
      <c r="V336" s="5">
        <v>15.4</v>
      </c>
      <c r="W336" s="5">
        <v>5.5</v>
      </c>
      <c r="X336" s="5">
        <v>45</v>
      </c>
      <c r="Y336" s="5">
        <v>2.5</v>
      </c>
      <c r="Z336" s="6"/>
      <c r="AA336" s="6"/>
      <c r="AB336" s="6"/>
    </row>
    <row r="337" spans="1:28" ht="16" x14ac:dyDescent="0.2">
      <c r="A337" s="4">
        <v>45817</v>
      </c>
      <c r="B337" s="19">
        <v>25160</v>
      </c>
      <c r="C337" s="5" t="s">
        <v>37</v>
      </c>
      <c r="D337" s="6"/>
      <c r="E337" s="15">
        <v>42.774216666699999</v>
      </c>
      <c r="F337" s="15">
        <v>-76.309277777800006</v>
      </c>
      <c r="G337" s="5" t="s">
        <v>78</v>
      </c>
      <c r="H337" s="5">
        <v>61.3</v>
      </c>
      <c r="I337" s="5">
        <v>92.1</v>
      </c>
      <c r="J337" s="5">
        <v>72.5</v>
      </c>
      <c r="K337" s="5">
        <v>76.2</v>
      </c>
      <c r="L337" s="10">
        <v>0.41666666666666669</v>
      </c>
      <c r="M337" s="10">
        <v>0.62361111111111112</v>
      </c>
      <c r="N337" s="11">
        <f t="shared" si="82"/>
        <v>99.84</v>
      </c>
      <c r="O337" s="11">
        <f t="shared" si="174"/>
        <v>99.84</v>
      </c>
      <c r="P337" s="11">
        <f t="shared" si="178"/>
        <v>99.84</v>
      </c>
      <c r="Q337" s="11">
        <f t="shared" si="177"/>
        <v>99.839999999999989</v>
      </c>
      <c r="R337" s="5">
        <v>2</v>
      </c>
      <c r="S337" s="5">
        <v>14</v>
      </c>
      <c r="T337" s="5" t="s">
        <v>9</v>
      </c>
      <c r="U337" s="5" t="s">
        <v>55</v>
      </c>
      <c r="V337" s="5">
        <v>15.6</v>
      </c>
      <c r="W337" s="5">
        <v>5.7</v>
      </c>
      <c r="X337" s="5">
        <v>48</v>
      </c>
      <c r="Y337" s="5">
        <v>2</v>
      </c>
      <c r="Z337" s="6"/>
      <c r="AA337" s="6"/>
      <c r="AB337" s="6"/>
    </row>
    <row r="338" spans="1:28" ht="16" x14ac:dyDescent="0.2">
      <c r="A338" s="4">
        <v>45817</v>
      </c>
      <c r="B338" s="19">
        <v>25160</v>
      </c>
      <c r="C338" s="5" t="s">
        <v>37</v>
      </c>
      <c r="D338" s="6"/>
      <c r="E338" s="15">
        <v>42.774216666699999</v>
      </c>
      <c r="F338" s="15">
        <v>-76.309277777800006</v>
      </c>
      <c r="G338" s="5" t="s">
        <v>78</v>
      </c>
      <c r="H338" s="5">
        <v>61.3</v>
      </c>
      <c r="I338" s="5">
        <v>92.1</v>
      </c>
      <c r="J338" s="5">
        <v>72.5</v>
      </c>
      <c r="K338" s="5">
        <v>76.2</v>
      </c>
      <c r="L338" s="10">
        <v>0.41666666666666669</v>
      </c>
      <c r="M338" s="10">
        <v>0.62361111111111112</v>
      </c>
      <c r="N338" s="11">
        <f t="shared" ref="N338:N353" si="179">AVERAGE(96,96,96,96)*1.04</f>
        <v>99.84</v>
      </c>
      <c r="O338" s="11">
        <f t="shared" si="174"/>
        <v>99.84</v>
      </c>
      <c r="P338" s="11">
        <f t="shared" si="178"/>
        <v>99.84</v>
      </c>
      <c r="Q338" s="11">
        <f t="shared" si="177"/>
        <v>99.839999999999989</v>
      </c>
      <c r="R338" s="5">
        <v>2</v>
      </c>
      <c r="S338" s="5">
        <v>19.100000000000001</v>
      </c>
      <c r="T338" s="5" t="s">
        <v>9</v>
      </c>
      <c r="U338" s="5" t="s">
        <v>152</v>
      </c>
      <c r="V338" s="5">
        <v>15.2</v>
      </c>
      <c r="W338" s="5">
        <v>5.9</v>
      </c>
      <c r="X338" s="5">
        <v>68</v>
      </c>
      <c r="Y338" s="5">
        <v>3</v>
      </c>
      <c r="Z338" s="6"/>
      <c r="AA338" s="6"/>
      <c r="AB338" s="6"/>
    </row>
    <row r="339" spans="1:28" ht="16" x14ac:dyDescent="0.2">
      <c r="A339" s="4">
        <v>45817</v>
      </c>
      <c r="B339" s="19">
        <v>25160</v>
      </c>
      <c r="C339" s="5" t="s">
        <v>37</v>
      </c>
      <c r="D339" s="6"/>
      <c r="E339" s="15">
        <v>42.774216666699999</v>
      </c>
      <c r="F339" s="15">
        <v>-76.309277777800006</v>
      </c>
      <c r="G339" s="5" t="s">
        <v>78</v>
      </c>
      <c r="H339" s="5">
        <v>61.3</v>
      </c>
      <c r="I339" s="5">
        <v>92.1</v>
      </c>
      <c r="J339" s="5">
        <v>72.5</v>
      </c>
      <c r="K339" s="5">
        <v>76.2</v>
      </c>
      <c r="L339" s="10">
        <v>0.41666666666666669</v>
      </c>
      <c r="M339" s="10">
        <v>0.62361111111111112</v>
      </c>
      <c r="N339" s="11">
        <f t="shared" si="179"/>
        <v>99.84</v>
      </c>
      <c r="O339" s="11">
        <f t="shared" si="174"/>
        <v>99.84</v>
      </c>
      <c r="P339" s="11">
        <f t="shared" si="178"/>
        <v>99.84</v>
      </c>
      <c r="Q339" s="11">
        <f t="shared" si="177"/>
        <v>99.839999999999989</v>
      </c>
      <c r="R339" s="5">
        <v>2</v>
      </c>
      <c r="S339" s="5">
        <v>17.7</v>
      </c>
      <c r="T339" s="5" t="s">
        <v>9</v>
      </c>
      <c r="U339" s="5" t="s">
        <v>56</v>
      </c>
      <c r="V339" s="5">
        <v>16.100000000000001</v>
      </c>
      <c r="W339" s="5">
        <v>5.8</v>
      </c>
      <c r="X339" s="5">
        <v>62</v>
      </c>
      <c r="Y339" s="5">
        <v>2.5</v>
      </c>
      <c r="Z339" s="6"/>
      <c r="AA339" s="6"/>
      <c r="AB339" s="6"/>
    </row>
    <row r="340" spans="1:28" ht="16" x14ac:dyDescent="0.2">
      <c r="A340" s="4">
        <v>45817</v>
      </c>
      <c r="B340" s="19">
        <v>25160</v>
      </c>
      <c r="C340" s="5" t="s">
        <v>37</v>
      </c>
      <c r="D340" s="6"/>
      <c r="E340" s="15">
        <v>42.774216666699999</v>
      </c>
      <c r="F340" s="15">
        <v>-76.309277777800006</v>
      </c>
      <c r="G340" s="5" t="s">
        <v>78</v>
      </c>
      <c r="H340" s="5">
        <v>61.3</v>
      </c>
      <c r="I340" s="5">
        <v>92.1</v>
      </c>
      <c r="J340" s="5">
        <v>72.5</v>
      </c>
      <c r="K340" s="5">
        <v>76.2</v>
      </c>
      <c r="L340" s="10">
        <v>0.41666666666666669</v>
      </c>
      <c r="M340" s="10">
        <v>0.62361111111111112</v>
      </c>
      <c r="N340" s="11">
        <f t="shared" si="179"/>
        <v>99.84</v>
      </c>
      <c r="O340" s="11">
        <f t="shared" si="174"/>
        <v>99.84</v>
      </c>
      <c r="P340" s="11">
        <f t="shared" si="178"/>
        <v>99.84</v>
      </c>
      <c r="Q340" s="11">
        <f t="shared" si="177"/>
        <v>99.839999999999989</v>
      </c>
      <c r="R340" s="5">
        <v>2</v>
      </c>
      <c r="S340" s="5">
        <v>26.3</v>
      </c>
      <c r="T340" s="5" t="s">
        <v>9</v>
      </c>
      <c r="U340" s="5" t="s">
        <v>154</v>
      </c>
      <c r="V340" s="5">
        <v>16.100000000000001</v>
      </c>
      <c r="W340" s="5">
        <v>5.0999999999999996</v>
      </c>
      <c r="X340" s="5">
        <v>70</v>
      </c>
      <c r="Y340" s="5">
        <v>2.5</v>
      </c>
      <c r="Z340" s="6"/>
      <c r="AA340" s="6"/>
      <c r="AB340" s="6"/>
    </row>
    <row r="341" spans="1:28" ht="16" x14ac:dyDescent="0.2">
      <c r="A341" s="4">
        <v>45817</v>
      </c>
      <c r="B341" s="19">
        <v>25160</v>
      </c>
      <c r="C341" s="5" t="s">
        <v>37</v>
      </c>
      <c r="D341" s="6"/>
      <c r="E341" s="15">
        <v>42.774216666699999</v>
      </c>
      <c r="F341" s="15">
        <v>-76.309277777800006</v>
      </c>
      <c r="G341" s="5" t="s">
        <v>78</v>
      </c>
      <c r="H341" s="5">
        <v>61.3</v>
      </c>
      <c r="I341" s="5">
        <v>92.1</v>
      </c>
      <c r="J341" s="5">
        <v>72.5</v>
      </c>
      <c r="K341" s="5">
        <v>76.2</v>
      </c>
      <c r="L341" s="10">
        <v>0.41666666666666669</v>
      </c>
      <c r="M341" s="10">
        <v>0.62361111111111112</v>
      </c>
      <c r="N341" s="11">
        <f t="shared" si="179"/>
        <v>99.84</v>
      </c>
      <c r="O341" s="11">
        <f t="shared" si="174"/>
        <v>99.84</v>
      </c>
      <c r="P341" s="11">
        <f t="shared" si="178"/>
        <v>99.84</v>
      </c>
      <c r="Q341" s="11">
        <f t="shared" si="177"/>
        <v>99.839999999999989</v>
      </c>
      <c r="R341" s="5">
        <v>2</v>
      </c>
      <c r="S341" s="5">
        <v>30</v>
      </c>
      <c r="T341" s="5" t="s">
        <v>9</v>
      </c>
      <c r="U341" s="5" t="s">
        <v>62</v>
      </c>
      <c r="V341" s="5">
        <v>14.3</v>
      </c>
      <c r="W341" s="5">
        <v>5.5</v>
      </c>
      <c r="X341" s="5">
        <v>50</v>
      </c>
      <c r="Y341" s="5">
        <v>2.5</v>
      </c>
      <c r="Z341" s="6"/>
      <c r="AA341" s="6"/>
      <c r="AB341" s="6"/>
    </row>
    <row r="342" spans="1:28" ht="16" x14ac:dyDescent="0.2">
      <c r="A342" s="4">
        <v>45817</v>
      </c>
      <c r="B342" s="19">
        <v>25160</v>
      </c>
      <c r="C342" s="5" t="s">
        <v>37</v>
      </c>
      <c r="D342" s="6"/>
      <c r="E342" s="15">
        <v>42.774216666699999</v>
      </c>
      <c r="F342" s="15">
        <v>-76.309277777800006</v>
      </c>
      <c r="G342" s="5" t="s">
        <v>78</v>
      </c>
      <c r="H342" s="5">
        <v>61.3</v>
      </c>
      <c r="I342" s="5">
        <v>92.1</v>
      </c>
      <c r="J342" s="5">
        <v>72.5</v>
      </c>
      <c r="K342" s="5">
        <v>76.2</v>
      </c>
      <c r="L342" s="10">
        <v>0.41666666666666669</v>
      </c>
      <c r="M342" s="10">
        <v>0.62361111111111112</v>
      </c>
      <c r="N342" s="11">
        <f t="shared" si="179"/>
        <v>99.84</v>
      </c>
      <c r="O342" s="11">
        <f t="shared" si="174"/>
        <v>99.84</v>
      </c>
      <c r="P342" s="11">
        <f t="shared" si="178"/>
        <v>99.84</v>
      </c>
      <c r="Q342" s="11">
        <f t="shared" si="177"/>
        <v>99.839999999999989</v>
      </c>
      <c r="R342" s="5">
        <v>2</v>
      </c>
      <c r="S342" s="5">
        <v>29.3</v>
      </c>
      <c r="T342" s="5" t="s">
        <v>9</v>
      </c>
      <c r="U342" s="5" t="s">
        <v>64</v>
      </c>
      <c r="V342" s="5">
        <v>18.100000000000001</v>
      </c>
      <c r="W342" s="5">
        <v>5.7</v>
      </c>
      <c r="X342" s="5">
        <v>51</v>
      </c>
      <c r="Y342" s="5">
        <v>3.5</v>
      </c>
      <c r="Z342" s="5"/>
      <c r="AA342" s="5" t="s">
        <v>153</v>
      </c>
      <c r="AB342" s="6"/>
    </row>
    <row r="343" spans="1:28" ht="16" x14ac:dyDescent="0.2">
      <c r="A343" s="4">
        <v>45817</v>
      </c>
      <c r="B343" s="19">
        <v>25160</v>
      </c>
      <c r="C343" s="5" t="s">
        <v>37</v>
      </c>
      <c r="D343" s="6"/>
      <c r="E343" s="15">
        <v>42.774216666699999</v>
      </c>
      <c r="F343" s="15">
        <v>-76.309277777800006</v>
      </c>
      <c r="G343" s="5" t="s">
        <v>78</v>
      </c>
      <c r="H343" s="5">
        <v>61.3</v>
      </c>
      <c r="I343" s="5">
        <v>92.1</v>
      </c>
      <c r="J343" s="5">
        <v>72.5</v>
      </c>
      <c r="K343" s="5">
        <v>76.2</v>
      </c>
      <c r="L343" s="10">
        <v>0.41666666666666669</v>
      </c>
      <c r="M343" s="10">
        <v>0.62361111111111112</v>
      </c>
      <c r="N343" s="11">
        <f t="shared" si="179"/>
        <v>99.84</v>
      </c>
      <c r="O343" s="11">
        <f t="shared" si="174"/>
        <v>99.84</v>
      </c>
      <c r="P343" s="11">
        <f t="shared" si="178"/>
        <v>99.84</v>
      </c>
      <c r="Q343" s="11">
        <f t="shared" si="177"/>
        <v>99.839999999999989</v>
      </c>
      <c r="R343" s="5">
        <v>2</v>
      </c>
      <c r="S343" s="5">
        <v>4</v>
      </c>
      <c r="T343" s="5" t="s">
        <v>4</v>
      </c>
      <c r="U343" s="5" t="s">
        <v>62</v>
      </c>
      <c r="V343" s="5">
        <v>16.8</v>
      </c>
      <c r="W343" s="5">
        <v>5</v>
      </c>
      <c r="X343" s="5">
        <v>50</v>
      </c>
      <c r="Y343" s="5">
        <v>2.5</v>
      </c>
      <c r="Z343" s="5"/>
      <c r="AA343" s="5" t="s">
        <v>155</v>
      </c>
      <c r="AB343" s="6"/>
    </row>
    <row r="344" spans="1:28" ht="16" x14ac:dyDescent="0.2">
      <c r="A344" s="4">
        <v>45817</v>
      </c>
      <c r="B344" s="19">
        <v>25160</v>
      </c>
      <c r="C344" s="5" t="s">
        <v>37</v>
      </c>
      <c r="D344" s="6"/>
      <c r="E344" s="15">
        <v>42.774216666699999</v>
      </c>
      <c r="F344" s="15">
        <v>-76.309277777800006</v>
      </c>
      <c r="G344" s="5" t="s">
        <v>78</v>
      </c>
      <c r="H344" s="5">
        <v>61.3</v>
      </c>
      <c r="I344" s="5">
        <v>92.1</v>
      </c>
      <c r="J344" s="5">
        <v>72.5</v>
      </c>
      <c r="K344" s="5">
        <v>76.2</v>
      </c>
      <c r="L344" s="10">
        <v>0.41666666666666669</v>
      </c>
      <c r="M344" s="10">
        <v>0.62361111111111112</v>
      </c>
      <c r="N344" s="11">
        <f t="shared" si="179"/>
        <v>99.84</v>
      </c>
      <c r="O344" s="11">
        <f t="shared" si="174"/>
        <v>99.84</v>
      </c>
      <c r="P344" s="11">
        <f t="shared" si="178"/>
        <v>99.84</v>
      </c>
      <c r="Q344" s="11">
        <f t="shared" si="177"/>
        <v>99.839999999999989</v>
      </c>
      <c r="R344" s="5">
        <v>2</v>
      </c>
      <c r="S344" s="5">
        <v>21.5</v>
      </c>
      <c r="T344" s="5" t="s">
        <v>4</v>
      </c>
      <c r="U344" s="5" t="s">
        <v>62</v>
      </c>
      <c r="V344" s="5" t="s">
        <v>8</v>
      </c>
      <c r="W344" s="5" t="s">
        <v>8</v>
      </c>
      <c r="X344" s="5" t="s">
        <v>8</v>
      </c>
      <c r="Y344" s="5" t="s">
        <v>8</v>
      </c>
      <c r="Z344" s="5"/>
      <c r="AA344" s="5" t="s">
        <v>156</v>
      </c>
      <c r="AB344" s="6"/>
    </row>
    <row r="345" spans="1:28" ht="16" x14ac:dyDescent="0.2">
      <c r="A345" s="4">
        <v>45817</v>
      </c>
      <c r="B345" s="19">
        <v>25160</v>
      </c>
      <c r="C345" s="5" t="s">
        <v>37</v>
      </c>
      <c r="D345" s="6"/>
      <c r="E345" s="15">
        <v>42.774216666699999</v>
      </c>
      <c r="F345" s="15">
        <v>-76.309277777800006</v>
      </c>
      <c r="G345" s="5" t="s">
        <v>78</v>
      </c>
      <c r="H345" s="5">
        <v>61.3</v>
      </c>
      <c r="I345" s="5">
        <v>92.1</v>
      </c>
      <c r="J345" s="5">
        <v>72.5</v>
      </c>
      <c r="K345" s="5">
        <v>76.2</v>
      </c>
      <c r="L345" s="10">
        <v>0.41666666666666669</v>
      </c>
      <c r="M345" s="10">
        <v>0.62361111111111112</v>
      </c>
      <c r="N345" s="11">
        <f t="shared" si="179"/>
        <v>99.84</v>
      </c>
      <c r="O345" s="11">
        <f t="shared" si="174"/>
        <v>99.84</v>
      </c>
      <c r="P345" s="11">
        <f t="shared" si="178"/>
        <v>99.84</v>
      </c>
      <c r="Q345" s="11">
        <f t="shared" si="177"/>
        <v>99.839999999999989</v>
      </c>
      <c r="R345" s="5">
        <v>3</v>
      </c>
      <c r="S345" s="5">
        <v>4.7</v>
      </c>
      <c r="T345" s="5" t="s">
        <v>9</v>
      </c>
      <c r="U345" s="5" t="s">
        <v>62</v>
      </c>
      <c r="V345" s="5">
        <v>15.7</v>
      </c>
      <c r="W345" s="5">
        <v>4.5999999999999996</v>
      </c>
      <c r="X345" s="5">
        <v>56</v>
      </c>
      <c r="Y345" s="5">
        <v>2</v>
      </c>
      <c r="Z345" s="6"/>
      <c r="AA345" s="6"/>
      <c r="AB345" s="6"/>
    </row>
    <row r="346" spans="1:28" ht="16" x14ac:dyDescent="0.2">
      <c r="A346" s="4">
        <v>45817</v>
      </c>
      <c r="B346" s="19">
        <v>25160</v>
      </c>
      <c r="C346" s="5" t="s">
        <v>37</v>
      </c>
      <c r="D346" s="6"/>
      <c r="E346" s="15">
        <v>42.774216666699999</v>
      </c>
      <c r="F346" s="15">
        <v>-76.309277777800006</v>
      </c>
      <c r="G346" s="5" t="s">
        <v>78</v>
      </c>
      <c r="H346" s="5">
        <v>61.3</v>
      </c>
      <c r="I346" s="5">
        <v>92.1</v>
      </c>
      <c r="J346" s="5">
        <v>72.5</v>
      </c>
      <c r="K346" s="5">
        <v>76.2</v>
      </c>
      <c r="L346" s="10">
        <v>0.41666666666666669</v>
      </c>
      <c r="M346" s="10">
        <v>0.62361111111111112</v>
      </c>
      <c r="N346" s="11">
        <f t="shared" si="179"/>
        <v>99.84</v>
      </c>
      <c r="O346" s="11">
        <f t="shared" si="174"/>
        <v>99.84</v>
      </c>
      <c r="P346" s="11">
        <f t="shared" si="178"/>
        <v>99.84</v>
      </c>
      <c r="Q346" s="11">
        <f t="shared" si="177"/>
        <v>99.839999999999989</v>
      </c>
      <c r="R346" s="5">
        <v>3</v>
      </c>
      <c r="S346" s="5">
        <v>6.1</v>
      </c>
      <c r="T346" s="5" t="s">
        <v>9</v>
      </c>
      <c r="U346" s="5" t="s">
        <v>62</v>
      </c>
      <c r="V346" s="5">
        <v>15.8</v>
      </c>
      <c r="W346" s="5">
        <v>5.4</v>
      </c>
      <c r="X346" s="5">
        <v>55</v>
      </c>
      <c r="Y346" s="5">
        <v>4</v>
      </c>
      <c r="Z346" s="6"/>
      <c r="AA346" s="6"/>
      <c r="AB346" s="6"/>
    </row>
    <row r="347" spans="1:28" ht="16" x14ac:dyDescent="0.2">
      <c r="A347" s="4">
        <v>45817</v>
      </c>
      <c r="B347" s="19">
        <v>25160</v>
      </c>
      <c r="C347" s="5" t="s">
        <v>37</v>
      </c>
      <c r="D347" s="6"/>
      <c r="E347" s="15">
        <v>42.774216666699999</v>
      </c>
      <c r="F347" s="15">
        <v>-76.309277777800006</v>
      </c>
      <c r="G347" s="5" t="s">
        <v>78</v>
      </c>
      <c r="H347" s="5">
        <v>61.3</v>
      </c>
      <c r="I347" s="5">
        <v>92.1</v>
      </c>
      <c r="J347" s="5">
        <v>72.5</v>
      </c>
      <c r="K347" s="5">
        <v>76.2</v>
      </c>
      <c r="L347" s="10">
        <v>0.41666666666666669</v>
      </c>
      <c r="M347" s="10">
        <v>0.62361111111111112</v>
      </c>
      <c r="N347" s="11">
        <f t="shared" si="179"/>
        <v>99.84</v>
      </c>
      <c r="O347" s="11">
        <f t="shared" si="174"/>
        <v>99.84</v>
      </c>
      <c r="P347" s="11">
        <f t="shared" si="178"/>
        <v>99.84</v>
      </c>
      <c r="Q347" s="11">
        <f t="shared" si="177"/>
        <v>99.839999999999989</v>
      </c>
      <c r="R347" s="5">
        <v>3</v>
      </c>
      <c r="S347" s="5">
        <v>5.5</v>
      </c>
      <c r="T347" s="5" t="s">
        <v>9</v>
      </c>
      <c r="U347" s="5" t="s">
        <v>152</v>
      </c>
      <c r="V347" s="5">
        <v>16.7</v>
      </c>
      <c r="W347" s="5">
        <v>5.0999999999999996</v>
      </c>
      <c r="X347" s="5">
        <v>70</v>
      </c>
      <c r="Y347" s="5">
        <v>4.5</v>
      </c>
      <c r="Z347" s="6"/>
      <c r="AA347" s="6"/>
      <c r="AB347" s="6"/>
    </row>
    <row r="348" spans="1:28" ht="16" x14ac:dyDescent="0.2">
      <c r="A348" s="4">
        <v>45817</v>
      </c>
      <c r="B348" s="19">
        <v>25160</v>
      </c>
      <c r="C348" s="5" t="s">
        <v>37</v>
      </c>
      <c r="D348" s="6"/>
      <c r="E348" s="15">
        <v>42.774216666699999</v>
      </c>
      <c r="F348" s="15">
        <v>-76.309277777800006</v>
      </c>
      <c r="G348" s="5" t="s">
        <v>78</v>
      </c>
      <c r="H348" s="5">
        <v>61.3</v>
      </c>
      <c r="I348" s="5">
        <v>92.1</v>
      </c>
      <c r="J348" s="5">
        <v>72.5</v>
      </c>
      <c r="K348" s="5">
        <v>76.2</v>
      </c>
      <c r="L348" s="10">
        <v>0.41666666666666669</v>
      </c>
      <c r="M348" s="10">
        <v>0.62361111111111112</v>
      </c>
      <c r="N348" s="11">
        <f t="shared" si="179"/>
        <v>99.84</v>
      </c>
      <c r="O348" s="11">
        <f t="shared" si="174"/>
        <v>99.84</v>
      </c>
      <c r="P348" s="11">
        <f t="shared" si="178"/>
        <v>99.84</v>
      </c>
      <c r="Q348" s="11">
        <f t="shared" si="177"/>
        <v>99.839999999999989</v>
      </c>
      <c r="R348" s="5">
        <v>3</v>
      </c>
      <c r="S348" s="5">
        <v>15.1</v>
      </c>
      <c r="T348" s="5" t="s">
        <v>9</v>
      </c>
      <c r="U348" s="5" t="s">
        <v>55</v>
      </c>
      <c r="V348" s="5">
        <v>16.7</v>
      </c>
      <c r="W348" s="5">
        <v>5.2</v>
      </c>
      <c r="X348" s="5">
        <v>60</v>
      </c>
      <c r="Y348" s="5">
        <v>3.5</v>
      </c>
      <c r="Z348" s="6"/>
      <c r="AA348" s="6"/>
      <c r="AB348" s="6"/>
    </row>
    <row r="349" spans="1:28" ht="16" x14ac:dyDescent="0.2">
      <c r="A349" s="4">
        <v>45817</v>
      </c>
      <c r="B349" s="19">
        <v>25160</v>
      </c>
      <c r="C349" s="5" t="s">
        <v>37</v>
      </c>
      <c r="D349" s="6"/>
      <c r="E349" s="15">
        <v>42.774216666699999</v>
      </c>
      <c r="F349" s="15">
        <v>-76.309277777800006</v>
      </c>
      <c r="G349" s="5" t="s">
        <v>78</v>
      </c>
      <c r="H349" s="5">
        <v>61.3</v>
      </c>
      <c r="I349" s="5">
        <v>92.1</v>
      </c>
      <c r="J349" s="5">
        <v>72.5</v>
      </c>
      <c r="K349" s="5">
        <v>76.2</v>
      </c>
      <c r="L349" s="10">
        <v>0.41666666666666669</v>
      </c>
      <c r="M349" s="10">
        <v>0.62361111111111112</v>
      </c>
      <c r="N349" s="11">
        <f t="shared" si="179"/>
        <v>99.84</v>
      </c>
      <c r="O349" s="11">
        <f t="shared" si="174"/>
        <v>99.84</v>
      </c>
      <c r="P349" s="11">
        <f t="shared" si="178"/>
        <v>99.84</v>
      </c>
      <c r="Q349" s="11">
        <f t="shared" si="177"/>
        <v>99.839999999999989</v>
      </c>
      <c r="R349" s="5">
        <v>3</v>
      </c>
      <c r="S349" s="5">
        <v>16.899999999999999</v>
      </c>
      <c r="T349" s="5" t="s">
        <v>9</v>
      </c>
      <c r="U349" s="5" t="s">
        <v>55</v>
      </c>
      <c r="V349" s="5">
        <v>16.5</v>
      </c>
      <c r="W349" s="5">
        <v>5.0999999999999996</v>
      </c>
      <c r="X349" s="5">
        <v>55</v>
      </c>
      <c r="Y349" s="5">
        <v>3.5</v>
      </c>
      <c r="Z349" s="6"/>
      <c r="AA349" s="6"/>
      <c r="AB349" s="6"/>
    </row>
    <row r="350" spans="1:28" ht="16" x14ac:dyDescent="0.2">
      <c r="A350" s="4">
        <v>45817</v>
      </c>
      <c r="B350" s="19">
        <v>25160</v>
      </c>
      <c r="C350" s="5" t="s">
        <v>37</v>
      </c>
      <c r="D350" s="6"/>
      <c r="E350" s="15">
        <v>42.774216666699999</v>
      </c>
      <c r="F350" s="15">
        <v>-76.309277777800006</v>
      </c>
      <c r="G350" s="5" t="s">
        <v>78</v>
      </c>
      <c r="H350" s="5">
        <v>61.3</v>
      </c>
      <c r="I350" s="5">
        <v>92.1</v>
      </c>
      <c r="J350" s="5">
        <v>72.5</v>
      </c>
      <c r="K350" s="5">
        <v>76.2</v>
      </c>
      <c r="L350" s="10">
        <v>0.41666666666666669</v>
      </c>
      <c r="M350" s="10">
        <v>0.62361111111111112</v>
      </c>
      <c r="N350" s="11">
        <f t="shared" si="179"/>
        <v>99.84</v>
      </c>
      <c r="O350" s="11">
        <f t="shared" si="174"/>
        <v>99.84</v>
      </c>
      <c r="P350" s="11">
        <f t="shared" si="178"/>
        <v>99.84</v>
      </c>
      <c r="Q350" s="11">
        <f t="shared" si="177"/>
        <v>99.839999999999989</v>
      </c>
      <c r="R350" s="5">
        <v>3</v>
      </c>
      <c r="S350" s="5">
        <v>19.7</v>
      </c>
      <c r="T350" s="5" t="s">
        <v>9</v>
      </c>
      <c r="U350" s="5" t="s">
        <v>62</v>
      </c>
      <c r="V350" s="5">
        <v>16.2</v>
      </c>
      <c r="W350" s="5">
        <v>4.9000000000000004</v>
      </c>
      <c r="X350" s="5">
        <v>55</v>
      </c>
      <c r="Y350" s="5">
        <v>2.5</v>
      </c>
      <c r="Z350" s="6"/>
      <c r="AA350" s="6"/>
      <c r="AB350" s="6"/>
    </row>
    <row r="351" spans="1:28" ht="16" x14ac:dyDescent="0.2">
      <c r="A351" s="4">
        <v>45817</v>
      </c>
      <c r="B351" s="19">
        <v>25160</v>
      </c>
      <c r="C351" s="5" t="s">
        <v>37</v>
      </c>
      <c r="D351" s="6"/>
      <c r="E351" s="15">
        <v>42.774216666699999</v>
      </c>
      <c r="F351" s="15">
        <v>-76.309277777800006</v>
      </c>
      <c r="G351" s="5" t="s">
        <v>78</v>
      </c>
      <c r="H351" s="5">
        <v>61.3</v>
      </c>
      <c r="I351" s="5">
        <v>92.1</v>
      </c>
      <c r="J351" s="5">
        <v>72.5</v>
      </c>
      <c r="K351" s="5">
        <v>76.2</v>
      </c>
      <c r="L351" s="10">
        <v>0.41666666666666669</v>
      </c>
      <c r="M351" s="10">
        <v>0.62361111111111112</v>
      </c>
      <c r="N351" s="11">
        <f t="shared" si="179"/>
        <v>99.84</v>
      </c>
      <c r="O351" s="11">
        <f t="shared" si="174"/>
        <v>99.84</v>
      </c>
      <c r="P351" s="11">
        <f t="shared" si="178"/>
        <v>99.84</v>
      </c>
      <c r="Q351" s="11">
        <f t="shared" si="177"/>
        <v>99.839999999999989</v>
      </c>
      <c r="R351" s="5">
        <v>3</v>
      </c>
      <c r="S351" s="5">
        <v>30</v>
      </c>
      <c r="T351" s="5" t="s">
        <v>9</v>
      </c>
      <c r="U351" s="5" t="s">
        <v>62</v>
      </c>
      <c r="V351" s="5">
        <v>16.3</v>
      </c>
      <c r="W351" s="5">
        <v>5</v>
      </c>
      <c r="X351" s="5">
        <v>50</v>
      </c>
      <c r="Y351" s="5">
        <v>2</v>
      </c>
      <c r="Z351" s="6"/>
      <c r="AA351" s="6"/>
      <c r="AB351" s="6"/>
    </row>
    <row r="352" spans="1:28" ht="16" x14ac:dyDescent="0.2">
      <c r="A352" s="4">
        <v>45817</v>
      </c>
      <c r="B352" s="19">
        <v>25160</v>
      </c>
      <c r="C352" s="5" t="s">
        <v>37</v>
      </c>
      <c r="D352" s="6"/>
      <c r="E352" s="15">
        <v>42.774216666699999</v>
      </c>
      <c r="F352" s="15">
        <v>-76.309277777800006</v>
      </c>
      <c r="G352" s="5" t="s">
        <v>78</v>
      </c>
      <c r="H352" s="5">
        <v>61.3</v>
      </c>
      <c r="I352" s="5">
        <v>92.1</v>
      </c>
      <c r="J352" s="5">
        <v>72.5</v>
      </c>
      <c r="K352" s="5">
        <v>76.2</v>
      </c>
      <c r="L352" s="10">
        <v>0.41666666666666669</v>
      </c>
      <c r="M352" s="10">
        <v>0.62361111111111112</v>
      </c>
      <c r="N352" s="11">
        <f t="shared" si="179"/>
        <v>99.84</v>
      </c>
      <c r="O352" s="11">
        <f t="shared" si="174"/>
        <v>99.84</v>
      </c>
      <c r="P352" s="11">
        <f t="shared" si="178"/>
        <v>99.84</v>
      </c>
      <c r="Q352" s="11">
        <f t="shared" si="177"/>
        <v>99.839999999999989</v>
      </c>
      <c r="R352" s="5">
        <v>3</v>
      </c>
      <c r="S352" s="5">
        <v>25.8</v>
      </c>
      <c r="T352" s="5" t="s">
        <v>9</v>
      </c>
      <c r="U352" s="5" t="s">
        <v>55</v>
      </c>
      <c r="V352" s="5">
        <v>15.4</v>
      </c>
      <c r="W352" s="5">
        <v>5.6</v>
      </c>
      <c r="X352" s="5">
        <v>51</v>
      </c>
      <c r="Y352" s="5">
        <v>4</v>
      </c>
      <c r="Z352" s="6"/>
      <c r="AA352" s="6"/>
      <c r="AB352" s="6"/>
    </row>
    <row r="353" spans="1:28" ht="16" x14ac:dyDescent="0.2">
      <c r="A353" s="4">
        <v>45817</v>
      </c>
      <c r="B353" s="19">
        <v>25160</v>
      </c>
      <c r="C353" s="5" t="s">
        <v>37</v>
      </c>
      <c r="D353" s="6"/>
      <c r="E353" s="15">
        <v>42.774216666699999</v>
      </c>
      <c r="F353" s="15">
        <v>-76.309277777800006</v>
      </c>
      <c r="G353" s="5" t="s">
        <v>78</v>
      </c>
      <c r="H353" s="5">
        <v>61.3</v>
      </c>
      <c r="I353" s="5">
        <v>92.1</v>
      </c>
      <c r="J353" s="5">
        <v>72.5</v>
      </c>
      <c r="K353" s="5">
        <v>76.2</v>
      </c>
      <c r="L353" s="10">
        <v>0.41666666666666669</v>
      </c>
      <c r="M353" s="10">
        <v>0.62361111111111112</v>
      </c>
      <c r="N353" s="11">
        <f t="shared" si="179"/>
        <v>99.84</v>
      </c>
      <c r="O353" s="11">
        <f t="shared" si="174"/>
        <v>99.84</v>
      </c>
      <c r="P353" s="11">
        <f t="shared" si="178"/>
        <v>99.84</v>
      </c>
      <c r="Q353" s="11">
        <f t="shared" si="177"/>
        <v>99.839999999999989</v>
      </c>
      <c r="R353" s="5">
        <v>3</v>
      </c>
      <c r="S353" s="5">
        <v>24</v>
      </c>
      <c r="T353" s="5" t="s">
        <v>9</v>
      </c>
      <c r="U353" s="5" t="s">
        <v>62</v>
      </c>
      <c r="V353" s="5">
        <v>15.4</v>
      </c>
      <c r="W353" s="5">
        <v>5.2</v>
      </c>
      <c r="X353" s="5">
        <v>52</v>
      </c>
      <c r="Y353" s="5">
        <v>3</v>
      </c>
      <c r="Z353" s="6"/>
      <c r="AA353" s="6"/>
      <c r="AB353" s="6"/>
    </row>
    <row r="354" spans="1:28" ht="16" x14ac:dyDescent="0.2">
      <c r="A354" s="4">
        <v>45818</v>
      </c>
      <c r="B354" s="19">
        <v>25161</v>
      </c>
      <c r="C354" s="5" t="s">
        <v>38</v>
      </c>
      <c r="D354" s="5" t="s">
        <v>157</v>
      </c>
      <c r="E354" s="15">
        <v>42.779716666699997</v>
      </c>
      <c r="F354" s="15">
        <v>-76.036977777800004</v>
      </c>
      <c r="G354" s="5" t="s">
        <v>158</v>
      </c>
      <c r="H354" s="5">
        <v>62.5</v>
      </c>
      <c r="I354" s="5">
        <v>93.3</v>
      </c>
      <c r="J354" s="5">
        <v>66</v>
      </c>
      <c r="K354" s="5">
        <v>63.1</v>
      </c>
      <c r="L354" s="10">
        <v>0.3923611111111111</v>
      </c>
      <c r="M354" s="10">
        <v>0.5625</v>
      </c>
      <c r="N354" s="11">
        <f t="shared" ref="N354:N381" si="180">AVERAGE(96,96,96,93)*1.04</f>
        <v>99.06</v>
      </c>
      <c r="O354" s="11">
        <f t="shared" si="174"/>
        <v>99.84</v>
      </c>
      <c r="P354" s="11">
        <f t="shared" si="178"/>
        <v>99.84</v>
      </c>
      <c r="Q354" s="11">
        <f t="shared" si="177"/>
        <v>99.58</v>
      </c>
      <c r="R354" s="5">
        <v>1</v>
      </c>
      <c r="S354" s="5">
        <v>0</v>
      </c>
      <c r="T354" s="5" t="s">
        <v>9</v>
      </c>
      <c r="U354" s="5" t="s">
        <v>62</v>
      </c>
      <c r="V354" s="5">
        <v>17.2</v>
      </c>
      <c r="W354" s="5">
        <v>5.9</v>
      </c>
      <c r="X354" s="5">
        <v>61</v>
      </c>
      <c r="Y354" s="5">
        <v>2.5</v>
      </c>
      <c r="Z354" s="5"/>
      <c r="AA354" s="5" t="s">
        <v>159</v>
      </c>
      <c r="AB354" s="6"/>
    </row>
    <row r="355" spans="1:28" ht="16" x14ac:dyDescent="0.2">
      <c r="A355" s="4">
        <v>45818</v>
      </c>
      <c r="B355" s="19">
        <v>25161</v>
      </c>
      <c r="C355" s="5" t="s">
        <v>38</v>
      </c>
      <c r="D355" s="6"/>
      <c r="E355" s="15">
        <v>42.779716666699997</v>
      </c>
      <c r="F355" s="15">
        <v>-76.036977777800004</v>
      </c>
      <c r="G355" s="5" t="s">
        <v>158</v>
      </c>
      <c r="H355" s="5">
        <v>62.5</v>
      </c>
      <c r="I355" s="5">
        <v>93.3</v>
      </c>
      <c r="J355" s="5">
        <v>66</v>
      </c>
      <c r="K355" s="5">
        <v>63.1</v>
      </c>
      <c r="L355" s="10">
        <v>0.3923611111111111</v>
      </c>
      <c r="M355" s="10">
        <v>0.5625</v>
      </c>
      <c r="N355" s="11">
        <f t="shared" si="180"/>
        <v>99.06</v>
      </c>
      <c r="O355" s="11">
        <f t="shared" si="174"/>
        <v>99.84</v>
      </c>
      <c r="P355" s="11">
        <f t="shared" si="178"/>
        <v>99.84</v>
      </c>
      <c r="Q355" s="11">
        <f t="shared" si="177"/>
        <v>99.58</v>
      </c>
      <c r="R355" s="5">
        <v>1</v>
      </c>
      <c r="S355" s="5">
        <v>2.4</v>
      </c>
      <c r="T355" s="5" t="s">
        <v>9</v>
      </c>
      <c r="U355" s="5" t="s">
        <v>55</v>
      </c>
      <c r="V355" s="5">
        <v>18.3</v>
      </c>
      <c r="W355" s="5">
        <v>5.8</v>
      </c>
      <c r="X355" s="5">
        <v>60</v>
      </c>
      <c r="Y355" s="5">
        <v>3</v>
      </c>
      <c r="Z355" s="6"/>
      <c r="AA355" s="6"/>
      <c r="AB355" s="6"/>
    </row>
    <row r="356" spans="1:28" ht="16" x14ac:dyDescent="0.2">
      <c r="A356" s="4">
        <v>45818</v>
      </c>
      <c r="B356" s="19">
        <v>25161</v>
      </c>
      <c r="C356" s="5" t="s">
        <v>38</v>
      </c>
      <c r="D356" s="6"/>
      <c r="E356" s="15">
        <v>42.779716666699997</v>
      </c>
      <c r="F356" s="15">
        <v>-76.036977777800004</v>
      </c>
      <c r="G356" s="5" t="s">
        <v>158</v>
      </c>
      <c r="H356" s="5">
        <v>62.5</v>
      </c>
      <c r="I356" s="5">
        <v>93.3</v>
      </c>
      <c r="J356" s="5">
        <v>66</v>
      </c>
      <c r="K356" s="5">
        <v>63.1</v>
      </c>
      <c r="L356" s="10">
        <v>0.3923611111111111</v>
      </c>
      <c r="M356" s="10">
        <v>0.5625</v>
      </c>
      <c r="N356" s="11">
        <f t="shared" si="180"/>
        <v>99.06</v>
      </c>
      <c r="O356" s="11">
        <f t="shared" si="174"/>
        <v>99.84</v>
      </c>
      <c r="P356" s="11">
        <f t="shared" si="178"/>
        <v>99.84</v>
      </c>
      <c r="Q356" s="11">
        <f t="shared" si="177"/>
        <v>99.58</v>
      </c>
      <c r="R356" s="5">
        <v>1</v>
      </c>
      <c r="S356" s="5">
        <v>3.4</v>
      </c>
      <c r="T356" s="5" t="s">
        <v>9</v>
      </c>
      <c r="U356" s="5" t="s">
        <v>55</v>
      </c>
      <c r="V356" s="5">
        <v>17.8</v>
      </c>
      <c r="W356" s="5">
        <v>5.6</v>
      </c>
      <c r="X356" s="5">
        <v>60</v>
      </c>
      <c r="Y356" s="5">
        <v>2</v>
      </c>
      <c r="Z356" s="6"/>
      <c r="AA356" s="6"/>
      <c r="AB356" s="6"/>
    </row>
    <row r="357" spans="1:28" ht="16" x14ac:dyDescent="0.2">
      <c r="A357" s="4">
        <v>45818</v>
      </c>
      <c r="B357" s="19">
        <v>25161</v>
      </c>
      <c r="C357" s="5" t="s">
        <v>38</v>
      </c>
      <c r="D357" s="6"/>
      <c r="E357" s="15">
        <v>42.779716666699997</v>
      </c>
      <c r="F357" s="15">
        <v>-76.036977777800004</v>
      </c>
      <c r="G357" s="5" t="s">
        <v>158</v>
      </c>
      <c r="H357" s="5">
        <v>62.5</v>
      </c>
      <c r="I357" s="5">
        <v>93.3</v>
      </c>
      <c r="J357" s="5">
        <v>66</v>
      </c>
      <c r="K357" s="5">
        <v>63.1</v>
      </c>
      <c r="L357" s="10">
        <v>0.3923611111111111</v>
      </c>
      <c r="M357" s="10">
        <v>0.5625</v>
      </c>
      <c r="N357" s="11">
        <f t="shared" si="180"/>
        <v>99.06</v>
      </c>
      <c r="O357" s="11">
        <f t="shared" si="174"/>
        <v>99.84</v>
      </c>
      <c r="P357" s="11">
        <f t="shared" si="178"/>
        <v>99.84</v>
      </c>
      <c r="Q357" s="11">
        <f t="shared" si="177"/>
        <v>99.58</v>
      </c>
      <c r="R357" s="5">
        <v>1</v>
      </c>
      <c r="S357" s="5">
        <v>12.3</v>
      </c>
      <c r="T357" s="5" t="s">
        <v>9</v>
      </c>
      <c r="U357" s="5" t="s">
        <v>55</v>
      </c>
      <c r="V357" s="5">
        <v>17.399999999999999</v>
      </c>
      <c r="W357" s="5">
        <v>5.2</v>
      </c>
      <c r="X357" s="5">
        <v>58</v>
      </c>
      <c r="Y357" s="5">
        <v>1.5</v>
      </c>
      <c r="Z357" s="6"/>
      <c r="AA357" s="6"/>
      <c r="AB357" s="6"/>
    </row>
    <row r="358" spans="1:28" ht="16" x14ac:dyDescent="0.2">
      <c r="A358" s="4">
        <v>45818</v>
      </c>
      <c r="B358" s="19">
        <v>25161</v>
      </c>
      <c r="C358" s="5" t="s">
        <v>38</v>
      </c>
      <c r="D358" s="6"/>
      <c r="E358" s="15">
        <v>42.779716666699997</v>
      </c>
      <c r="F358" s="15">
        <v>-76.036977777800004</v>
      </c>
      <c r="G358" s="5" t="s">
        <v>158</v>
      </c>
      <c r="H358" s="5">
        <v>62.5</v>
      </c>
      <c r="I358" s="5">
        <v>93.3</v>
      </c>
      <c r="J358" s="5">
        <v>66</v>
      </c>
      <c r="K358" s="5">
        <v>63.1</v>
      </c>
      <c r="L358" s="10">
        <v>0.3923611111111111</v>
      </c>
      <c r="M358" s="10">
        <v>0.5625</v>
      </c>
      <c r="N358" s="11">
        <f t="shared" si="180"/>
        <v>99.06</v>
      </c>
      <c r="O358" s="11">
        <f t="shared" si="174"/>
        <v>99.84</v>
      </c>
      <c r="P358" s="11">
        <f t="shared" si="178"/>
        <v>99.84</v>
      </c>
      <c r="Q358" s="11">
        <f t="shared" si="177"/>
        <v>99.58</v>
      </c>
      <c r="R358" s="5">
        <v>1</v>
      </c>
      <c r="S358" s="5">
        <v>12.1</v>
      </c>
      <c r="T358" s="5" t="s">
        <v>9</v>
      </c>
      <c r="U358" s="5" t="s">
        <v>55</v>
      </c>
      <c r="V358" s="5">
        <v>17.8</v>
      </c>
      <c r="W358" s="5">
        <v>5.5</v>
      </c>
      <c r="X358" s="5">
        <v>58</v>
      </c>
      <c r="Y358" s="5">
        <v>2.5</v>
      </c>
      <c r="Z358" s="6"/>
      <c r="AA358" s="6"/>
      <c r="AB358" s="6"/>
    </row>
    <row r="359" spans="1:28" ht="16" x14ac:dyDescent="0.2">
      <c r="A359" s="4">
        <v>45818</v>
      </c>
      <c r="B359" s="19">
        <v>25161</v>
      </c>
      <c r="C359" s="5" t="s">
        <v>38</v>
      </c>
      <c r="D359" s="6"/>
      <c r="E359" s="15">
        <v>42.779716666699997</v>
      </c>
      <c r="F359" s="15">
        <v>-76.036977777800004</v>
      </c>
      <c r="G359" s="5" t="s">
        <v>158</v>
      </c>
      <c r="H359" s="5">
        <v>62.5</v>
      </c>
      <c r="I359" s="5">
        <v>93.3</v>
      </c>
      <c r="J359" s="5">
        <v>66</v>
      </c>
      <c r="K359" s="5">
        <v>63.1</v>
      </c>
      <c r="L359" s="10">
        <v>0.3923611111111111</v>
      </c>
      <c r="M359" s="10">
        <v>0.5625</v>
      </c>
      <c r="N359" s="11">
        <f t="shared" si="180"/>
        <v>99.06</v>
      </c>
      <c r="O359" s="11">
        <f t="shared" si="174"/>
        <v>99.84</v>
      </c>
      <c r="P359" s="11">
        <f t="shared" si="178"/>
        <v>99.84</v>
      </c>
      <c r="Q359" s="11">
        <f t="shared" si="177"/>
        <v>99.58</v>
      </c>
      <c r="R359" s="5">
        <v>1</v>
      </c>
      <c r="S359" s="5">
        <v>13</v>
      </c>
      <c r="T359" s="5" t="s">
        <v>9</v>
      </c>
      <c r="U359" s="5" t="s">
        <v>55</v>
      </c>
      <c r="V359" s="5">
        <v>17.3</v>
      </c>
      <c r="W359" s="5">
        <v>5.4</v>
      </c>
      <c r="X359" s="5">
        <v>50</v>
      </c>
      <c r="Y359" s="5">
        <v>2.5</v>
      </c>
      <c r="Z359" s="5" t="s">
        <v>108</v>
      </c>
      <c r="AA359" s="6"/>
      <c r="AB359" s="6"/>
    </row>
    <row r="360" spans="1:28" ht="16" x14ac:dyDescent="0.2">
      <c r="A360" s="4">
        <v>45818</v>
      </c>
      <c r="B360" s="19">
        <v>25161</v>
      </c>
      <c r="C360" s="5" t="s">
        <v>38</v>
      </c>
      <c r="D360" s="6"/>
      <c r="E360" s="15">
        <v>42.779716666699997</v>
      </c>
      <c r="F360" s="15">
        <v>-76.036977777800004</v>
      </c>
      <c r="G360" s="5" t="s">
        <v>158</v>
      </c>
      <c r="H360" s="5">
        <v>62.5</v>
      </c>
      <c r="I360" s="5">
        <v>93.3</v>
      </c>
      <c r="J360" s="5">
        <v>66</v>
      </c>
      <c r="K360" s="5">
        <v>63.1</v>
      </c>
      <c r="L360" s="10">
        <v>0.3923611111111111</v>
      </c>
      <c r="M360" s="10">
        <v>0.5625</v>
      </c>
      <c r="N360" s="11">
        <f t="shared" si="180"/>
        <v>99.06</v>
      </c>
      <c r="O360" s="11">
        <f t="shared" si="174"/>
        <v>99.84</v>
      </c>
      <c r="P360" s="11">
        <f t="shared" si="178"/>
        <v>99.84</v>
      </c>
      <c r="Q360" s="11">
        <f t="shared" si="177"/>
        <v>99.58</v>
      </c>
      <c r="R360" s="5">
        <v>1</v>
      </c>
      <c r="S360" s="5">
        <v>30</v>
      </c>
      <c r="T360" s="5" t="s">
        <v>9</v>
      </c>
      <c r="U360" s="5" t="s">
        <v>55</v>
      </c>
      <c r="V360" s="5">
        <v>16.899999999999999</v>
      </c>
      <c r="W360" s="5">
        <v>5.7</v>
      </c>
      <c r="X360" s="5">
        <v>45</v>
      </c>
      <c r="Y360" s="5">
        <v>2</v>
      </c>
      <c r="Z360" s="5"/>
      <c r="AA360" s="5" t="s">
        <v>160</v>
      </c>
      <c r="AB360" s="6"/>
    </row>
    <row r="361" spans="1:28" ht="16" x14ac:dyDescent="0.2">
      <c r="A361" s="4">
        <v>45818</v>
      </c>
      <c r="B361" s="19">
        <v>25161</v>
      </c>
      <c r="C361" s="5" t="s">
        <v>38</v>
      </c>
      <c r="D361" s="6"/>
      <c r="E361" s="15">
        <v>42.779716666699997</v>
      </c>
      <c r="F361" s="15">
        <v>-76.036977777800004</v>
      </c>
      <c r="G361" s="5" t="s">
        <v>158</v>
      </c>
      <c r="H361" s="5">
        <v>62.5</v>
      </c>
      <c r="I361" s="5">
        <v>93.3</v>
      </c>
      <c r="J361" s="5">
        <v>66</v>
      </c>
      <c r="K361" s="5">
        <v>63.1</v>
      </c>
      <c r="L361" s="10">
        <v>0.3923611111111111</v>
      </c>
      <c r="M361" s="10">
        <v>0.5625</v>
      </c>
      <c r="N361" s="11">
        <f t="shared" si="180"/>
        <v>99.06</v>
      </c>
      <c r="O361" s="11">
        <f t="shared" si="174"/>
        <v>99.84</v>
      </c>
      <c r="P361" s="11">
        <f t="shared" si="178"/>
        <v>99.84</v>
      </c>
      <c r="Q361" s="11">
        <f t="shared" si="177"/>
        <v>99.58</v>
      </c>
      <c r="R361" s="5">
        <v>1</v>
      </c>
      <c r="S361" s="5">
        <v>28</v>
      </c>
      <c r="T361" s="5" t="s">
        <v>9</v>
      </c>
      <c r="U361" s="5" t="s">
        <v>55</v>
      </c>
      <c r="V361" s="5">
        <v>17.399999999999999</v>
      </c>
      <c r="W361" s="5">
        <v>5.8</v>
      </c>
      <c r="X361" s="5">
        <v>60</v>
      </c>
      <c r="Y361" s="5">
        <v>2.5</v>
      </c>
      <c r="Z361" s="6"/>
      <c r="AA361" s="6"/>
      <c r="AB361" s="6"/>
    </row>
    <row r="362" spans="1:28" ht="16" x14ac:dyDescent="0.2">
      <c r="A362" s="4">
        <v>45818</v>
      </c>
      <c r="B362" s="19">
        <v>25161</v>
      </c>
      <c r="C362" s="5" t="s">
        <v>38</v>
      </c>
      <c r="D362" s="6"/>
      <c r="E362" s="15">
        <v>42.779716666699997</v>
      </c>
      <c r="F362" s="15">
        <v>-76.036977777800004</v>
      </c>
      <c r="G362" s="5" t="s">
        <v>158</v>
      </c>
      <c r="H362" s="5">
        <v>62.5</v>
      </c>
      <c r="I362" s="5">
        <v>93.3</v>
      </c>
      <c r="J362" s="5">
        <v>66</v>
      </c>
      <c r="K362" s="5">
        <v>63.1</v>
      </c>
      <c r="L362" s="10">
        <v>0.3923611111111111</v>
      </c>
      <c r="M362" s="10">
        <v>0.5625</v>
      </c>
      <c r="N362" s="11">
        <f t="shared" si="180"/>
        <v>99.06</v>
      </c>
      <c r="O362" s="11">
        <f t="shared" si="174"/>
        <v>99.84</v>
      </c>
      <c r="P362" s="11">
        <f t="shared" si="178"/>
        <v>99.84</v>
      </c>
      <c r="Q362" s="11">
        <f t="shared" si="177"/>
        <v>99.58</v>
      </c>
      <c r="R362" s="5">
        <v>1</v>
      </c>
      <c r="S362" s="5">
        <v>24.8</v>
      </c>
      <c r="T362" s="5" t="s">
        <v>9</v>
      </c>
      <c r="U362" s="5" t="s">
        <v>55</v>
      </c>
      <c r="V362" s="5">
        <v>17.2</v>
      </c>
      <c r="W362" s="5">
        <v>5.2</v>
      </c>
      <c r="X362" s="5">
        <v>68</v>
      </c>
      <c r="Y362" s="5">
        <v>3</v>
      </c>
      <c r="Z362" s="6"/>
      <c r="AA362" s="6"/>
      <c r="AB362" s="6"/>
    </row>
    <row r="363" spans="1:28" ht="16" x14ac:dyDescent="0.2">
      <c r="A363" s="4">
        <v>45818</v>
      </c>
      <c r="B363" s="19">
        <v>25161</v>
      </c>
      <c r="C363" s="5" t="s">
        <v>38</v>
      </c>
      <c r="D363" s="6"/>
      <c r="E363" s="15">
        <v>42.779716666699997</v>
      </c>
      <c r="F363" s="15">
        <v>-76.036977777800004</v>
      </c>
      <c r="G363" s="5" t="s">
        <v>158</v>
      </c>
      <c r="H363" s="5">
        <v>62.5</v>
      </c>
      <c r="I363" s="5">
        <v>93.3</v>
      </c>
      <c r="J363" s="5">
        <v>66</v>
      </c>
      <c r="K363" s="5">
        <v>63.1</v>
      </c>
      <c r="L363" s="10">
        <v>0.3923611111111111</v>
      </c>
      <c r="M363" s="10">
        <v>0.5625</v>
      </c>
      <c r="N363" s="11">
        <f t="shared" si="180"/>
        <v>99.06</v>
      </c>
      <c r="O363" s="11">
        <f t="shared" si="174"/>
        <v>99.84</v>
      </c>
      <c r="P363" s="11">
        <f t="shared" si="178"/>
        <v>99.84</v>
      </c>
      <c r="Q363" s="11">
        <f t="shared" si="177"/>
        <v>99.58</v>
      </c>
      <c r="R363" s="5">
        <v>2</v>
      </c>
      <c r="S363" s="5">
        <v>0.8</v>
      </c>
      <c r="T363" s="5" t="s">
        <v>9</v>
      </c>
      <c r="U363" s="5" t="s">
        <v>55</v>
      </c>
      <c r="V363" s="5">
        <v>17.899999999999999</v>
      </c>
      <c r="W363" s="5">
        <v>5.4</v>
      </c>
      <c r="X363" s="5">
        <v>55</v>
      </c>
      <c r="Y363" s="5">
        <v>2</v>
      </c>
      <c r="Z363" s="6"/>
      <c r="AA363" s="6"/>
      <c r="AB363" s="6"/>
    </row>
    <row r="364" spans="1:28" ht="16" x14ac:dyDescent="0.2">
      <c r="A364" s="4">
        <v>45818</v>
      </c>
      <c r="B364" s="19">
        <v>25161</v>
      </c>
      <c r="C364" s="5" t="s">
        <v>38</v>
      </c>
      <c r="D364" s="6"/>
      <c r="E364" s="15">
        <v>42.779716666699997</v>
      </c>
      <c r="F364" s="15">
        <v>-76.036977777800004</v>
      </c>
      <c r="G364" s="5" t="s">
        <v>158</v>
      </c>
      <c r="H364" s="5">
        <v>62.5</v>
      </c>
      <c r="I364" s="5">
        <v>93.3</v>
      </c>
      <c r="J364" s="5">
        <v>66</v>
      </c>
      <c r="K364" s="5">
        <v>63.1</v>
      </c>
      <c r="L364" s="10">
        <v>0.3923611111111111</v>
      </c>
      <c r="M364" s="10">
        <v>0.5625</v>
      </c>
      <c r="N364" s="11">
        <f t="shared" si="180"/>
        <v>99.06</v>
      </c>
      <c r="O364" s="11">
        <f t="shared" si="174"/>
        <v>99.84</v>
      </c>
      <c r="P364" s="11">
        <f t="shared" si="178"/>
        <v>99.84</v>
      </c>
      <c r="Q364" s="11">
        <f t="shared" si="177"/>
        <v>99.58</v>
      </c>
      <c r="R364" s="5">
        <v>2</v>
      </c>
      <c r="S364" s="5">
        <v>2.9</v>
      </c>
      <c r="T364" s="5" t="s">
        <v>9</v>
      </c>
      <c r="U364" s="5" t="s">
        <v>55</v>
      </c>
      <c r="V364" s="5">
        <v>17.600000000000001</v>
      </c>
      <c r="W364" s="5">
        <v>5.8</v>
      </c>
      <c r="X364" s="5">
        <v>40</v>
      </c>
      <c r="Y364" s="5">
        <v>2.5</v>
      </c>
      <c r="Z364" s="6"/>
      <c r="AA364" s="6"/>
      <c r="AB364" s="6"/>
    </row>
    <row r="365" spans="1:28" ht="16" x14ac:dyDescent="0.2">
      <c r="A365" s="4">
        <v>45818</v>
      </c>
      <c r="B365" s="19">
        <v>25161</v>
      </c>
      <c r="C365" s="5" t="s">
        <v>38</v>
      </c>
      <c r="D365" s="6"/>
      <c r="E365" s="15">
        <v>42.779716666699997</v>
      </c>
      <c r="F365" s="15">
        <v>-76.036977777800004</v>
      </c>
      <c r="G365" s="5" t="s">
        <v>158</v>
      </c>
      <c r="H365" s="5">
        <v>62.5</v>
      </c>
      <c r="I365" s="5">
        <v>93.3</v>
      </c>
      <c r="J365" s="5">
        <v>66</v>
      </c>
      <c r="K365" s="5">
        <v>63.1</v>
      </c>
      <c r="L365" s="10">
        <v>0.3923611111111111</v>
      </c>
      <c r="M365" s="10">
        <v>0.5625</v>
      </c>
      <c r="N365" s="11">
        <f t="shared" si="180"/>
        <v>99.06</v>
      </c>
      <c r="O365" s="11">
        <f t="shared" si="174"/>
        <v>99.84</v>
      </c>
      <c r="P365" s="11">
        <f t="shared" si="178"/>
        <v>99.84</v>
      </c>
      <c r="Q365" s="11">
        <f t="shared" si="177"/>
        <v>99.58</v>
      </c>
      <c r="R365" s="5">
        <v>2</v>
      </c>
      <c r="S365" s="5">
        <v>0.6</v>
      </c>
      <c r="T365" s="5" t="s">
        <v>9</v>
      </c>
      <c r="U365" s="5" t="s">
        <v>55</v>
      </c>
      <c r="V365" s="5">
        <v>17.399999999999999</v>
      </c>
      <c r="W365" s="5">
        <v>5.4</v>
      </c>
      <c r="X365" s="5">
        <v>58</v>
      </c>
      <c r="Y365" s="5">
        <v>2.5</v>
      </c>
      <c r="Z365" s="6"/>
      <c r="AA365" s="6"/>
      <c r="AB365" s="6"/>
    </row>
    <row r="366" spans="1:28" ht="16" x14ac:dyDescent="0.2">
      <c r="A366" s="4">
        <v>45818</v>
      </c>
      <c r="B366" s="19">
        <v>25161</v>
      </c>
      <c r="C366" s="5" t="s">
        <v>38</v>
      </c>
      <c r="D366" s="6"/>
      <c r="E366" s="15">
        <v>42.779716666699997</v>
      </c>
      <c r="F366" s="15">
        <v>-76.036977777800004</v>
      </c>
      <c r="G366" s="5" t="s">
        <v>158</v>
      </c>
      <c r="H366" s="5">
        <v>62.5</v>
      </c>
      <c r="I366" s="5">
        <v>93.3</v>
      </c>
      <c r="J366" s="5">
        <v>66</v>
      </c>
      <c r="K366" s="5">
        <v>63.1</v>
      </c>
      <c r="L366" s="10">
        <v>0.3923611111111111</v>
      </c>
      <c r="M366" s="10">
        <v>0.5625</v>
      </c>
      <c r="N366" s="11">
        <f t="shared" si="180"/>
        <v>99.06</v>
      </c>
      <c r="O366" s="11">
        <f t="shared" si="174"/>
        <v>99.84</v>
      </c>
      <c r="P366" s="11">
        <f t="shared" si="178"/>
        <v>99.84</v>
      </c>
      <c r="Q366" s="11">
        <f t="shared" si="177"/>
        <v>99.58</v>
      </c>
      <c r="R366" s="5">
        <v>2</v>
      </c>
      <c r="S366" s="5">
        <v>7.3</v>
      </c>
      <c r="T366" s="5" t="s">
        <v>9</v>
      </c>
      <c r="U366" s="5" t="s">
        <v>64</v>
      </c>
      <c r="V366" s="5">
        <v>18.3</v>
      </c>
      <c r="W366" s="5">
        <v>5.8</v>
      </c>
      <c r="X366" s="5">
        <v>40</v>
      </c>
      <c r="Y366" s="5">
        <v>2.5</v>
      </c>
      <c r="Z366" s="5"/>
      <c r="AA366" s="5" t="s">
        <v>161</v>
      </c>
      <c r="AB366" s="6"/>
    </row>
    <row r="367" spans="1:28" ht="16" x14ac:dyDescent="0.2">
      <c r="A367" s="4">
        <v>45818</v>
      </c>
      <c r="B367" s="19">
        <v>25161</v>
      </c>
      <c r="C367" s="5" t="s">
        <v>38</v>
      </c>
      <c r="D367" s="6"/>
      <c r="E367" s="15">
        <v>42.779716666699997</v>
      </c>
      <c r="F367" s="15">
        <v>-76.036977777800004</v>
      </c>
      <c r="G367" s="5" t="s">
        <v>158</v>
      </c>
      <c r="H367" s="5">
        <v>62.5</v>
      </c>
      <c r="I367" s="5">
        <v>93.3</v>
      </c>
      <c r="J367" s="5">
        <v>66</v>
      </c>
      <c r="K367" s="5">
        <v>63.1</v>
      </c>
      <c r="L367" s="10">
        <v>0.3923611111111111</v>
      </c>
      <c r="M367" s="10">
        <v>0.5625</v>
      </c>
      <c r="N367" s="11">
        <f t="shared" si="180"/>
        <v>99.06</v>
      </c>
      <c r="O367" s="11">
        <f t="shared" si="174"/>
        <v>99.84</v>
      </c>
      <c r="P367" s="11">
        <f t="shared" si="178"/>
        <v>99.84</v>
      </c>
      <c r="Q367" s="11">
        <f t="shared" si="177"/>
        <v>99.58</v>
      </c>
      <c r="R367" s="5">
        <v>2</v>
      </c>
      <c r="S367" s="5">
        <v>12</v>
      </c>
      <c r="T367" s="5" t="s">
        <v>9</v>
      </c>
      <c r="U367" s="5" t="s">
        <v>55</v>
      </c>
      <c r="V367" s="5">
        <v>18.100000000000001</v>
      </c>
      <c r="W367" s="5">
        <v>5.3</v>
      </c>
      <c r="X367" s="5">
        <v>55</v>
      </c>
      <c r="Y367" s="5">
        <v>2</v>
      </c>
      <c r="Z367" s="6"/>
      <c r="AA367" s="6"/>
      <c r="AB367" s="6"/>
    </row>
    <row r="368" spans="1:28" ht="16" x14ac:dyDescent="0.2">
      <c r="A368" s="4">
        <v>45818</v>
      </c>
      <c r="B368" s="19">
        <v>25161</v>
      </c>
      <c r="C368" s="5" t="s">
        <v>38</v>
      </c>
      <c r="D368" s="6"/>
      <c r="E368" s="15">
        <v>42.779716666699997</v>
      </c>
      <c r="F368" s="15">
        <v>-76.036977777800004</v>
      </c>
      <c r="G368" s="5" t="s">
        <v>158</v>
      </c>
      <c r="H368" s="5">
        <v>62.5</v>
      </c>
      <c r="I368" s="5">
        <v>93.3</v>
      </c>
      <c r="J368" s="5">
        <v>66</v>
      </c>
      <c r="K368" s="5">
        <v>63.1</v>
      </c>
      <c r="L368" s="10">
        <v>0.3923611111111111</v>
      </c>
      <c r="M368" s="10">
        <v>0.5625</v>
      </c>
      <c r="N368" s="11">
        <f t="shared" si="180"/>
        <v>99.06</v>
      </c>
      <c r="O368" s="11">
        <f t="shared" si="174"/>
        <v>99.84</v>
      </c>
      <c r="P368" s="11">
        <f t="shared" si="178"/>
        <v>99.84</v>
      </c>
      <c r="Q368" s="11">
        <f t="shared" si="177"/>
        <v>99.58</v>
      </c>
      <c r="R368" s="5">
        <v>2</v>
      </c>
      <c r="S368" s="5">
        <v>15.4</v>
      </c>
      <c r="T368" s="5" t="s">
        <v>9</v>
      </c>
      <c r="U368" s="5" t="s">
        <v>55</v>
      </c>
      <c r="V368" s="5">
        <v>17.3</v>
      </c>
      <c r="W368" s="5">
        <v>5.4</v>
      </c>
      <c r="X368" s="5">
        <v>59</v>
      </c>
      <c r="Y368" s="5">
        <v>3</v>
      </c>
      <c r="Z368" s="6"/>
      <c r="AA368" s="6"/>
      <c r="AB368" s="6"/>
    </row>
    <row r="369" spans="1:28" ht="16" x14ac:dyDescent="0.2">
      <c r="A369" s="4">
        <v>45818</v>
      </c>
      <c r="B369" s="19">
        <v>25161</v>
      </c>
      <c r="C369" s="5" t="s">
        <v>38</v>
      </c>
      <c r="D369" s="6"/>
      <c r="E369" s="15">
        <v>42.779716666699997</v>
      </c>
      <c r="F369" s="15">
        <v>-76.036977777800004</v>
      </c>
      <c r="G369" s="5" t="s">
        <v>158</v>
      </c>
      <c r="H369" s="5">
        <v>62.5</v>
      </c>
      <c r="I369" s="5">
        <v>93.3</v>
      </c>
      <c r="J369" s="5">
        <v>66</v>
      </c>
      <c r="K369" s="5">
        <v>63.1</v>
      </c>
      <c r="L369" s="10">
        <v>0.3923611111111111</v>
      </c>
      <c r="M369" s="10">
        <v>0.5625</v>
      </c>
      <c r="N369" s="11">
        <f t="shared" si="180"/>
        <v>99.06</v>
      </c>
      <c r="O369" s="11">
        <f t="shared" si="174"/>
        <v>99.84</v>
      </c>
      <c r="P369" s="11">
        <f t="shared" si="178"/>
        <v>99.84</v>
      </c>
      <c r="Q369" s="11">
        <f t="shared" si="177"/>
        <v>99.58</v>
      </c>
      <c r="R369" s="5">
        <v>2</v>
      </c>
      <c r="S369" s="5">
        <v>26.5</v>
      </c>
      <c r="T369" s="5" t="s">
        <v>9</v>
      </c>
      <c r="U369" s="5" t="s">
        <v>55</v>
      </c>
      <c r="V369" s="5">
        <v>17.899999999999999</v>
      </c>
      <c r="W369" s="5">
        <v>5.2</v>
      </c>
      <c r="X369" s="5">
        <v>70</v>
      </c>
      <c r="Y369" s="5">
        <v>1.5</v>
      </c>
      <c r="Z369" s="6"/>
      <c r="AA369" s="6"/>
      <c r="AB369" s="6"/>
    </row>
    <row r="370" spans="1:28" ht="16" x14ac:dyDescent="0.2">
      <c r="A370" s="4">
        <v>45818</v>
      </c>
      <c r="B370" s="19">
        <v>25161</v>
      </c>
      <c r="C370" s="5" t="s">
        <v>38</v>
      </c>
      <c r="D370" s="6"/>
      <c r="E370" s="15">
        <v>42.779716666699997</v>
      </c>
      <c r="F370" s="15">
        <v>-76.036977777800004</v>
      </c>
      <c r="G370" s="5" t="s">
        <v>158</v>
      </c>
      <c r="H370" s="5">
        <v>62.5</v>
      </c>
      <c r="I370" s="5">
        <v>93.3</v>
      </c>
      <c r="J370" s="5">
        <v>66</v>
      </c>
      <c r="K370" s="5">
        <v>63.1</v>
      </c>
      <c r="L370" s="10">
        <v>0.3923611111111111</v>
      </c>
      <c r="M370" s="10">
        <v>0.5625</v>
      </c>
      <c r="N370" s="11">
        <f t="shared" si="180"/>
        <v>99.06</v>
      </c>
      <c r="O370" s="11">
        <f t="shared" si="174"/>
        <v>99.84</v>
      </c>
      <c r="P370" s="11">
        <f t="shared" si="178"/>
        <v>99.84</v>
      </c>
      <c r="Q370" s="11">
        <f t="shared" si="177"/>
        <v>99.58</v>
      </c>
      <c r="R370" s="5">
        <v>2</v>
      </c>
      <c r="S370" s="5">
        <v>27.2</v>
      </c>
      <c r="T370" s="5" t="s">
        <v>9</v>
      </c>
      <c r="U370" s="5" t="s">
        <v>55</v>
      </c>
      <c r="V370" s="5">
        <v>17.2</v>
      </c>
      <c r="W370" s="5" t="s">
        <v>8</v>
      </c>
      <c r="X370" s="5" t="s">
        <v>8</v>
      </c>
      <c r="Y370" s="5">
        <v>2</v>
      </c>
      <c r="Z370" s="5"/>
      <c r="AA370" s="5" t="s">
        <v>123</v>
      </c>
      <c r="AB370" s="6"/>
    </row>
    <row r="371" spans="1:28" ht="16" x14ac:dyDescent="0.2">
      <c r="A371" s="4">
        <v>45818</v>
      </c>
      <c r="B371" s="19">
        <v>25161</v>
      </c>
      <c r="C371" s="5" t="s">
        <v>38</v>
      </c>
      <c r="D371" s="6"/>
      <c r="E371" s="15">
        <v>42.779716666699997</v>
      </c>
      <c r="F371" s="15">
        <v>-76.036977777800004</v>
      </c>
      <c r="G371" s="5" t="s">
        <v>158</v>
      </c>
      <c r="H371" s="5">
        <v>62.5</v>
      </c>
      <c r="I371" s="5">
        <v>93.3</v>
      </c>
      <c r="J371" s="5">
        <v>66</v>
      </c>
      <c r="K371" s="5">
        <v>63.1</v>
      </c>
      <c r="L371" s="10">
        <v>0.3923611111111111</v>
      </c>
      <c r="M371" s="10">
        <v>0.5625</v>
      </c>
      <c r="N371" s="11">
        <f t="shared" si="180"/>
        <v>99.06</v>
      </c>
      <c r="O371" s="11">
        <f t="shared" si="174"/>
        <v>99.84</v>
      </c>
      <c r="P371" s="11">
        <f t="shared" si="178"/>
        <v>99.84</v>
      </c>
      <c r="Q371" s="11">
        <f t="shared" si="177"/>
        <v>99.58</v>
      </c>
      <c r="R371" s="5">
        <v>2</v>
      </c>
      <c r="S371" s="5">
        <v>30</v>
      </c>
      <c r="T371" s="5" t="s">
        <v>9</v>
      </c>
      <c r="U371" s="5" t="s">
        <v>55</v>
      </c>
      <c r="V371" s="5">
        <v>17.7</v>
      </c>
      <c r="W371" s="5">
        <v>5.2</v>
      </c>
      <c r="X371" s="5">
        <v>75</v>
      </c>
      <c r="Y371" s="5">
        <v>2.5</v>
      </c>
      <c r="Z371" s="6"/>
      <c r="AA371" s="6"/>
      <c r="AB371" s="6"/>
    </row>
    <row r="372" spans="1:28" ht="16" x14ac:dyDescent="0.2">
      <c r="A372" s="4">
        <v>45818</v>
      </c>
      <c r="B372" s="19">
        <v>25161</v>
      </c>
      <c r="C372" s="5" t="s">
        <v>38</v>
      </c>
      <c r="D372" s="6"/>
      <c r="E372" s="15">
        <v>42.779716666699997</v>
      </c>
      <c r="F372" s="15">
        <v>-76.036977777800004</v>
      </c>
      <c r="G372" s="5" t="s">
        <v>158</v>
      </c>
      <c r="H372" s="5">
        <v>62.5</v>
      </c>
      <c r="I372" s="5">
        <v>93.3</v>
      </c>
      <c r="J372" s="5">
        <v>66</v>
      </c>
      <c r="K372" s="5">
        <v>63.1</v>
      </c>
      <c r="L372" s="10">
        <v>0.3923611111111111</v>
      </c>
      <c r="M372" s="10">
        <v>0.5625</v>
      </c>
      <c r="N372" s="11">
        <f t="shared" si="180"/>
        <v>99.06</v>
      </c>
      <c r="O372" s="11">
        <f t="shared" si="174"/>
        <v>99.84</v>
      </c>
      <c r="P372" s="11">
        <f t="shared" si="178"/>
        <v>99.84</v>
      </c>
      <c r="Q372" s="11">
        <f t="shared" si="177"/>
        <v>99.58</v>
      </c>
      <c r="R372" s="5">
        <v>3</v>
      </c>
      <c r="S372" s="5">
        <v>2.8</v>
      </c>
      <c r="T372" s="5" t="s">
        <v>9</v>
      </c>
      <c r="U372" s="5" t="s">
        <v>55</v>
      </c>
      <c r="V372" s="5">
        <v>18.899999999999999</v>
      </c>
      <c r="W372" s="5">
        <v>5.5</v>
      </c>
      <c r="X372" s="5">
        <v>69</v>
      </c>
      <c r="Y372" s="5">
        <v>2</v>
      </c>
      <c r="Z372" s="6"/>
      <c r="AA372" s="6"/>
      <c r="AB372" s="6"/>
    </row>
    <row r="373" spans="1:28" ht="16" x14ac:dyDescent="0.2">
      <c r="A373" s="4">
        <v>45818</v>
      </c>
      <c r="B373" s="19">
        <v>25161</v>
      </c>
      <c r="C373" s="5" t="s">
        <v>38</v>
      </c>
      <c r="D373" s="6"/>
      <c r="E373" s="15">
        <v>42.779716666699997</v>
      </c>
      <c r="F373" s="15">
        <v>-76.036977777800004</v>
      </c>
      <c r="G373" s="5" t="s">
        <v>158</v>
      </c>
      <c r="H373" s="5">
        <v>62.5</v>
      </c>
      <c r="I373" s="5">
        <v>93.3</v>
      </c>
      <c r="J373" s="5">
        <v>66</v>
      </c>
      <c r="K373" s="5">
        <v>63.1</v>
      </c>
      <c r="L373" s="10">
        <v>0.3923611111111111</v>
      </c>
      <c r="M373" s="10">
        <v>0.5625</v>
      </c>
      <c r="N373" s="11">
        <f t="shared" si="180"/>
        <v>99.06</v>
      </c>
      <c r="O373" s="11">
        <f t="shared" si="174"/>
        <v>99.84</v>
      </c>
      <c r="P373" s="11">
        <f t="shared" si="178"/>
        <v>99.84</v>
      </c>
      <c r="Q373" s="11">
        <f t="shared" si="177"/>
        <v>99.58</v>
      </c>
      <c r="R373" s="5">
        <v>3</v>
      </c>
      <c r="S373" s="5">
        <v>5</v>
      </c>
      <c r="T373" s="5" t="s">
        <v>9</v>
      </c>
      <c r="U373" s="5" t="s">
        <v>55</v>
      </c>
      <c r="V373" s="5">
        <v>17.399999999999999</v>
      </c>
      <c r="W373" s="5">
        <v>5.6</v>
      </c>
      <c r="X373" s="5">
        <v>52</v>
      </c>
      <c r="Y373" s="5">
        <v>1.5</v>
      </c>
      <c r="Z373" s="6"/>
      <c r="AA373" s="6"/>
      <c r="AB373" s="6"/>
    </row>
    <row r="374" spans="1:28" ht="16" x14ac:dyDescent="0.2">
      <c r="A374" s="4">
        <v>45818</v>
      </c>
      <c r="B374" s="19">
        <v>25161</v>
      </c>
      <c r="C374" s="5" t="s">
        <v>38</v>
      </c>
      <c r="D374" s="6"/>
      <c r="E374" s="15">
        <v>42.779716666699997</v>
      </c>
      <c r="F374" s="15">
        <v>-76.036977777800004</v>
      </c>
      <c r="G374" s="5" t="s">
        <v>158</v>
      </c>
      <c r="H374" s="5">
        <v>62.5</v>
      </c>
      <c r="I374" s="5">
        <v>93.3</v>
      </c>
      <c r="J374" s="5">
        <v>66</v>
      </c>
      <c r="K374" s="5">
        <v>63.1</v>
      </c>
      <c r="L374" s="10">
        <v>0.3923611111111111</v>
      </c>
      <c r="M374" s="10">
        <v>0.5625</v>
      </c>
      <c r="N374" s="11">
        <f t="shared" si="180"/>
        <v>99.06</v>
      </c>
      <c r="O374" s="11">
        <f t="shared" si="174"/>
        <v>99.84</v>
      </c>
      <c r="P374" s="11">
        <f t="shared" si="178"/>
        <v>99.84</v>
      </c>
      <c r="Q374" s="11">
        <f t="shared" si="177"/>
        <v>99.58</v>
      </c>
      <c r="R374" s="5">
        <v>3</v>
      </c>
      <c r="S374" s="5">
        <v>1</v>
      </c>
      <c r="T374" s="5" t="s">
        <v>9</v>
      </c>
      <c r="U374" s="5" t="s">
        <v>55</v>
      </c>
      <c r="V374" s="5">
        <v>17.3</v>
      </c>
      <c r="W374" s="5">
        <v>6.1</v>
      </c>
      <c r="X374" s="5">
        <v>51</v>
      </c>
      <c r="Y374" s="5">
        <v>0.5</v>
      </c>
      <c r="Z374" s="6"/>
      <c r="AA374" s="6"/>
      <c r="AB374" s="6"/>
    </row>
    <row r="375" spans="1:28" ht="16" x14ac:dyDescent="0.2">
      <c r="A375" s="4">
        <v>45818</v>
      </c>
      <c r="B375" s="19">
        <v>25161</v>
      </c>
      <c r="C375" s="5" t="s">
        <v>38</v>
      </c>
      <c r="D375" s="6"/>
      <c r="E375" s="15">
        <v>42.779716666699997</v>
      </c>
      <c r="F375" s="15">
        <v>-76.036977777800004</v>
      </c>
      <c r="G375" s="5" t="s">
        <v>158</v>
      </c>
      <c r="H375" s="5">
        <v>62.5</v>
      </c>
      <c r="I375" s="5">
        <v>93.3</v>
      </c>
      <c r="J375" s="5">
        <v>66</v>
      </c>
      <c r="K375" s="5">
        <v>63.1</v>
      </c>
      <c r="L375" s="10">
        <v>0.3923611111111111</v>
      </c>
      <c r="M375" s="10">
        <v>0.5625</v>
      </c>
      <c r="N375" s="11">
        <f t="shared" si="180"/>
        <v>99.06</v>
      </c>
      <c r="O375" s="11">
        <f t="shared" si="174"/>
        <v>99.84</v>
      </c>
      <c r="P375" s="11">
        <f t="shared" si="178"/>
        <v>99.84</v>
      </c>
      <c r="Q375" s="11">
        <f t="shared" si="177"/>
        <v>99.58</v>
      </c>
      <c r="R375" s="5">
        <v>3</v>
      </c>
      <c r="S375" s="5">
        <v>12.1</v>
      </c>
      <c r="T375" s="5" t="s">
        <v>9</v>
      </c>
      <c r="U375" s="5" t="s">
        <v>55</v>
      </c>
      <c r="V375" s="5">
        <v>17.7</v>
      </c>
      <c r="W375" s="5">
        <v>5</v>
      </c>
      <c r="X375" s="5">
        <v>75</v>
      </c>
      <c r="Y375" s="5">
        <v>2.5</v>
      </c>
      <c r="Z375" s="6"/>
      <c r="AA375" s="6"/>
      <c r="AB375" s="6"/>
    </row>
    <row r="376" spans="1:28" ht="16" x14ac:dyDescent="0.2">
      <c r="A376" s="4">
        <v>45818</v>
      </c>
      <c r="B376" s="19">
        <v>25161</v>
      </c>
      <c r="C376" s="5" t="s">
        <v>38</v>
      </c>
      <c r="D376" s="6"/>
      <c r="E376" s="15">
        <v>42.779716666699997</v>
      </c>
      <c r="F376" s="15">
        <v>-76.036977777800004</v>
      </c>
      <c r="G376" s="5" t="s">
        <v>158</v>
      </c>
      <c r="H376" s="5">
        <v>62.5</v>
      </c>
      <c r="I376" s="5">
        <v>93.3</v>
      </c>
      <c r="J376" s="5">
        <v>66</v>
      </c>
      <c r="K376" s="5">
        <v>63.1</v>
      </c>
      <c r="L376" s="10">
        <v>0.3923611111111111</v>
      </c>
      <c r="M376" s="10">
        <v>0.5625</v>
      </c>
      <c r="N376" s="11">
        <f t="shared" si="180"/>
        <v>99.06</v>
      </c>
      <c r="O376" s="11">
        <f t="shared" si="174"/>
        <v>99.84</v>
      </c>
      <c r="P376" s="11">
        <f t="shared" si="178"/>
        <v>99.84</v>
      </c>
      <c r="Q376" s="11">
        <f t="shared" si="177"/>
        <v>99.58</v>
      </c>
      <c r="R376" s="5">
        <v>3</v>
      </c>
      <c r="S376" s="5">
        <v>16.399999999999999</v>
      </c>
      <c r="T376" s="5" t="s">
        <v>9</v>
      </c>
      <c r="U376" s="5" t="s">
        <v>55</v>
      </c>
      <c r="V376" s="5">
        <v>17.5</v>
      </c>
      <c r="W376" s="5">
        <v>5</v>
      </c>
      <c r="X376" s="5">
        <v>68</v>
      </c>
      <c r="Y376" s="5">
        <v>2.5</v>
      </c>
      <c r="Z376" s="6"/>
      <c r="AA376" s="6"/>
      <c r="AB376" s="6"/>
    </row>
    <row r="377" spans="1:28" ht="16" x14ac:dyDescent="0.2">
      <c r="A377" s="4">
        <v>45818</v>
      </c>
      <c r="B377" s="19">
        <v>25161</v>
      </c>
      <c r="C377" s="5" t="s">
        <v>38</v>
      </c>
      <c r="D377" s="6"/>
      <c r="E377" s="15">
        <v>42.779716666699997</v>
      </c>
      <c r="F377" s="15">
        <v>-76.036977777800004</v>
      </c>
      <c r="G377" s="5" t="s">
        <v>158</v>
      </c>
      <c r="H377" s="5">
        <v>62.5</v>
      </c>
      <c r="I377" s="5">
        <v>93.3</v>
      </c>
      <c r="J377" s="5">
        <v>66</v>
      </c>
      <c r="K377" s="5">
        <v>63.1</v>
      </c>
      <c r="L377" s="10">
        <v>0.3923611111111111</v>
      </c>
      <c r="M377" s="10">
        <v>0.5625</v>
      </c>
      <c r="N377" s="11">
        <f t="shared" si="180"/>
        <v>99.06</v>
      </c>
      <c r="O377" s="11">
        <f t="shared" si="174"/>
        <v>99.84</v>
      </c>
      <c r="P377" s="11">
        <f t="shared" si="178"/>
        <v>99.84</v>
      </c>
      <c r="Q377" s="11">
        <f t="shared" si="177"/>
        <v>99.58</v>
      </c>
      <c r="R377" s="5">
        <v>3</v>
      </c>
      <c r="S377" s="5">
        <v>17.5</v>
      </c>
      <c r="T377" s="5" t="s">
        <v>4</v>
      </c>
      <c r="U377" s="5" t="s">
        <v>55</v>
      </c>
      <c r="V377" s="5">
        <v>18</v>
      </c>
      <c r="W377" s="5">
        <v>5.2</v>
      </c>
      <c r="X377" s="5">
        <v>68</v>
      </c>
      <c r="Y377" s="5">
        <v>2.5</v>
      </c>
      <c r="Z377" s="6"/>
      <c r="AA377" s="6"/>
      <c r="AB377" s="6"/>
    </row>
    <row r="378" spans="1:28" ht="16" x14ac:dyDescent="0.2">
      <c r="A378" s="4">
        <v>45818</v>
      </c>
      <c r="B378" s="19">
        <v>25161</v>
      </c>
      <c r="C378" s="5" t="s">
        <v>38</v>
      </c>
      <c r="D378" s="6"/>
      <c r="E378" s="15">
        <v>42.779716666699997</v>
      </c>
      <c r="F378" s="15">
        <v>-76.036977777800004</v>
      </c>
      <c r="G378" s="5" t="s">
        <v>158</v>
      </c>
      <c r="H378" s="5">
        <v>62.5</v>
      </c>
      <c r="I378" s="5">
        <v>93.3</v>
      </c>
      <c r="J378" s="5">
        <v>66</v>
      </c>
      <c r="K378" s="5">
        <v>63.1</v>
      </c>
      <c r="L378" s="10">
        <v>0.3923611111111111</v>
      </c>
      <c r="M378" s="10">
        <v>0.5625</v>
      </c>
      <c r="N378" s="11">
        <f t="shared" si="180"/>
        <v>99.06</v>
      </c>
      <c r="O378" s="11">
        <f t="shared" si="174"/>
        <v>99.84</v>
      </c>
      <c r="P378" s="11">
        <f t="shared" si="178"/>
        <v>99.84</v>
      </c>
      <c r="Q378" s="11">
        <f t="shared" si="177"/>
        <v>99.58</v>
      </c>
      <c r="R378" s="5">
        <v>3</v>
      </c>
      <c r="S378" s="5">
        <v>14.9</v>
      </c>
      <c r="T378" s="5" t="s">
        <v>9</v>
      </c>
      <c r="U378" s="5" t="s">
        <v>55</v>
      </c>
      <c r="V378" s="5">
        <v>17.899999999999999</v>
      </c>
      <c r="W378" s="5">
        <v>5</v>
      </c>
      <c r="X378" s="5">
        <v>74</v>
      </c>
      <c r="Y378" s="5">
        <v>2.5</v>
      </c>
      <c r="Z378" s="5" t="s">
        <v>108</v>
      </c>
      <c r="AA378" s="5" t="s">
        <v>162</v>
      </c>
      <c r="AB378" s="6"/>
    </row>
    <row r="379" spans="1:28" ht="16" x14ac:dyDescent="0.2">
      <c r="A379" s="4">
        <v>45818</v>
      </c>
      <c r="B379" s="19">
        <v>25161</v>
      </c>
      <c r="C379" s="5" t="s">
        <v>38</v>
      </c>
      <c r="D379" s="6"/>
      <c r="E379" s="15">
        <v>42.779716666699997</v>
      </c>
      <c r="F379" s="15">
        <v>-76.036977777800004</v>
      </c>
      <c r="G379" s="5" t="s">
        <v>158</v>
      </c>
      <c r="H379" s="5">
        <v>62.5</v>
      </c>
      <c r="I379" s="5">
        <v>93.3</v>
      </c>
      <c r="J379" s="5">
        <v>66</v>
      </c>
      <c r="K379" s="5">
        <v>63.1</v>
      </c>
      <c r="L379" s="10">
        <v>0.3923611111111111</v>
      </c>
      <c r="M379" s="10">
        <v>0.5625</v>
      </c>
      <c r="N379" s="11">
        <f t="shared" si="180"/>
        <v>99.06</v>
      </c>
      <c r="O379" s="11">
        <f t="shared" si="174"/>
        <v>99.84</v>
      </c>
      <c r="P379" s="11">
        <f t="shared" si="178"/>
        <v>99.84</v>
      </c>
      <c r="Q379" s="11">
        <f t="shared" si="177"/>
        <v>99.58</v>
      </c>
      <c r="R379" s="5">
        <v>3</v>
      </c>
      <c r="S379" s="5">
        <v>27.7</v>
      </c>
      <c r="T379" s="5" t="s">
        <v>9</v>
      </c>
      <c r="U379" s="5" t="s">
        <v>55</v>
      </c>
      <c r="V379" s="5">
        <v>18</v>
      </c>
      <c r="W379" s="5" t="s">
        <v>8</v>
      </c>
      <c r="X379" s="5" t="s">
        <v>8</v>
      </c>
      <c r="Y379" s="5">
        <v>2</v>
      </c>
      <c r="Z379" s="5"/>
      <c r="AA379" s="5" t="s">
        <v>123</v>
      </c>
      <c r="AB379" s="6"/>
    </row>
    <row r="380" spans="1:28" ht="16" x14ac:dyDescent="0.2">
      <c r="A380" s="4">
        <v>45818</v>
      </c>
      <c r="B380" s="19">
        <v>25161</v>
      </c>
      <c r="C380" s="5" t="s">
        <v>38</v>
      </c>
      <c r="D380" s="6"/>
      <c r="E380" s="15">
        <v>42.779716666699997</v>
      </c>
      <c r="F380" s="15">
        <v>-76.036977777800004</v>
      </c>
      <c r="G380" s="5" t="s">
        <v>158</v>
      </c>
      <c r="H380" s="5">
        <v>62.5</v>
      </c>
      <c r="I380" s="5">
        <v>93.3</v>
      </c>
      <c r="J380" s="5">
        <v>66</v>
      </c>
      <c r="K380" s="5">
        <v>63.1</v>
      </c>
      <c r="L380" s="10">
        <v>0.3923611111111111</v>
      </c>
      <c r="M380" s="10">
        <v>0.5625</v>
      </c>
      <c r="N380" s="11">
        <f t="shared" si="180"/>
        <v>99.06</v>
      </c>
      <c r="O380" s="11">
        <f t="shared" si="174"/>
        <v>99.84</v>
      </c>
      <c r="P380" s="11">
        <f t="shared" si="178"/>
        <v>99.84</v>
      </c>
      <c r="Q380" s="11">
        <f t="shared" si="177"/>
        <v>99.58</v>
      </c>
      <c r="R380" s="5">
        <v>3</v>
      </c>
      <c r="S380" s="5">
        <v>29.2</v>
      </c>
      <c r="T380" s="5" t="s">
        <v>9</v>
      </c>
      <c r="U380" s="5" t="s">
        <v>62</v>
      </c>
      <c r="V380" s="5">
        <v>18.399999999999999</v>
      </c>
      <c r="W380" s="5">
        <v>5</v>
      </c>
      <c r="X380" s="5">
        <v>75</v>
      </c>
      <c r="Y380" s="5">
        <v>2.5</v>
      </c>
      <c r="Z380" s="5"/>
      <c r="AA380" s="5" t="s">
        <v>110</v>
      </c>
      <c r="AB380" s="6"/>
    </row>
    <row r="381" spans="1:28" ht="16" x14ac:dyDescent="0.2">
      <c r="A381" s="4">
        <v>45818</v>
      </c>
      <c r="B381" s="19">
        <v>25161</v>
      </c>
      <c r="C381" s="5" t="s">
        <v>38</v>
      </c>
      <c r="D381" s="6"/>
      <c r="E381" s="15">
        <v>42.779716666699997</v>
      </c>
      <c r="F381" s="15">
        <v>-76.036977777800004</v>
      </c>
      <c r="G381" s="5" t="s">
        <v>158</v>
      </c>
      <c r="H381" s="5">
        <v>62.5</v>
      </c>
      <c r="I381" s="5">
        <v>93.3</v>
      </c>
      <c r="J381" s="5">
        <v>66</v>
      </c>
      <c r="K381" s="5">
        <v>63.1</v>
      </c>
      <c r="L381" s="10">
        <v>0.3923611111111111</v>
      </c>
      <c r="M381" s="10">
        <v>0.5625</v>
      </c>
      <c r="N381" s="11">
        <f t="shared" si="180"/>
        <v>99.06</v>
      </c>
      <c r="O381" s="11">
        <f t="shared" si="174"/>
        <v>99.84</v>
      </c>
      <c r="P381" s="11">
        <f t="shared" si="178"/>
        <v>99.84</v>
      </c>
      <c r="Q381" s="11">
        <f t="shared" si="177"/>
        <v>99.58</v>
      </c>
      <c r="R381" s="5">
        <v>3</v>
      </c>
      <c r="S381" s="5">
        <v>29.4</v>
      </c>
      <c r="T381" s="5" t="s">
        <v>9</v>
      </c>
      <c r="U381" s="5" t="s">
        <v>55</v>
      </c>
      <c r="V381" s="5">
        <v>18.2</v>
      </c>
      <c r="W381" s="5">
        <v>5.6</v>
      </c>
      <c r="X381" s="5">
        <v>58</v>
      </c>
      <c r="Y381" s="5">
        <v>2</v>
      </c>
      <c r="Z381" s="6"/>
      <c r="AA381" s="6"/>
      <c r="AB381" s="6"/>
    </row>
    <row r="382" spans="1:28" ht="16" x14ac:dyDescent="0.2">
      <c r="A382" s="4">
        <v>45859</v>
      </c>
      <c r="B382" s="19">
        <v>25202</v>
      </c>
      <c r="C382" s="5" t="s">
        <v>1</v>
      </c>
      <c r="D382" s="5" t="s">
        <v>163</v>
      </c>
      <c r="E382" s="15">
        <v>42.080405555600002</v>
      </c>
      <c r="F382" s="15">
        <v>-75.961466666700005</v>
      </c>
      <c r="G382" s="5" t="s">
        <v>164</v>
      </c>
      <c r="H382" s="5">
        <v>68.2</v>
      </c>
      <c r="I382" s="5">
        <v>84.8</v>
      </c>
      <c r="J382" s="5">
        <v>72</v>
      </c>
      <c r="K382" s="5">
        <v>63.8</v>
      </c>
      <c r="L382" s="10">
        <v>0.35208333333333336</v>
      </c>
      <c r="M382" s="10">
        <v>0.46180555555555558</v>
      </c>
      <c r="N382" s="11">
        <f t="shared" ref="N382:P382" si="181">AVERAGE(96,96,96,96)*1.04</f>
        <v>99.84</v>
      </c>
      <c r="O382" s="11">
        <f t="shared" si="181"/>
        <v>99.84</v>
      </c>
      <c r="P382" s="11">
        <f t="shared" si="181"/>
        <v>99.84</v>
      </c>
      <c r="Q382" s="11">
        <f t="shared" si="177"/>
        <v>99.839999999999989</v>
      </c>
      <c r="R382" s="5">
        <v>1</v>
      </c>
      <c r="S382" s="5">
        <v>2.1</v>
      </c>
      <c r="T382" s="5" t="s">
        <v>9</v>
      </c>
      <c r="U382" s="5" t="s">
        <v>55</v>
      </c>
      <c r="V382" s="5">
        <v>19.3</v>
      </c>
      <c r="W382" s="5">
        <v>5.3</v>
      </c>
      <c r="X382" s="5">
        <v>71</v>
      </c>
      <c r="Y382" s="5">
        <v>4.5</v>
      </c>
      <c r="Z382" s="5" t="s">
        <v>8</v>
      </c>
      <c r="AA382" s="6"/>
      <c r="AB382" s="6"/>
    </row>
    <row r="383" spans="1:28" ht="16" x14ac:dyDescent="0.2">
      <c r="A383" s="4">
        <v>45859</v>
      </c>
      <c r="B383" s="19">
        <v>25202</v>
      </c>
      <c r="C383" s="5" t="s">
        <v>1</v>
      </c>
      <c r="D383" s="6"/>
      <c r="E383" s="15">
        <v>42.080405555600002</v>
      </c>
      <c r="F383" s="15">
        <v>-75.961466666700005</v>
      </c>
      <c r="G383" s="5" t="s">
        <v>164</v>
      </c>
      <c r="H383" s="5">
        <v>68.2</v>
      </c>
      <c r="I383" s="5">
        <v>84.8</v>
      </c>
      <c r="J383" s="5">
        <v>72</v>
      </c>
      <c r="K383" s="5">
        <v>63.8</v>
      </c>
      <c r="L383" s="10">
        <v>0.35208333333333336</v>
      </c>
      <c r="M383" s="10">
        <v>0.46180555555555558</v>
      </c>
      <c r="N383" s="11">
        <f t="shared" ref="N383:P383" si="182">AVERAGE(96,96,96,96)*1.04</f>
        <v>99.84</v>
      </c>
      <c r="O383" s="11">
        <f t="shared" si="182"/>
        <v>99.84</v>
      </c>
      <c r="P383" s="11">
        <f t="shared" si="182"/>
        <v>99.84</v>
      </c>
      <c r="Q383" s="11">
        <f t="shared" si="177"/>
        <v>99.839999999999989</v>
      </c>
      <c r="R383" s="5">
        <v>1</v>
      </c>
      <c r="S383" s="5">
        <v>14.68</v>
      </c>
      <c r="T383" s="5" t="s">
        <v>9</v>
      </c>
      <c r="U383" s="5" t="s">
        <v>55</v>
      </c>
      <c r="V383" s="5">
        <v>19.3</v>
      </c>
      <c r="W383" s="5">
        <v>5.8</v>
      </c>
      <c r="X383" s="5">
        <v>35</v>
      </c>
      <c r="Y383" s="5">
        <v>2</v>
      </c>
      <c r="Z383" s="5" t="s">
        <v>108</v>
      </c>
      <c r="AA383" s="6" t="s">
        <v>337</v>
      </c>
      <c r="AB383" s="6"/>
    </row>
    <row r="384" spans="1:28" ht="16" x14ac:dyDescent="0.2">
      <c r="A384" s="4">
        <v>45859</v>
      </c>
      <c r="B384" s="19">
        <v>25202</v>
      </c>
      <c r="C384" s="5" t="s">
        <v>1</v>
      </c>
      <c r="D384" s="6"/>
      <c r="E384" s="15">
        <v>42.080405555600002</v>
      </c>
      <c r="F384" s="15">
        <v>-75.961466666700005</v>
      </c>
      <c r="G384" s="5" t="s">
        <v>164</v>
      </c>
      <c r="H384" s="5">
        <v>68.2</v>
      </c>
      <c r="I384" s="5">
        <v>84.8</v>
      </c>
      <c r="J384" s="5">
        <v>72</v>
      </c>
      <c r="K384" s="5">
        <v>63.8</v>
      </c>
      <c r="L384" s="10">
        <v>0.35208333333333336</v>
      </c>
      <c r="M384" s="10">
        <v>0.46180555555555558</v>
      </c>
      <c r="N384" s="11">
        <f t="shared" ref="N384:P384" si="183">AVERAGE(96,96,96,96)*1.04</f>
        <v>99.84</v>
      </c>
      <c r="O384" s="11">
        <f t="shared" si="183"/>
        <v>99.84</v>
      </c>
      <c r="P384" s="11">
        <f t="shared" si="183"/>
        <v>99.84</v>
      </c>
      <c r="Q384" s="11">
        <f t="shared" si="177"/>
        <v>99.839999999999989</v>
      </c>
      <c r="R384" s="5">
        <v>1</v>
      </c>
      <c r="S384" s="5">
        <v>26.95</v>
      </c>
      <c r="T384" s="5" t="s">
        <v>9</v>
      </c>
      <c r="U384" s="5" t="s">
        <v>55</v>
      </c>
      <c r="V384" s="5">
        <v>19.399999999999999</v>
      </c>
      <c r="W384" s="5" t="s">
        <v>8</v>
      </c>
      <c r="X384" s="5" t="s">
        <v>8</v>
      </c>
      <c r="Y384" s="5">
        <v>2.5</v>
      </c>
      <c r="Z384" s="5" t="s">
        <v>8</v>
      </c>
      <c r="AA384" s="5" t="s">
        <v>165</v>
      </c>
      <c r="AB384" s="6"/>
    </row>
    <row r="385" spans="1:28" ht="16" x14ac:dyDescent="0.2">
      <c r="A385" s="4">
        <v>45859</v>
      </c>
      <c r="B385" s="19">
        <v>25202</v>
      </c>
      <c r="C385" s="5" t="s">
        <v>1</v>
      </c>
      <c r="D385" s="6"/>
      <c r="E385" s="15">
        <v>42.080405555600002</v>
      </c>
      <c r="F385" s="15">
        <v>-75.961466666700005</v>
      </c>
      <c r="G385" s="5" t="s">
        <v>164</v>
      </c>
      <c r="H385" s="5">
        <v>68.2</v>
      </c>
      <c r="I385" s="5">
        <v>84.8</v>
      </c>
      <c r="J385" s="5">
        <v>72</v>
      </c>
      <c r="K385" s="5">
        <v>63.8</v>
      </c>
      <c r="L385" s="10">
        <v>0.35208333333333336</v>
      </c>
      <c r="M385" s="10">
        <v>0.46180555555555558</v>
      </c>
      <c r="N385" s="11">
        <f t="shared" ref="N385:P385" si="184">AVERAGE(96,96,96,96)*1.04</f>
        <v>99.84</v>
      </c>
      <c r="O385" s="11">
        <f t="shared" si="184"/>
        <v>99.84</v>
      </c>
      <c r="P385" s="11">
        <f t="shared" si="184"/>
        <v>99.84</v>
      </c>
      <c r="Q385" s="11">
        <f t="shared" si="177"/>
        <v>99.839999999999989</v>
      </c>
      <c r="R385" s="5">
        <v>2</v>
      </c>
      <c r="S385" s="5">
        <v>5.3</v>
      </c>
      <c r="T385" s="5" t="s">
        <v>9</v>
      </c>
      <c r="U385" s="5" t="s">
        <v>62</v>
      </c>
      <c r="V385" s="5">
        <v>18.899999999999999</v>
      </c>
      <c r="W385" s="5" t="s">
        <v>8</v>
      </c>
      <c r="X385" s="5" t="s">
        <v>8</v>
      </c>
      <c r="Y385" s="5">
        <v>3</v>
      </c>
      <c r="Z385" s="5" t="s">
        <v>108</v>
      </c>
      <c r="AA385" s="5" t="s">
        <v>123</v>
      </c>
      <c r="AB385" s="6"/>
    </row>
    <row r="386" spans="1:28" ht="16" x14ac:dyDescent="0.2">
      <c r="A386" s="4">
        <v>45859</v>
      </c>
      <c r="B386" s="19">
        <v>25202</v>
      </c>
      <c r="C386" s="5" t="s">
        <v>1</v>
      </c>
      <c r="D386" s="6"/>
      <c r="E386" s="15">
        <v>42.080405555600002</v>
      </c>
      <c r="F386" s="15">
        <v>-75.961466666700005</v>
      </c>
      <c r="G386" s="5" t="s">
        <v>164</v>
      </c>
      <c r="H386" s="5">
        <v>68.2</v>
      </c>
      <c r="I386" s="5">
        <v>84.8</v>
      </c>
      <c r="J386" s="5">
        <v>72</v>
      </c>
      <c r="K386" s="5">
        <v>63.8</v>
      </c>
      <c r="L386" s="10">
        <v>0.35208333333333336</v>
      </c>
      <c r="M386" s="10">
        <v>0.46180555555555558</v>
      </c>
      <c r="N386" s="11">
        <f t="shared" ref="N386:P386" si="185">AVERAGE(96,96,96,96)*1.04</f>
        <v>99.84</v>
      </c>
      <c r="O386" s="11">
        <f t="shared" si="185"/>
        <v>99.84</v>
      </c>
      <c r="P386" s="11">
        <f t="shared" si="185"/>
        <v>99.84</v>
      </c>
      <c r="Q386" s="11">
        <f t="shared" si="177"/>
        <v>99.839999999999989</v>
      </c>
      <c r="R386" s="5">
        <v>2</v>
      </c>
      <c r="S386" s="5">
        <v>16.71</v>
      </c>
      <c r="T386" s="5" t="s">
        <v>9</v>
      </c>
      <c r="U386" s="5" t="s">
        <v>55</v>
      </c>
      <c r="V386" s="5">
        <v>18.7</v>
      </c>
      <c r="W386" s="5">
        <v>6</v>
      </c>
      <c r="X386" s="5">
        <v>35</v>
      </c>
      <c r="Y386" s="5">
        <v>3</v>
      </c>
      <c r="Z386" s="5" t="s">
        <v>8</v>
      </c>
      <c r="AA386" s="6"/>
      <c r="AB386" s="6"/>
    </row>
    <row r="387" spans="1:28" ht="16" x14ac:dyDescent="0.2">
      <c r="A387" s="4">
        <v>45859</v>
      </c>
      <c r="B387" s="19">
        <v>25202</v>
      </c>
      <c r="C387" s="5" t="s">
        <v>1</v>
      </c>
      <c r="D387" s="6"/>
      <c r="E387" s="15">
        <v>42.080405555600002</v>
      </c>
      <c r="F387" s="15">
        <v>-75.961466666700005</v>
      </c>
      <c r="G387" s="5" t="s">
        <v>164</v>
      </c>
      <c r="H387" s="5">
        <v>68.2</v>
      </c>
      <c r="I387" s="5">
        <v>84.8</v>
      </c>
      <c r="J387" s="5">
        <v>72</v>
      </c>
      <c r="K387" s="5">
        <v>63.8</v>
      </c>
      <c r="L387" s="10">
        <v>0.35208333333333336</v>
      </c>
      <c r="M387" s="10">
        <v>0.46180555555555558</v>
      </c>
      <c r="N387" s="11">
        <f t="shared" ref="N387:P387" si="186">AVERAGE(96,96,96,96)*1.04</f>
        <v>99.84</v>
      </c>
      <c r="O387" s="11">
        <f t="shared" si="186"/>
        <v>99.84</v>
      </c>
      <c r="P387" s="11">
        <f t="shared" si="186"/>
        <v>99.84</v>
      </c>
      <c r="Q387" s="11">
        <f t="shared" si="177"/>
        <v>99.839999999999989</v>
      </c>
      <c r="R387" s="5">
        <v>2</v>
      </c>
      <c r="S387" s="5">
        <v>24.82</v>
      </c>
      <c r="T387" s="5" t="s">
        <v>9</v>
      </c>
      <c r="U387" s="5" t="s">
        <v>55</v>
      </c>
      <c r="V387" s="5">
        <v>18.600000000000001</v>
      </c>
      <c r="W387" s="5" t="s">
        <v>8</v>
      </c>
      <c r="X387" s="5" t="s">
        <v>8</v>
      </c>
      <c r="Y387" s="5">
        <v>3</v>
      </c>
      <c r="Z387" s="5" t="s">
        <v>166</v>
      </c>
      <c r="AA387" s="5" t="s">
        <v>123</v>
      </c>
      <c r="AB387" s="6"/>
    </row>
    <row r="388" spans="1:28" ht="16" x14ac:dyDescent="0.2">
      <c r="A388" s="4">
        <v>45859</v>
      </c>
      <c r="B388" s="19">
        <v>25202</v>
      </c>
      <c r="C388" s="5" t="s">
        <v>1</v>
      </c>
      <c r="D388" s="6"/>
      <c r="E388" s="15">
        <v>42.080405555600002</v>
      </c>
      <c r="F388" s="15">
        <v>-75.961466666700005</v>
      </c>
      <c r="G388" s="5" t="s">
        <v>164</v>
      </c>
      <c r="H388" s="5">
        <v>68.2</v>
      </c>
      <c r="I388" s="5">
        <v>84.8</v>
      </c>
      <c r="J388" s="5">
        <v>72</v>
      </c>
      <c r="K388" s="5">
        <v>63.8</v>
      </c>
      <c r="L388" s="10">
        <v>0.35208333333333336</v>
      </c>
      <c r="M388" s="10">
        <v>0.46180555555555558</v>
      </c>
      <c r="N388" s="11">
        <f t="shared" ref="N388:P388" si="187">AVERAGE(96,96,96,96)*1.04</f>
        <v>99.84</v>
      </c>
      <c r="O388" s="11">
        <f t="shared" si="187"/>
        <v>99.84</v>
      </c>
      <c r="P388" s="11">
        <f t="shared" si="187"/>
        <v>99.84</v>
      </c>
      <c r="Q388" s="11">
        <f t="shared" si="177"/>
        <v>99.839999999999989</v>
      </c>
      <c r="R388" s="5">
        <v>3</v>
      </c>
      <c r="S388" s="5">
        <v>22.6</v>
      </c>
      <c r="T388" s="5" t="s">
        <v>4</v>
      </c>
      <c r="U388" s="5" t="s">
        <v>62</v>
      </c>
      <c r="V388" s="5">
        <v>19</v>
      </c>
      <c r="W388" s="5">
        <v>6.5</v>
      </c>
      <c r="X388" s="5">
        <v>25</v>
      </c>
      <c r="Y388" s="5">
        <v>4</v>
      </c>
      <c r="Z388" s="5" t="s">
        <v>167</v>
      </c>
      <c r="AA388" s="5" t="s">
        <v>168</v>
      </c>
      <c r="AB388" s="6"/>
    </row>
    <row r="389" spans="1:28" ht="16" x14ac:dyDescent="0.2">
      <c r="A389" s="4">
        <v>45859</v>
      </c>
      <c r="B389" s="19">
        <v>25202</v>
      </c>
      <c r="C389" s="5" t="s">
        <v>1</v>
      </c>
      <c r="D389" s="6"/>
      <c r="E389" s="15">
        <v>42.080405555600002</v>
      </c>
      <c r="F389" s="15">
        <v>-75.961466666700005</v>
      </c>
      <c r="G389" s="5" t="s">
        <v>164</v>
      </c>
      <c r="H389" s="5">
        <v>68.2</v>
      </c>
      <c r="I389" s="5">
        <v>84.8</v>
      </c>
      <c r="J389" s="5">
        <v>72</v>
      </c>
      <c r="K389" s="5">
        <v>63.8</v>
      </c>
      <c r="L389" s="10">
        <v>0.35208333333333336</v>
      </c>
      <c r="M389" s="10">
        <v>0.46180555555555558</v>
      </c>
      <c r="N389" s="11">
        <f t="shared" ref="N389:P389" si="188">AVERAGE(96,96,96,96)*1.04</f>
        <v>99.84</v>
      </c>
      <c r="O389" s="11">
        <f t="shared" si="188"/>
        <v>99.84</v>
      </c>
      <c r="P389" s="11">
        <f t="shared" si="188"/>
        <v>99.84</v>
      </c>
      <c r="Q389" s="11">
        <f t="shared" si="177"/>
        <v>99.839999999999989</v>
      </c>
      <c r="R389" s="5">
        <v>3</v>
      </c>
      <c r="S389" s="5">
        <v>4.2</v>
      </c>
      <c r="T389" s="5" t="s">
        <v>9</v>
      </c>
      <c r="U389" s="5" t="s">
        <v>55</v>
      </c>
      <c r="V389" s="5">
        <v>18.8</v>
      </c>
      <c r="W389" s="5" t="s">
        <v>8</v>
      </c>
      <c r="X389" s="5" t="s">
        <v>8</v>
      </c>
      <c r="Y389" s="5">
        <v>2.5</v>
      </c>
      <c r="Z389" s="5" t="s">
        <v>108</v>
      </c>
      <c r="AA389" s="5" t="s">
        <v>123</v>
      </c>
      <c r="AB389" s="6"/>
    </row>
    <row r="390" spans="1:28" ht="16" x14ac:dyDescent="0.2">
      <c r="A390" s="4">
        <v>45859</v>
      </c>
      <c r="B390" s="19">
        <v>25202</v>
      </c>
      <c r="C390" s="5" t="s">
        <v>1</v>
      </c>
      <c r="D390" s="6"/>
      <c r="E390" s="15">
        <v>42.080405555600002</v>
      </c>
      <c r="F390" s="15">
        <v>-75.961466666700005</v>
      </c>
      <c r="G390" s="5" t="s">
        <v>164</v>
      </c>
      <c r="H390" s="5">
        <v>68.2</v>
      </c>
      <c r="I390" s="5">
        <v>84.8</v>
      </c>
      <c r="J390" s="5">
        <v>72</v>
      </c>
      <c r="K390" s="5">
        <v>63.8</v>
      </c>
      <c r="L390" s="10">
        <v>0.35208333333333336</v>
      </c>
      <c r="M390" s="10">
        <v>0.46180555555555558</v>
      </c>
      <c r="N390" s="11">
        <f t="shared" ref="N390:P390" si="189">AVERAGE(96,96,96,96)*1.04</f>
        <v>99.84</v>
      </c>
      <c r="O390" s="11">
        <f t="shared" si="189"/>
        <v>99.84</v>
      </c>
      <c r="P390" s="11">
        <f t="shared" si="189"/>
        <v>99.84</v>
      </c>
      <c r="Q390" s="11">
        <f t="shared" si="177"/>
        <v>99.839999999999989</v>
      </c>
      <c r="R390" s="5">
        <v>3</v>
      </c>
      <c r="S390" s="5">
        <v>15.74</v>
      </c>
      <c r="T390" s="5" t="s">
        <v>9</v>
      </c>
      <c r="U390" s="5" t="s">
        <v>62</v>
      </c>
      <c r="V390" s="5">
        <v>19.399999999999999</v>
      </c>
      <c r="W390" s="5" t="s">
        <v>8</v>
      </c>
      <c r="X390" s="5" t="s">
        <v>8</v>
      </c>
      <c r="Y390" s="5">
        <v>2</v>
      </c>
      <c r="Z390" s="5" t="s">
        <v>167</v>
      </c>
      <c r="AA390" s="5" t="s">
        <v>123</v>
      </c>
      <c r="AB390" s="6"/>
    </row>
    <row r="391" spans="1:28" ht="16" x14ac:dyDescent="0.2">
      <c r="A391" s="4">
        <v>45859</v>
      </c>
      <c r="B391" s="19">
        <v>25202</v>
      </c>
      <c r="C391" s="5" t="s">
        <v>1</v>
      </c>
      <c r="D391" s="6"/>
      <c r="E391" s="15">
        <v>42.080405555600002</v>
      </c>
      <c r="F391" s="15">
        <v>-75.961466666700005</v>
      </c>
      <c r="G391" s="5" t="s">
        <v>164</v>
      </c>
      <c r="H391" s="5">
        <v>68.2</v>
      </c>
      <c r="I391" s="5">
        <v>84.8</v>
      </c>
      <c r="J391" s="5">
        <v>72</v>
      </c>
      <c r="K391" s="5">
        <v>63.8</v>
      </c>
      <c r="L391" s="10">
        <v>0.35208333333333336</v>
      </c>
      <c r="M391" s="10">
        <v>0.46180555555555558</v>
      </c>
      <c r="N391" s="11">
        <f t="shared" ref="N391:P391" si="190">AVERAGE(96,96,96,96)*1.04</f>
        <v>99.84</v>
      </c>
      <c r="O391" s="11">
        <f t="shared" si="190"/>
        <v>99.84</v>
      </c>
      <c r="P391" s="11">
        <f t="shared" si="190"/>
        <v>99.84</v>
      </c>
      <c r="Q391" s="11">
        <f t="shared" si="177"/>
        <v>99.839999999999989</v>
      </c>
      <c r="R391" s="5">
        <v>3</v>
      </c>
      <c r="S391" s="5">
        <v>26</v>
      </c>
      <c r="T391" s="5" t="s">
        <v>9</v>
      </c>
      <c r="U391" s="5" t="s">
        <v>55</v>
      </c>
      <c r="V391" s="5">
        <v>19.3</v>
      </c>
      <c r="W391" s="5">
        <v>6.2</v>
      </c>
      <c r="X391" s="5">
        <v>38</v>
      </c>
      <c r="Y391" s="5">
        <v>2.5</v>
      </c>
      <c r="Z391" s="5" t="s">
        <v>167</v>
      </c>
      <c r="AA391" s="5" t="s">
        <v>169</v>
      </c>
      <c r="AB391" s="6"/>
    </row>
    <row r="392" spans="1:28" ht="16" x14ac:dyDescent="0.2">
      <c r="A392" s="4">
        <v>45860</v>
      </c>
      <c r="B392" s="19">
        <v>25203</v>
      </c>
      <c r="C392" s="5" t="s">
        <v>13</v>
      </c>
      <c r="D392" s="5" t="s">
        <v>170</v>
      </c>
      <c r="E392" s="15">
        <v>41.987277777800003</v>
      </c>
      <c r="F392" s="15">
        <v>-76.181038888900005</v>
      </c>
      <c r="G392" s="5" t="s">
        <v>96</v>
      </c>
      <c r="H392" s="5">
        <v>66.5</v>
      </c>
      <c r="I392" s="5">
        <v>58.2</v>
      </c>
      <c r="J392" s="5">
        <v>73.400000000000006</v>
      </c>
      <c r="K392" s="5">
        <v>42.5</v>
      </c>
      <c r="L392" s="10">
        <v>0.44305555555555554</v>
      </c>
      <c r="M392" s="10">
        <v>0.12013888888888889</v>
      </c>
      <c r="N392" s="11">
        <f t="shared" ref="N392:P392" si="191">AVERAGE(96,96,96,96)*1.04</f>
        <v>99.84</v>
      </c>
      <c r="O392" s="11">
        <f t="shared" si="191"/>
        <v>99.84</v>
      </c>
      <c r="P392" s="11">
        <f t="shared" si="191"/>
        <v>99.84</v>
      </c>
      <c r="Q392" s="11">
        <f t="shared" si="177"/>
        <v>99.839999999999989</v>
      </c>
      <c r="R392" s="5">
        <v>1</v>
      </c>
      <c r="S392" s="5">
        <v>3.29</v>
      </c>
      <c r="T392" s="5" t="s">
        <v>9</v>
      </c>
      <c r="U392" s="5" t="s">
        <v>55</v>
      </c>
      <c r="V392" s="5">
        <v>16.8</v>
      </c>
      <c r="W392" s="5">
        <v>5.7</v>
      </c>
      <c r="X392" s="5">
        <v>45</v>
      </c>
      <c r="Y392" s="5">
        <v>3</v>
      </c>
      <c r="Z392" s="5" t="s">
        <v>9</v>
      </c>
      <c r="AA392" s="5" t="s">
        <v>171</v>
      </c>
      <c r="AB392" s="6"/>
    </row>
    <row r="393" spans="1:28" ht="16" x14ac:dyDescent="0.2">
      <c r="A393" s="4">
        <v>45860</v>
      </c>
      <c r="B393" s="19">
        <v>25203</v>
      </c>
      <c r="C393" s="5" t="s">
        <v>13</v>
      </c>
      <c r="D393" s="6"/>
      <c r="E393" s="15">
        <v>41.987277777800003</v>
      </c>
      <c r="F393" s="15">
        <v>-76.181038888900005</v>
      </c>
      <c r="G393" s="5" t="s">
        <v>96</v>
      </c>
      <c r="H393" s="5">
        <v>66.5</v>
      </c>
      <c r="I393" s="5">
        <v>58.2</v>
      </c>
      <c r="J393" s="5">
        <v>73.400000000000006</v>
      </c>
      <c r="K393" s="5">
        <v>42.5</v>
      </c>
      <c r="L393" s="10">
        <v>0.44305555555555554</v>
      </c>
      <c r="M393" s="10">
        <v>0.12013888888888889</v>
      </c>
      <c r="N393" s="11">
        <f t="shared" ref="N393:P393" si="192">AVERAGE(96,96,96,96)*1.04</f>
        <v>99.84</v>
      </c>
      <c r="O393" s="11">
        <f t="shared" si="192"/>
        <v>99.84</v>
      </c>
      <c r="P393" s="11">
        <f t="shared" si="192"/>
        <v>99.84</v>
      </c>
      <c r="Q393" s="11">
        <f t="shared" si="177"/>
        <v>99.839999999999989</v>
      </c>
      <c r="R393" s="5">
        <v>1</v>
      </c>
      <c r="S393" s="5">
        <v>11.5</v>
      </c>
      <c r="T393" s="5" t="s">
        <v>9</v>
      </c>
      <c r="U393" s="5" t="s">
        <v>56</v>
      </c>
      <c r="V393" s="5">
        <v>16.399999999999999</v>
      </c>
      <c r="W393" s="5" t="s">
        <v>8</v>
      </c>
      <c r="X393" s="5" t="s">
        <v>8</v>
      </c>
      <c r="Y393" s="5">
        <v>3</v>
      </c>
      <c r="Z393" s="5" t="s">
        <v>9</v>
      </c>
      <c r="AA393" s="5" t="s">
        <v>123</v>
      </c>
      <c r="AB393" s="6"/>
    </row>
    <row r="394" spans="1:28" ht="16" x14ac:dyDescent="0.2">
      <c r="A394" s="4">
        <v>45860</v>
      </c>
      <c r="B394" s="19">
        <v>25203</v>
      </c>
      <c r="C394" s="5" t="s">
        <v>13</v>
      </c>
      <c r="D394" s="6"/>
      <c r="E394" s="15">
        <v>41.987277777800003</v>
      </c>
      <c r="F394" s="15">
        <v>-76.181038888900005</v>
      </c>
      <c r="G394" s="5" t="s">
        <v>96</v>
      </c>
      <c r="H394" s="5">
        <v>66.5</v>
      </c>
      <c r="I394" s="5">
        <v>58.2</v>
      </c>
      <c r="J394" s="5">
        <v>73.400000000000006</v>
      </c>
      <c r="K394" s="5">
        <v>42.5</v>
      </c>
      <c r="L394" s="10">
        <v>0.44305555555555554</v>
      </c>
      <c r="M394" s="10">
        <v>0.12013888888888889</v>
      </c>
      <c r="N394" s="11">
        <f t="shared" ref="N394:P394" si="193">AVERAGE(96,96,96,96)*1.04</f>
        <v>99.84</v>
      </c>
      <c r="O394" s="11">
        <f t="shared" si="193"/>
        <v>99.84</v>
      </c>
      <c r="P394" s="11">
        <f t="shared" si="193"/>
        <v>99.84</v>
      </c>
      <c r="Q394" s="11">
        <f t="shared" si="177"/>
        <v>99.839999999999989</v>
      </c>
      <c r="R394" s="5">
        <v>1</v>
      </c>
      <c r="S394" s="5">
        <v>21.9</v>
      </c>
      <c r="T394" s="5" t="s">
        <v>9</v>
      </c>
      <c r="U394" s="5" t="s">
        <v>55</v>
      </c>
      <c r="V394" s="5">
        <v>16.399999999999999</v>
      </c>
      <c r="W394" s="5" t="s">
        <v>8</v>
      </c>
      <c r="X394" s="5" t="s">
        <v>8</v>
      </c>
      <c r="Y394" s="5">
        <v>5</v>
      </c>
      <c r="Z394" s="5" t="s">
        <v>9</v>
      </c>
      <c r="AA394" s="5" t="s">
        <v>123</v>
      </c>
      <c r="AB394" s="6"/>
    </row>
    <row r="395" spans="1:28" ht="16" x14ac:dyDescent="0.2">
      <c r="A395" s="4">
        <v>45860</v>
      </c>
      <c r="B395" s="19">
        <v>25203</v>
      </c>
      <c r="C395" s="5" t="s">
        <v>13</v>
      </c>
      <c r="D395" s="6"/>
      <c r="E395" s="15">
        <v>41.987277777800003</v>
      </c>
      <c r="F395" s="15">
        <v>-76.181038888900005</v>
      </c>
      <c r="G395" s="5" t="s">
        <v>96</v>
      </c>
      <c r="H395" s="5">
        <v>66.5</v>
      </c>
      <c r="I395" s="5">
        <v>58.2</v>
      </c>
      <c r="J395" s="5">
        <v>73.400000000000006</v>
      </c>
      <c r="K395" s="5">
        <v>42.5</v>
      </c>
      <c r="L395" s="10">
        <v>0.44305555555555554</v>
      </c>
      <c r="M395" s="10">
        <v>0.12013888888888889</v>
      </c>
      <c r="N395" s="11">
        <f t="shared" ref="N395:P395" si="194">AVERAGE(96,96,96,96)*1.04</f>
        <v>99.84</v>
      </c>
      <c r="O395" s="11">
        <f t="shared" si="194"/>
        <v>99.84</v>
      </c>
      <c r="P395" s="11">
        <f t="shared" si="194"/>
        <v>99.84</v>
      </c>
      <c r="Q395" s="11">
        <f t="shared" si="177"/>
        <v>99.839999999999989</v>
      </c>
      <c r="R395" s="5">
        <v>1</v>
      </c>
      <c r="S395" s="5">
        <v>3.66</v>
      </c>
      <c r="T395" s="5" t="s">
        <v>4</v>
      </c>
      <c r="U395" s="5" t="s">
        <v>55</v>
      </c>
      <c r="V395" s="5">
        <v>17</v>
      </c>
      <c r="W395" s="5" t="s">
        <v>8</v>
      </c>
      <c r="X395" s="5" t="s">
        <v>8</v>
      </c>
      <c r="Y395" s="5">
        <v>2.5</v>
      </c>
      <c r="Z395" s="5" t="s">
        <v>9</v>
      </c>
      <c r="AA395" s="5" t="s">
        <v>123</v>
      </c>
      <c r="AB395" s="6"/>
    </row>
    <row r="396" spans="1:28" ht="16" x14ac:dyDescent="0.2">
      <c r="A396" s="4">
        <v>45860</v>
      </c>
      <c r="B396" s="19">
        <v>25203</v>
      </c>
      <c r="C396" s="5" t="s">
        <v>13</v>
      </c>
      <c r="D396" s="6"/>
      <c r="E396" s="15">
        <v>41.987277777800003</v>
      </c>
      <c r="F396" s="15">
        <v>-76.181038888900005</v>
      </c>
      <c r="G396" s="5" t="s">
        <v>96</v>
      </c>
      <c r="H396" s="5">
        <v>66.5</v>
      </c>
      <c r="I396" s="5">
        <v>58.2</v>
      </c>
      <c r="J396" s="5">
        <v>73.400000000000006</v>
      </c>
      <c r="K396" s="5">
        <v>42.5</v>
      </c>
      <c r="L396" s="10">
        <v>0.44305555555555554</v>
      </c>
      <c r="M396" s="10">
        <v>0.12013888888888889</v>
      </c>
      <c r="N396" s="11">
        <f t="shared" ref="N396:P396" si="195">AVERAGE(96,96,96,96)*1.04</f>
        <v>99.84</v>
      </c>
      <c r="O396" s="11">
        <f t="shared" si="195"/>
        <v>99.84</v>
      </c>
      <c r="P396" s="11">
        <f t="shared" si="195"/>
        <v>99.84</v>
      </c>
      <c r="Q396" s="11">
        <f t="shared" si="177"/>
        <v>99.839999999999989</v>
      </c>
      <c r="R396" s="5">
        <v>1</v>
      </c>
      <c r="S396" s="5">
        <v>5.6</v>
      </c>
      <c r="T396" s="5" t="s">
        <v>4</v>
      </c>
      <c r="U396" s="5" t="s">
        <v>55</v>
      </c>
      <c r="V396" s="5">
        <v>16.899999999999999</v>
      </c>
      <c r="W396" s="5">
        <v>5.3</v>
      </c>
      <c r="X396" s="5">
        <v>64</v>
      </c>
      <c r="Y396" s="5">
        <v>3</v>
      </c>
      <c r="Z396" s="5" t="s">
        <v>9</v>
      </c>
      <c r="AA396" s="6"/>
      <c r="AB396" s="6"/>
    </row>
    <row r="397" spans="1:28" ht="16" x14ac:dyDescent="0.2">
      <c r="A397" s="4">
        <v>45860</v>
      </c>
      <c r="B397" s="19">
        <v>25203</v>
      </c>
      <c r="C397" s="5" t="s">
        <v>13</v>
      </c>
      <c r="D397" s="6"/>
      <c r="E397" s="15">
        <v>41.987277777800003</v>
      </c>
      <c r="F397" s="15">
        <v>-76.181038888900005</v>
      </c>
      <c r="G397" s="5" t="s">
        <v>96</v>
      </c>
      <c r="H397" s="5">
        <v>66.5</v>
      </c>
      <c r="I397" s="5">
        <v>58.2</v>
      </c>
      <c r="J397" s="5">
        <v>73.400000000000006</v>
      </c>
      <c r="K397" s="5">
        <v>42.5</v>
      </c>
      <c r="L397" s="10">
        <v>0.44305555555555554</v>
      </c>
      <c r="M397" s="10">
        <v>0.12013888888888889</v>
      </c>
      <c r="N397" s="11">
        <f t="shared" ref="N397:P397" si="196">AVERAGE(96,96,96,96)*1.04</f>
        <v>99.84</v>
      </c>
      <c r="O397" s="11">
        <f t="shared" si="196"/>
        <v>99.84</v>
      </c>
      <c r="P397" s="11">
        <f t="shared" si="196"/>
        <v>99.84</v>
      </c>
      <c r="Q397" s="11">
        <f t="shared" si="177"/>
        <v>99.839999999999989</v>
      </c>
      <c r="R397" s="5">
        <v>1</v>
      </c>
      <c r="S397" s="5">
        <v>15.4</v>
      </c>
      <c r="T397" s="5" t="s">
        <v>4</v>
      </c>
      <c r="U397" s="5" t="s">
        <v>55</v>
      </c>
      <c r="V397" s="5">
        <v>17.100000000000001</v>
      </c>
      <c r="W397" s="5" t="s">
        <v>8</v>
      </c>
      <c r="X397" s="5" t="s">
        <v>8</v>
      </c>
      <c r="Y397" s="5">
        <v>3</v>
      </c>
      <c r="Z397" s="5" t="s">
        <v>9</v>
      </c>
      <c r="AA397" s="5" t="s">
        <v>123</v>
      </c>
      <c r="AB397" s="6"/>
    </row>
    <row r="398" spans="1:28" ht="16" x14ac:dyDescent="0.2">
      <c r="A398" s="4">
        <v>45860</v>
      </c>
      <c r="B398" s="19">
        <v>25203</v>
      </c>
      <c r="C398" s="5" t="s">
        <v>13</v>
      </c>
      <c r="D398" s="6"/>
      <c r="E398" s="15">
        <v>41.987277777800003</v>
      </c>
      <c r="F398" s="15">
        <v>-76.181038888900005</v>
      </c>
      <c r="G398" s="5" t="s">
        <v>96</v>
      </c>
      <c r="H398" s="5">
        <v>66.5</v>
      </c>
      <c r="I398" s="5">
        <v>58.2</v>
      </c>
      <c r="J398" s="5">
        <v>73.400000000000006</v>
      </c>
      <c r="K398" s="5">
        <v>42.5</v>
      </c>
      <c r="L398" s="10">
        <v>0.44305555555555554</v>
      </c>
      <c r="M398" s="10">
        <v>0.12013888888888889</v>
      </c>
      <c r="N398" s="11">
        <f t="shared" ref="N398:P398" si="197">AVERAGE(96,96,96,96)*1.04</f>
        <v>99.84</v>
      </c>
      <c r="O398" s="11">
        <f t="shared" si="197"/>
        <v>99.84</v>
      </c>
      <c r="P398" s="11">
        <f t="shared" si="197"/>
        <v>99.84</v>
      </c>
      <c r="Q398" s="11">
        <f t="shared" si="177"/>
        <v>99.839999999999989</v>
      </c>
      <c r="R398" s="5">
        <v>1</v>
      </c>
      <c r="S398" s="5">
        <v>12.12</v>
      </c>
      <c r="T398" s="5" t="s">
        <v>4</v>
      </c>
      <c r="U398" s="5" t="s">
        <v>172</v>
      </c>
      <c r="V398" s="5">
        <v>16.8</v>
      </c>
      <c r="W398" s="5" t="s">
        <v>8</v>
      </c>
      <c r="X398" s="5" t="s">
        <v>8</v>
      </c>
      <c r="Y398" s="5">
        <v>2</v>
      </c>
      <c r="Z398" s="5" t="s">
        <v>108</v>
      </c>
      <c r="AA398" s="5" t="s">
        <v>123</v>
      </c>
      <c r="AB398" s="6"/>
    </row>
    <row r="399" spans="1:28" ht="16" x14ac:dyDescent="0.2">
      <c r="A399" s="4">
        <v>45860</v>
      </c>
      <c r="B399" s="19">
        <v>25203</v>
      </c>
      <c r="C399" s="5" t="s">
        <v>13</v>
      </c>
      <c r="D399" s="6"/>
      <c r="E399" s="15">
        <v>41.987277777800003</v>
      </c>
      <c r="F399" s="15">
        <v>-76.181038888900005</v>
      </c>
      <c r="G399" s="5" t="s">
        <v>96</v>
      </c>
      <c r="H399" s="5">
        <v>66.5</v>
      </c>
      <c r="I399" s="5">
        <v>58.2</v>
      </c>
      <c r="J399" s="5">
        <v>73.400000000000006</v>
      </c>
      <c r="K399" s="5">
        <v>42.5</v>
      </c>
      <c r="L399" s="10">
        <v>0.44305555555555554</v>
      </c>
      <c r="M399" s="10">
        <v>0.12013888888888889</v>
      </c>
      <c r="N399" s="11">
        <f t="shared" ref="N399:P399" si="198">AVERAGE(96,96,96,96)*1.04</f>
        <v>99.84</v>
      </c>
      <c r="O399" s="11">
        <f t="shared" si="198"/>
        <v>99.84</v>
      </c>
      <c r="P399" s="11">
        <f t="shared" si="198"/>
        <v>99.84</v>
      </c>
      <c r="Q399" s="11">
        <f t="shared" si="177"/>
        <v>99.839999999999989</v>
      </c>
      <c r="R399" s="5">
        <v>1</v>
      </c>
      <c r="S399" s="5">
        <v>16.899999999999999</v>
      </c>
      <c r="T399" s="5" t="s">
        <v>4</v>
      </c>
      <c r="U399" s="5" t="s">
        <v>55</v>
      </c>
      <c r="V399" s="5">
        <v>16.399999999999999</v>
      </c>
      <c r="W399" s="5" t="s">
        <v>8</v>
      </c>
      <c r="X399" s="5" t="s">
        <v>8</v>
      </c>
      <c r="Y399" s="5">
        <v>3</v>
      </c>
      <c r="Z399" s="5" t="s">
        <v>9</v>
      </c>
      <c r="AA399" s="5" t="s">
        <v>123</v>
      </c>
      <c r="AB399" s="6"/>
    </row>
    <row r="400" spans="1:28" ht="16" x14ac:dyDescent="0.2">
      <c r="A400" s="4">
        <v>45860</v>
      </c>
      <c r="B400" s="19">
        <v>25203</v>
      </c>
      <c r="C400" s="5" t="s">
        <v>13</v>
      </c>
      <c r="D400" s="6"/>
      <c r="E400" s="15">
        <v>41.987277777800003</v>
      </c>
      <c r="F400" s="15">
        <v>-76.181038888900005</v>
      </c>
      <c r="G400" s="5" t="s">
        <v>96</v>
      </c>
      <c r="H400" s="5">
        <v>66.5</v>
      </c>
      <c r="I400" s="5">
        <v>58.2</v>
      </c>
      <c r="J400" s="5">
        <v>73.400000000000006</v>
      </c>
      <c r="K400" s="5">
        <v>42.5</v>
      </c>
      <c r="L400" s="10">
        <v>0.44305555555555554</v>
      </c>
      <c r="M400" s="10">
        <v>0.12013888888888889</v>
      </c>
      <c r="N400" s="11">
        <f t="shared" ref="N400:P400" si="199">AVERAGE(96,96,96,96)*1.04</f>
        <v>99.84</v>
      </c>
      <c r="O400" s="11">
        <f t="shared" si="199"/>
        <v>99.84</v>
      </c>
      <c r="P400" s="11">
        <f t="shared" si="199"/>
        <v>99.84</v>
      </c>
      <c r="Q400" s="11">
        <f t="shared" si="177"/>
        <v>99.839999999999989</v>
      </c>
      <c r="R400" s="5">
        <v>1</v>
      </c>
      <c r="S400" s="5">
        <v>30</v>
      </c>
      <c r="T400" s="5" t="s">
        <v>4</v>
      </c>
      <c r="U400" s="5" t="s">
        <v>56</v>
      </c>
      <c r="V400" s="5">
        <v>16.7</v>
      </c>
      <c r="W400" s="5" t="s">
        <v>8</v>
      </c>
      <c r="X400" s="5" t="s">
        <v>8</v>
      </c>
      <c r="Y400" s="5">
        <v>3.5</v>
      </c>
      <c r="Z400" s="5" t="s">
        <v>9</v>
      </c>
      <c r="AA400" s="5" t="s">
        <v>123</v>
      </c>
      <c r="AB400" s="6"/>
    </row>
    <row r="401" spans="1:28" ht="16" x14ac:dyDescent="0.2">
      <c r="A401" s="4">
        <v>45860</v>
      </c>
      <c r="B401" s="19">
        <v>25203</v>
      </c>
      <c r="C401" s="5" t="s">
        <v>13</v>
      </c>
      <c r="D401" s="6"/>
      <c r="E401" s="15">
        <v>41.987277777800003</v>
      </c>
      <c r="F401" s="15">
        <v>-76.181038888900005</v>
      </c>
      <c r="G401" s="5" t="s">
        <v>96</v>
      </c>
      <c r="H401" s="5">
        <v>66.5</v>
      </c>
      <c r="I401" s="5">
        <v>58.2</v>
      </c>
      <c r="J401" s="5">
        <v>73.400000000000006</v>
      </c>
      <c r="K401" s="5">
        <v>42.5</v>
      </c>
      <c r="L401" s="10">
        <v>0.44305555555555554</v>
      </c>
      <c r="M401" s="10">
        <v>0.12013888888888889</v>
      </c>
      <c r="N401" s="11">
        <f t="shared" ref="N401:P401" si="200">AVERAGE(96,96,96,96)*1.04</f>
        <v>99.84</v>
      </c>
      <c r="O401" s="11">
        <f t="shared" si="200"/>
        <v>99.84</v>
      </c>
      <c r="P401" s="11">
        <f t="shared" si="200"/>
        <v>99.84</v>
      </c>
      <c r="Q401" s="11">
        <f t="shared" si="177"/>
        <v>99.839999999999989</v>
      </c>
      <c r="R401" s="5">
        <v>2</v>
      </c>
      <c r="S401" s="5">
        <v>3.27</v>
      </c>
      <c r="T401" s="5" t="s">
        <v>9</v>
      </c>
      <c r="U401" s="5" t="s">
        <v>55</v>
      </c>
      <c r="V401" s="5">
        <v>16.8</v>
      </c>
      <c r="W401" s="5">
        <v>5.6</v>
      </c>
      <c r="X401" s="5">
        <v>56</v>
      </c>
      <c r="Y401" s="5">
        <v>4</v>
      </c>
      <c r="Z401" s="5" t="s">
        <v>9</v>
      </c>
      <c r="AA401" s="6"/>
      <c r="AB401" s="6"/>
    </row>
    <row r="402" spans="1:28" ht="16" x14ac:dyDescent="0.2">
      <c r="A402" s="4">
        <v>45860</v>
      </c>
      <c r="B402" s="19">
        <v>25203</v>
      </c>
      <c r="C402" s="5" t="s">
        <v>13</v>
      </c>
      <c r="D402" s="6"/>
      <c r="E402" s="15">
        <v>41.987277777800003</v>
      </c>
      <c r="F402" s="15">
        <v>-76.181038888900005</v>
      </c>
      <c r="G402" s="5" t="s">
        <v>96</v>
      </c>
      <c r="H402" s="5">
        <v>66.5</v>
      </c>
      <c r="I402" s="5">
        <v>58.2</v>
      </c>
      <c r="J402" s="5">
        <v>73.400000000000006</v>
      </c>
      <c r="K402" s="5">
        <v>42.5</v>
      </c>
      <c r="L402" s="10">
        <v>0.44305555555555554</v>
      </c>
      <c r="M402" s="10">
        <v>0.12013888888888889</v>
      </c>
      <c r="N402" s="11">
        <f t="shared" ref="N402:P402" si="201">AVERAGE(96,96,96,96)*1.04</f>
        <v>99.84</v>
      </c>
      <c r="O402" s="11">
        <f t="shared" si="201"/>
        <v>99.84</v>
      </c>
      <c r="P402" s="11">
        <f t="shared" si="201"/>
        <v>99.84</v>
      </c>
      <c r="Q402" s="11">
        <f t="shared" si="177"/>
        <v>99.839999999999989</v>
      </c>
      <c r="R402" s="5">
        <v>2</v>
      </c>
      <c r="S402" s="5">
        <v>11</v>
      </c>
      <c r="T402" s="5" t="s">
        <v>9</v>
      </c>
      <c r="U402" s="5" t="s">
        <v>55</v>
      </c>
      <c r="V402" s="5">
        <v>17.100000000000001</v>
      </c>
      <c r="W402" s="5">
        <v>5.2</v>
      </c>
      <c r="X402" s="5">
        <v>60</v>
      </c>
      <c r="Y402" s="5">
        <v>3</v>
      </c>
      <c r="Z402" s="5" t="s">
        <v>9</v>
      </c>
      <c r="AA402" s="6"/>
      <c r="AB402" s="6"/>
    </row>
    <row r="403" spans="1:28" ht="16" x14ac:dyDescent="0.2">
      <c r="A403" s="4">
        <v>45860</v>
      </c>
      <c r="B403" s="19">
        <v>25203</v>
      </c>
      <c r="C403" s="5" t="s">
        <v>13</v>
      </c>
      <c r="D403" s="6"/>
      <c r="E403" s="15">
        <v>41.987277777800003</v>
      </c>
      <c r="F403" s="15">
        <v>-76.181038888900005</v>
      </c>
      <c r="G403" s="5" t="s">
        <v>96</v>
      </c>
      <c r="H403" s="5">
        <v>66.5</v>
      </c>
      <c r="I403" s="5">
        <v>58.2</v>
      </c>
      <c r="J403" s="5">
        <v>73.400000000000006</v>
      </c>
      <c r="K403" s="5">
        <v>42.5</v>
      </c>
      <c r="L403" s="10">
        <v>0.44305555555555554</v>
      </c>
      <c r="M403" s="10">
        <v>0.12013888888888889</v>
      </c>
      <c r="N403" s="11">
        <f t="shared" ref="N403:P403" si="202">AVERAGE(96,96,96,96)*1.04</f>
        <v>99.84</v>
      </c>
      <c r="O403" s="11">
        <f t="shared" si="202"/>
        <v>99.84</v>
      </c>
      <c r="P403" s="11">
        <f t="shared" si="202"/>
        <v>99.84</v>
      </c>
      <c r="Q403" s="11">
        <f t="shared" si="177"/>
        <v>99.839999999999989</v>
      </c>
      <c r="R403" s="5">
        <v>2</v>
      </c>
      <c r="S403" s="5">
        <v>27.1</v>
      </c>
      <c r="T403" s="5" t="s">
        <v>9</v>
      </c>
      <c r="U403" s="5" t="s">
        <v>56</v>
      </c>
      <c r="V403" s="5">
        <v>16.399999999999999</v>
      </c>
      <c r="W403" s="5" t="s">
        <v>8</v>
      </c>
      <c r="X403" s="5" t="s">
        <v>8</v>
      </c>
      <c r="Y403" s="5">
        <v>5.5</v>
      </c>
      <c r="Z403" s="5" t="s">
        <v>9</v>
      </c>
      <c r="AA403" s="5" t="s">
        <v>123</v>
      </c>
      <c r="AB403" s="6"/>
    </row>
    <row r="404" spans="1:28" ht="16" x14ac:dyDescent="0.2">
      <c r="A404" s="4">
        <v>45860</v>
      </c>
      <c r="B404" s="19">
        <v>25203</v>
      </c>
      <c r="C404" s="5" t="s">
        <v>13</v>
      </c>
      <c r="D404" s="6"/>
      <c r="E404" s="15">
        <v>41.987277777800003</v>
      </c>
      <c r="F404" s="15">
        <v>-76.181038888900005</v>
      </c>
      <c r="G404" s="5" t="s">
        <v>96</v>
      </c>
      <c r="H404" s="5">
        <v>66.5</v>
      </c>
      <c r="I404" s="5">
        <v>58.2</v>
      </c>
      <c r="J404" s="5">
        <v>73.400000000000006</v>
      </c>
      <c r="K404" s="5">
        <v>42.5</v>
      </c>
      <c r="L404" s="10">
        <v>0.44305555555555554</v>
      </c>
      <c r="M404" s="10">
        <v>0.12013888888888889</v>
      </c>
      <c r="N404" s="11">
        <f t="shared" ref="N404:P404" si="203">AVERAGE(96,96,96,96)*1.04</f>
        <v>99.84</v>
      </c>
      <c r="O404" s="11">
        <f t="shared" si="203"/>
        <v>99.84</v>
      </c>
      <c r="P404" s="11">
        <f t="shared" si="203"/>
        <v>99.84</v>
      </c>
      <c r="Q404" s="11">
        <f t="shared" si="177"/>
        <v>99.839999999999989</v>
      </c>
      <c r="R404" s="5">
        <v>2</v>
      </c>
      <c r="S404" s="5">
        <v>0.7</v>
      </c>
      <c r="T404" s="5" t="s">
        <v>4</v>
      </c>
      <c r="U404" s="5" t="s">
        <v>55</v>
      </c>
      <c r="V404" s="5">
        <v>17</v>
      </c>
      <c r="W404" s="5">
        <v>6</v>
      </c>
      <c r="X404" s="5">
        <v>56</v>
      </c>
      <c r="Y404" s="5">
        <v>3.5</v>
      </c>
      <c r="Z404" s="5" t="s">
        <v>9</v>
      </c>
      <c r="AA404" s="6"/>
      <c r="AB404" s="6"/>
    </row>
    <row r="405" spans="1:28" ht="16" x14ac:dyDescent="0.2">
      <c r="A405" s="4">
        <v>45860</v>
      </c>
      <c r="B405" s="19">
        <v>25203</v>
      </c>
      <c r="C405" s="5" t="s">
        <v>13</v>
      </c>
      <c r="D405" s="6"/>
      <c r="E405" s="15">
        <v>41.987277777800003</v>
      </c>
      <c r="F405" s="15">
        <v>-76.181038888900005</v>
      </c>
      <c r="G405" s="5" t="s">
        <v>96</v>
      </c>
      <c r="H405" s="5">
        <v>66.5</v>
      </c>
      <c r="I405" s="5">
        <v>58.2</v>
      </c>
      <c r="J405" s="5">
        <v>73.400000000000006</v>
      </c>
      <c r="K405" s="5">
        <v>42.5</v>
      </c>
      <c r="L405" s="10">
        <v>0.44305555555555554</v>
      </c>
      <c r="M405" s="10">
        <v>0.12013888888888889</v>
      </c>
      <c r="N405" s="11">
        <f t="shared" ref="N405:P405" si="204">AVERAGE(96,96,96,96)*1.04</f>
        <v>99.84</v>
      </c>
      <c r="O405" s="11">
        <f t="shared" si="204"/>
        <v>99.84</v>
      </c>
      <c r="P405" s="11">
        <f t="shared" si="204"/>
        <v>99.84</v>
      </c>
      <c r="Q405" s="11">
        <f t="shared" si="177"/>
        <v>99.839999999999989</v>
      </c>
      <c r="R405" s="5">
        <v>2</v>
      </c>
      <c r="S405" s="5">
        <v>16.8</v>
      </c>
      <c r="T405" s="5" t="s">
        <v>4</v>
      </c>
      <c r="U405" s="5" t="s">
        <v>55</v>
      </c>
      <c r="V405" s="5">
        <v>19</v>
      </c>
      <c r="W405" s="5" t="s">
        <v>8</v>
      </c>
      <c r="X405" s="5" t="s">
        <v>8</v>
      </c>
      <c r="Y405" s="5">
        <v>4.5</v>
      </c>
      <c r="Z405" s="5" t="s">
        <v>9</v>
      </c>
      <c r="AA405" s="5" t="s">
        <v>173</v>
      </c>
      <c r="AB405" s="6"/>
    </row>
    <row r="406" spans="1:28" ht="16" x14ac:dyDescent="0.2">
      <c r="A406" s="4">
        <v>45860</v>
      </c>
      <c r="B406" s="19">
        <v>25203</v>
      </c>
      <c r="C406" s="5" t="s">
        <v>13</v>
      </c>
      <c r="D406" s="6"/>
      <c r="E406" s="15">
        <v>41.987277777800003</v>
      </c>
      <c r="F406" s="15">
        <v>-76.181038888900005</v>
      </c>
      <c r="G406" s="5" t="s">
        <v>96</v>
      </c>
      <c r="H406" s="5">
        <v>66.5</v>
      </c>
      <c r="I406" s="5">
        <v>58.2</v>
      </c>
      <c r="J406" s="5">
        <v>73.400000000000006</v>
      </c>
      <c r="K406" s="5">
        <v>42.5</v>
      </c>
      <c r="L406" s="10">
        <v>0.44305555555555554</v>
      </c>
      <c r="M406" s="10">
        <v>0.12013888888888889</v>
      </c>
      <c r="N406" s="11">
        <f t="shared" ref="N406:P406" si="205">AVERAGE(96,96,96,96)*1.04</f>
        <v>99.84</v>
      </c>
      <c r="O406" s="11">
        <f t="shared" si="205"/>
        <v>99.84</v>
      </c>
      <c r="P406" s="11">
        <f t="shared" si="205"/>
        <v>99.84</v>
      </c>
      <c r="Q406" s="11">
        <f t="shared" si="177"/>
        <v>99.839999999999989</v>
      </c>
      <c r="R406" s="5">
        <v>3</v>
      </c>
      <c r="S406" s="5">
        <v>3.7</v>
      </c>
      <c r="T406" s="5" t="s">
        <v>9</v>
      </c>
      <c r="U406" s="5" t="s">
        <v>55</v>
      </c>
      <c r="V406" s="5">
        <v>18.7</v>
      </c>
      <c r="W406" s="5">
        <v>5.0999999999999996</v>
      </c>
      <c r="X406" s="5">
        <v>60</v>
      </c>
      <c r="Y406" s="5">
        <v>4.5</v>
      </c>
      <c r="Z406" s="5" t="s">
        <v>9</v>
      </c>
      <c r="AA406" s="6"/>
      <c r="AB406" s="6"/>
    </row>
    <row r="407" spans="1:28" ht="16" x14ac:dyDescent="0.2">
      <c r="A407" s="4">
        <v>45860</v>
      </c>
      <c r="B407" s="19">
        <v>25203</v>
      </c>
      <c r="C407" s="5" t="s">
        <v>13</v>
      </c>
      <c r="D407" s="6"/>
      <c r="E407" s="15">
        <v>41.987277777800003</v>
      </c>
      <c r="F407" s="15">
        <v>-76.181038888900005</v>
      </c>
      <c r="G407" s="5" t="s">
        <v>96</v>
      </c>
      <c r="H407" s="5">
        <v>66.5</v>
      </c>
      <c r="I407" s="5">
        <v>58.2</v>
      </c>
      <c r="J407" s="5">
        <v>73.400000000000006</v>
      </c>
      <c r="K407" s="5">
        <v>42.5</v>
      </c>
      <c r="L407" s="10">
        <v>0.44305555555555554</v>
      </c>
      <c r="M407" s="10">
        <v>0.12013888888888889</v>
      </c>
      <c r="N407" s="11">
        <f t="shared" ref="N407:P407" si="206">AVERAGE(96,96,96,96)*1.04</f>
        <v>99.84</v>
      </c>
      <c r="O407" s="11">
        <f t="shared" si="206"/>
        <v>99.84</v>
      </c>
      <c r="P407" s="11">
        <f t="shared" si="206"/>
        <v>99.84</v>
      </c>
      <c r="Q407" s="11">
        <f t="shared" si="177"/>
        <v>99.839999999999989</v>
      </c>
      <c r="R407" s="5">
        <v>3</v>
      </c>
      <c r="S407" s="5">
        <v>14.1</v>
      </c>
      <c r="T407" s="5" t="s">
        <v>9</v>
      </c>
      <c r="U407" s="5" t="s">
        <v>55</v>
      </c>
      <c r="V407" s="5">
        <v>17</v>
      </c>
      <c r="W407" s="5" t="s">
        <v>8</v>
      </c>
      <c r="X407" s="5" t="s">
        <v>8</v>
      </c>
      <c r="Y407" s="5">
        <v>3.5</v>
      </c>
      <c r="Z407" s="5" t="s">
        <v>9</v>
      </c>
      <c r="AA407" s="5" t="s">
        <v>123</v>
      </c>
      <c r="AB407" s="6"/>
    </row>
    <row r="408" spans="1:28" ht="16" x14ac:dyDescent="0.2">
      <c r="A408" s="4">
        <v>45860</v>
      </c>
      <c r="B408" s="19">
        <v>25203</v>
      </c>
      <c r="C408" s="5" t="s">
        <v>13</v>
      </c>
      <c r="D408" s="6"/>
      <c r="E408" s="15">
        <v>41.987277777800003</v>
      </c>
      <c r="F408" s="15">
        <v>-76.181038888900005</v>
      </c>
      <c r="G408" s="5" t="s">
        <v>96</v>
      </c>
      <c r="H408" s="5">
        <v>66.5</v>
      </c>
      <c r="I408" s="5">
        <v>58.2</v>
      </c>
      <c r="J408" s="5">
        <v>73.400000000000006</v>
      </c>
      <c r="K408" s="5">
        <v>42.5</v>
      </c>
      <c r="L408" s="10">
        <v>0.44305555555555554</v>
      </c>
      <c r="M408" s="10">
        <v>0.12013888888888889</v>
      </c>
      <c r="N408" s="11">
        <f t="shared" ref="N408:P408" si="207">AVERAGE(96,96,96,96)*1.04</f>
        <v>99.84</v>
      </c>
      <c r="O408" s="11">
        <f t="shared" si="207"/>
        <v>99.84</v>
      </c>
      <c r="P408" s="11">
        <f t="shared" si="207"/>
        <v>99.84</v>
      </c>
      <c r="Q408" s="11">
        <f t="shared" si="177"/>
        <v>99.839999999999989</v>
      </c>
      <c r="R408" s="5">
        <v>3</v>
      </c>
      <c r="S408" s="5">
        <v>26.74</v>
      </c>
      <c r="T408" s="5" t="s">
        <v>9</v>
      </c>
      <c r="U408" s="5" t="s">
        <v>55</v>
      </c>
      <c r="V408" s="5">
        <v>16.8</v>
      </c>
      <c r="W408" s="5" t="s">
        <v>8</v>
      </c>
      <c r="X408" s="5" t="s">
        <v>8</v>
      </c>
      <c r="Y408" s="5">
        <v>3</v>
      </c>
      <c r="Z408" s="5" t="s">
        <v>9</v>
      </c>
      <c r="AA408" s="5" t="s">
        <v>174</v>
      </c>
      <c r="AB408" s="6"/>
    </row>
    <row r="409" spans="1:28" ht="16" x14ac:dyDescent="0.2">
      <c r="A409" s="4">
        <v>45860</v>
      </c>
      <c r="B409" s="19">
        <v>25203</v>
      </c>
      <c r="C409" s="5" t="s">
        <v>13</v>
      </c>
      <c r="D409" s="6"/>
      <c r="E409" s="15">
        <v>41.987277777800003</v>
      </c>
      <c r="F409" s="15">
        <v>-76.181038888900005</v>
      </c>
      <c r="G409" s="5" t="s">
        <v>96</v>
      </c>
      <c r="H409" s="5">
        <v>66.5</v>
      </c>
      <c r="I409" s="5">
        <v>58.2</v>
      </c>
      <c r="J409" s="5">
        <v>73.400000000000006</v>
      </c>
      <c r="K409" s="5">
        <v>42.5</v>
      </c>
      <c r="L409" s="10">
        <v>0.44305555555555554</v>
      </c>
      <c r="M409" s="10">
        <v>0.12013888888888889</v>
      </c>
      <c r="N409" s="11">
        <f t="shared" ref="N409:P409" si="208">AVERAGE(96,96,96,96)*1.04</f>
        <v>99.84</v>
      </c>
      <c r="O409" s="11">
        <f t="shared" si="208"/>
        <v>99.84</v>
      </c>
      <c r="P409" s="11">
        <f t="shared" si="208"/>
        <v>99.84</v>
      </c>
      <c r="Q409" s="11">
        <f t="shared" si="177"/>
        <v>99.839999999999989</v>
      </c>
      <c r="R409" s="5">
        <v>3</v>
      </c>
      <c r="S409" s="5">
        <v>9.15</v>
      </c>
      <c r="T409" s="5" t="s">
        <v>4</v>
      </c>
      <c r="U409" s="5" t="s">
        <v>55</v>
      </c>
      <c r="V409" s="5">
        <v>19</v>
      </c>
      <c r="W409" s="5">
        <v>6.1</v>
      </c>
      <c r="X409" s="5">
        <v>35</v>
      </c>
      <c r="Y409" s="5">
        <v>4</v>
      </c>
      <c r="Z409" s="5" t="s">
        <v>9</v>
      </c>
      <c r="AA409" s="6"/>
      <c r="AB409" s="6"/>
    </row>
    <row r="410" spans="1:28" ht="16" x14ac:dyDescent="0.2">
      <c r="A410" s="4">
        <v>45860</v>
      </c>
      <c r="B410" s="19">
        <v>25203</v>
      </c>
      <c r="C410" s="5" t="s">
        <v>13</v>
      </c>
      <c r="D410" s="6"/>
      <c r="E410" s="15">
        <v>41.987277777800003</v>
      </c>
      <c r="F410" s="15">
        <v>-76.181038888900005</v>
      </c>
      <c r="G410" s="5" t="s">
        <v>96</v>
      </c>
      <c r="H410" s="5">
        <v>66.5</v>
      </c>
      <c r="I410" s="5">
        <v>58.2</v>
      </c>
      <c r="J410" s="5">
        <v>73.400000000000006</v>
      </c>
      <c r="K410" s="5">
        <v>42.5</v>
      </c>
      <c r="L410" s="10">
        <v>0.44305555555555554</v>
      </c>
      <c r="M410" s="10">
        <v>0.12013888888888889</v>
      </c>
      <c r="N410" s="11">
        <f t="shared" ref="N410:P410" si="209">AVERAGE(96,96,96,96)*1.04</f>
        <v>99.84</v>
      </c>
      <c r="O410" s="11">
        <f t="shared" si="209"/>
        <v>99.84</v>
      </c>
      <c r="P410" s="11">
        <f t="shared" si="209"/>
        <v>99.84</v>
      </c>
      <c r="Q410" s="11">
        <f t="shared" si="177"/>
        <v>99.839999999999989</v>
      </c>
      <c r="R410" s="5">
        <v>3</v>
      </c>
      <c r="S410" s="5">
        <v>19</v>
      </c>
      <c r="T410" s="5" t="s">
        <v>4</v>
      </c>
      <c r="U410" s="5" t="s">
        <v>55</v>
      </c>
      <c r="V410" s="5">
        <v>18.3</v>
      </c>
      <c r="W410" s="5">
        <v>5.4</v>
      </c>
      <c r="X410" s="5">
        <v>69</v>
      </c>
      <c r="Y410" s="5">
        <v>4</v>
      </c>
      <c r="Z410" s="5" t="s">
        <v>9</v>
      </c>
      <c r="AA410" s="6"/>
      <c r="AB410" s="6"/>
    </row>
    <row r="411" spans="1:28" ht="16" x14ac:dyDescent="0.2">
      <c r="A411" s="4">
        <v>45860</v>
      </c>
      <c r="B411" s="19">
        <v>25203</v>
      </c>
      <c r="C411" s="5" t="s">
        <v>13</v>
      </c>
      <c r="D411" s="6"/>
      <c r="E411" s="15">
        <v>41.987277777800003</v>
      </c>
      <c r="F411" s="15">
        <v>-76.181038888900005</v>
      </c>
      <c r="G411" s="5" t="s">
        <v>96</v>
      </c>
      <c r="H411" s="5">
        <v>66.5</v>
      </c>
      <c r="I411" s="5">
        <v>58.2</v>
      </c>
      <c r="J411" s="5">
        <v>73.400000000000006</v>
      </c>
      <c r="K411" s="5">
        <v>42.5</v>
      </c>
      <c r="L411" s="10">
        <v>0.44305555555555554</v>
      </c>
      <c r="M411" s="10">
        <v>0.12013888888888889</v>
      </c>
      <c r="N411" s="11">
        <f t="shared" ref="N411:P411" si="210">AVERAGE(96,96,96,96)*1.04</f>
        <v>99.84</v>
      </c>
      <c r="O411" s="11">
        <f t="shared" si="210"/>
        <v>99.84</v>
      </c>
      <c r="P411" s="11">
        <f t="shared" si="210"/>
        <v>99.84</v>
      </c>
      <c r="Q411" s="11">
        <f t="shared" si="177"/>
        <v>99.839999999999989</v>
      </c>
      <c r="R411" s="5">
        <v>3</v>
      </c>
      <c r="S411" s="5">
        <v>29</v>
      </c>
      <c r="T411" s="5" t="s">
        <v>4</v>
      </c>
      <c r="U411" s="5" t="s">
        <v>55</v>
      </c>
      <c r="V411" s="5">
        <v>17.899999999999999</v>
      </c>
      <c r="W411" s="5" t="s">
        <v>8</v>
      </c>
      <c r="X411" s="5" t="s">
        <v>8</v>
      </c>
      <c r="Y411" s="5">
        <v>5.5</v>
      </c>
      <c r="Z411" s="5" t="s">
        <v>9</v>
      </c>
      <c r="AA411" s="5" t="s">
        <v>123</v>
      </c>
      <c r="AB411" s="6"/>
    </row>
    <row r="412" spans="1:28" ht="16" x14ac:dyDescent="0.2">
      <c r="A412" s="4">
        <v>45861</v>
      </c>
      <c r="B412" s="19">
        <v>25204</v>
      </c>
      <c r="C412" s="5" t="s">
        <v>40</v>
      </c>
      <c r="D412" s="5" t="s">
        <v>175</v>
      </c>
      <c r="E412" s="14">
        <v>41.035280999999998</v>
      </c>
      <c r="F412" s="14">
        <v>-75.729764000000003</v>
      </c>
      <c r="G412" s="5" t="s">
        <v>96</v>
      </c>
      <c r="H412" s="5">
        <v>74.2</v>
      </c>
      <c r="I412" s="5">
        <v>70.5</v>
      </c>
      <c r="J412" s="5">
        <v>82.1</v>
      </c>
      <c r="K412" s="5">
        <v>58.1</v>
      </c>
      <c r="L412" s="10">
        <v>0.4152777777777778</v>
      </c>
      <c r="M412" s="10">
        <v>0.59097222222222223</v>
      </c>
      <c r="N412" s="11">
        <f t="shared" ref="N412:P412" si="211">AVERAGE(96,96,96,96)*1.04</f>
        <v>99.84</v>
      </c>
      <c r="O412" s="11">
        <f t="shared" si="211"/>
        <v>99.84</v>
      </c>
      <c r="P412" s="11">
        <f t="shared" si="211"/>
        <v>99.84</v>
      </c>
      <c r="Q412" s="11">
        <f t="shared" si="177"/>
        <v>99.839999999999989</v>
      </c>
      <c r="R412" s="5">
        <v>1</v>
      </c>
      <c r="S412" s="5">
        <v>4.1100000000000003</v>
      </c>
      <c r="T412" s="5" t="s">
        <v>9</v>
      </c>
      <c r="U412" s="5" t="s">
        <v>56</v>
      </c>
      <c r="V412" s="5">
        <v>18.5</v>
      </c>
      <c r="W412" s="5" t="s">
        <v>8</v>
      </c>
      <c r="X412" s="5" t="s">
        <v>8</v>
      </c>
      <c r="Y412" s="5">
        <v>2</v>
      </c>
      <c r="Z412" s="5" t="s">
        <v>9</v>
      </c>
      <c r="AA412" s="5" t="s">
        <v>338</v>
      </c>
      <c r="AB412" s="6"/>
    </row>
    <row r="413" spans="1:28" ht="16" x14ac:dyDescent="0.2">
      <c r="A413" s="4">
        <v>45861</v>
      </c>
      <c r="B413" s="19">
        <v>25204</v>
      </c>
      <c r="C413" s="5" t="s">
        <v>40</v>
      </c>
      <c r="D413" s="6"/>
      <c r="E413" s="14">
        <v>41.035280999999998</v>
      </c>
      <c r="F413" s="14">
        <v>-75.729764000000003</v>
      </c>
      <c r="G413" s="5" t="s">
        <v>96</v>
      </c>
      <c r="H413" s="5">
        <v>74.2</v>
      </c>
      <c r="I413" s="5">
        <v>70.5</v>
      </c>
      <c r="J413" s="5">
        <v>82.1</v>
      </c>
      <c r="K413" s="5">
        <v>58.1</v>
      </c>
      <c r="L413" s="10">
        <v>0.4152777777777778</v>
      </c>
      <c r="M413" s="10">
        <v>0.59097222222222223</v>
      </c>
      <c r="N413" s="11">
        <f t="shared" ref="N413:P413" si="212">AVERAGE(96,96,96,96)*1.04</f>
        <v>99.84</v>
      </c>
      <c r="O413" s="11">
        <f t="shared" si="212"/>
        <v>99.84</v>
      </c>
      <c r="P413" s="11">
        <f t="shared" si="212"/>
        <v>99.84</v>
      </c>
      <c r="Q413" s="11">
        <f t="shared" si="177"/>
        <v>99.839999999999989</v>
      </c>
      <c r="R413" s="5">
        <v>1</v>
      </c>
      <c r="S413" s="5">
        <v>15</v>
      </c>
      <c r="T413" s="5" t="s">
        <v>9</v>
      </c>
      <c r="U413" s="5" t="s">
        <v>55</v>
      </c>
      <c r="V413" s="5">
        <v>19.8</v>
      </c>
      <c r="W413" s="5">
        <v>5.7</v>
      </c>
      <c r="X413" s="5">
        <v>68</v>
      </c>
      <c r="Y413" s="5">
        <v>2.5</v>
      </c>
      <c r="Z413" s="5" t="s">
        <v>9</v>
      </c>
      <c r="AA413" s="6"/>
      <c r="AB413" s="6"/>
    </row>
    <row r="414" spans="1:28" ht="16" x14ac:dyDescent="0.2">
      <c r="A414" s="4">
        <v>45861</v>
      </c>
      <c r="B414" s="19">
        <v>25204</v>
      </c>
      <c r="C414" s="5" t="s">
        <v>40</v>
      </c>
      <c r="D414" s="6"/>
      <c r="E414" s="14">
        <v>41.035280999999998</v>
      </c>
      <c r="F414" s="14">
        <v>-75.729764000000003</v>
      </c>
      <c r="G414" s="5" t="s">
        <v>96</v>
      </c>
      <c r="H414" s="5">
        <v>74.2</v>
      </c>
      <c r="I414" s="5">
        <v>70.5</v>
      </c>
      <c r="J414" s="5">
        <v>82.1</v>
      </c>
      <c r="K414" s="5">
        <v>58.1</v>
      </c>
      <c r="L414" s="10">
        <v>0.4152777777777778</v>
      </c>
      <c r="M414" s="10">
        <v>0.59097222222222223</v>
      </c>
      <c r="N414" s="11">
        <f t="shared" ref="N414:P414" si="213">AVERAGE(96,96,96,96)*1.04</f>
        <v>99.84</v>
      </c>
      <c r="O414" s="11">
        <f t="shared" si="213"/>
        <v>99.84</v>
      </c>
      <c r="P414" s="11">
        <f t="shared" si="213"/>
        <v>99.84</v>
      </c>
      <c r="Q414" s="11">
        <f t="shared" si="177"/>
        <v>99.839999999999989</v>
      </c>
      <c r="R414" s="5">
        <v>1</v>
      </c>
      <c r="S414" s="5">
        <v>24.8</v>
      </c>
      <c r="T414" s="5" t="s">
        <v>9</v>
      </c>
      <c r="U414" s="5" t="s">
        <v>55</v>
      </c>
      <c r="V414" s="5">
        <v>20.100000000000001</v>
      </c>
      <c r="W414" s="5" t="s">
        <v>8</v>
      </c>
      <c r="X414" s="5" t="s">
        <v>8</v>
      </c>
      <c r="Y414" s="5">
        <v>3</v>
      </c>
      <c r="Z414" s="5" t="s">
        <v>9</v>
      </c>
      <c r="AA414" s="5" t="s">
        <v>123</v>
      </c>
      <c r="AB414" s="6"/>
    </row>
    <row r="415" spans="1:28" ht="16" x14ac:dyDescent="0.2">
      <c r="A415" s="4">
        <v>45861</v>
      </c>
      <c r="B415" s="19">
        <v>25204</v>
      </c>
      <c r="C415" s="5" t="s">
        <v>40</v>
      </c>
      <c r="D415" s="6"/>
      <c r="E415" s="14">
        <v>41.035280999999998</v>
      </c>
      <c r="F415" s="14">
        <v>-75.729764000000003</v>
      </c>
      <c r="G415" s="5" t="s">
        <v>96</v>
      </c>
      <c r="H415" s="5">
        <v>74.2</v>
      </c>
      <c r="I415" s="5">
        <v>70.5</v>
      </c>
      <c r="J415" s="5">
        <v>82.1</v>
      </c>
      <c r="K415" s="5">
        <v>58.1</v>
      </c>
      <c r="L415" s="10">
        <v>0.4152777777777778</v>
      </c>
      <c r="M415" s="10">
        <v>0.59097222222222223</v>
      </c>
      <c r="N415" s="11">
        <f t="shared" ref="N415:P415" si="214">AVERAGE(96,96,96,96)*1.04</f>
        <v>99.84</v>
      </c>
      <c r="O415" s="11">
        <f t="shared" si="214"/>
        <v>99.84</v>
      </c>
      <c r="P415" s="11">
        <f t="shared" si="214"/>
        <v>99.84</v>
      </c>
      <c r="Q415" s="11">
        <f t="shared" si="177"/>
        <v>99.839999999999989</v>
      </c>
      <c r="R415" s="5">
        <v>1</v>
      </c>
      <c r="S415" s="5">
        <v>23.5</v>
      </c>
      <c r="T415" s="5" t="s">
        <v>4</v>
      </c>
      <c r="U415" s="5" t="s">
        <v>55</v>
      </c>
      <c r="V415" s="5">
        <v>19.399999999999999</v>
      </c>
      <c r="W415" s="5" t="s">
        <v>8</v>
      </c>
      <c r="X415" s="5" t="s">
        <v>8</v>
      </c>
      <c r="Y415" s="5">
        <v>4</v>
      </c>
      <c r="Z415" s="5" t="s">
        <v>9</v>
      </c>
      <c r="AA415" s="5" t="s">
        <v>176</v>
      </c>
      <c r="AB415" s="6"/>
    </row>
    <row r="416" spans="1:28" ht="16" x14ac:dyDescent="0.2">
      <c r="A416" s="4">
        <v>45861</v>
      </c>
      <c r="B416" s="19">
        <v>25204</v>
      </c>
      <c r="C416" s="5" t="s">
        <v>40</v>
      </c>
      <c r="D416" s="6"/>
      <c r="E416" s="14">
        <v>41.035280999999998</v>
      </c>
      <c r="F416" s="14">
        <v>-75.729764000000003</v>
      </c>
      <c r="G416" s="5" t="s">
        <v>96</v>
      </c>
      <c r="H416" s="5">
        <v>74.2</v>
      </c>
      <c r="I416" s="5">
        <v>70.5</v>
      </c>
      <c r="J416" s="5">
        <v>82.1</v>
      </c>
      <c r="K416" s="5">
        <v>58.1</v>
      </c>
      <c r="L416" s="10">
        <v>0.4152777777777778</v>
      </c>
      <c r="M416" s="10">
        <v>0.59097222222222223</v>
      </c>
      <c r="N416" s="11">
        <f t="shared" ref="N416:P416" si="215">AVERAGE(96,96,96,96)*1.04</f>
        <v>99.84</v>
      </c>
      <c r="O416" s="11">
        <f t="shared" si="215"/>
        <v>99.84</v>
      </c>
      <c r="P416" s="11">
        <f t="shared" si="215"/>
        <v>99.84</v>
      </c>
      <c r="Q416" s="11">
        <f t="shared" si="177"/>
        <v>99.839999999999989</v>
      </c>
      <c r="R416" s="5">
        <v>2</v>
      </c>
      <c r="S416" s="5">
        <v>0</v>
      </c>
      <c r="T416" s="5" t="s">
        <v>9</v>
      </c>
      <c r="U416" s="5" t="s">
        <v>62</v>
      </c>
      <c r="V416" s="5">
        <v>17.600000000000001</v>
      </c>
      <c r="W416" s="5">
        <v>4.7</v>
      </c>
      <c r="X416" s="5">
        <v>90</v>
      </c>
      <c r="Y416" s="5">
        <v>3.5</v>
      </c>
      <c r="Z416" s="5" t="s">
        <v>9</v>
      </c>
      <c r="AA416" s="6"/>
      <c r="AB416" s="6"/>
    </row>
    <row r="417" spans="1:28" ht="16" x14ac:dyDescent="0.2">
      <c r="A417" s="4">
        <v>45861</v>
      </c>
      <c r="B417" s="19">
        <v>25204</v>
      </c>
      <c r="C417" s="5" t="s">
        <v>40</v>
      </c>
      <c r="D417" s="6"/>
      <c r="E417" s="14">
        <v>41.035280999999998</v>
      </c>
      <c r="F417" s="14">
        <v>-75.729764000000003</v>
      </c>
      <c r="G417" s="5" t="s">
        <v>96</v>
      </c>
      <c r="H417" s="5">
        <v>74.2</v>
      </c>
      <c r="I417" s="5">
        <v>70.5</v>
      </c>
      <c r="J417" s="5">
        <v>82.1</v>
      </c>
      <c r="K417" s="5">
        <v>58.1</v>
      </c>
      <c r="L417" s="10">
        <v>0.4152777777777778</v>
      </c>
      <c r="M417" s="10">
        <v>0.59097222222222223</v>
      </c>
      <c r="N417" s="11">
        <f t="shared" ref="N417:P417" si="216">AVERAGE(96,96,96,96)*1.04</f>
        <v>99.84</v>
      </c>
      <c r="O417" s="11">
        <f t="shared" si="216"/>
        <v>99.84</v>
      </c>
      <c r="P417" s="11">
        <f t="shared" si="216"/>
        <v>99.84</v>
      </c>
      <c r="Q417" s="11">
        <f t="shared" si="177"/>
        <v>99.839999999999989</v>
      </c>
      <c r="R417" s="5">
        <v>2</v>
      </c>
      <c r="S417" s="5">
        <v>14.6</v>
      </c>
      <c r="T417" s="5" t="s">
        <v>9</v>
      </c>
      <c r="U417" s="5" t="s">
        <v>62</v>
      </c>
      <c r="V417" s="5">
        <v>19.100000000000001</v>
      </c>
      <c r="W417" s="5">
        <v>5.3</v>
      </c>
      <c r="X417" s="5">
        <v>20</v>
      </c>
      <c r="Y417" s="5">
        <v>3</v>
      </c>
      <c r="Z417" s="5" t="s">
        <v>9</v>
      </c>
      <c r="AA417" s="6"/>
      <c r="AB417" s="6"/>
    </row>
    <row r="418" spans="1:28" ht="16" x14ac:dyDescent="0.2">
      <c r="A418" s="4">
        <v>45861</v>
      </c>
      <c r="B418" s="19">
        <v>25204</v>
      </c>
      <c r="C418" s="5" t="s">
        <v>40</v>
      </c>
      <c r="D418" s="6"/>
      <c r="E418" s="14">
        <v>41.035280999999998</v>
      </c>
      <c r="F418" s="14">
        <v>-75.729764000000003</v>
      </c>
      <c r="G418" s="5" t="s">
        <v>96</v>
      </c>
      <c r="H418" s="5">
        <v>74.2</v>
      </c>
      <c r="I418" s="5">
        <v>70.5</v>
      </c>
      <c r="J418" s="5">
        <v>82.1</v>
      </c>
      <c r="K418" s="5">
        <v>58.1</v>
      </c>
      <c r="L418" s="10">
        <v>0.4152777777777778</v>
      </c>
      <c r="M418" s="10">
        <v>0.59097222222222223</v>
      </c>
      <c r="N418" s="11">
        <f t="shared" ref="N418:P418" si="217">AVERAGE(96,96,96,96)*1.04</f>
        <v>99.84</v>
      </c>
      <c r="O418" s="11">
        <f t="shared" si="217"/>
        <v>99.84</v>
      </c>
      <c r="P418" s="11">
        <f t="shared" si="217"/>
        <v>99.84</v>
      </c>
      <c r="Q418" s="11">
        <f t="shared" si="177"/>
        <v>99.839999999999989</v>
      </c>
      <c r="R418" s="5">
        <v>2</v>
      </c>
      <c r="S418" s="5">
        <v>27.5</v>
      </c>
      <c r="T418" s="5" t="s">
        <v>9</v>
      </c>
      <c r="U418" s="5" t="s">
        <v>55</v>
      </c>
      <c r="V418" s="5">
        <v>18.2</v>
      </c>
      <c r="W418" s="5" t="s">
        <v>8</v>
      </c>
      <c r="X418" s="5" t="s">
        <v>8</v>
      </c>
      <c r="Y418" s="5">
        <v>4</v>
      </c>
      <c r="Z418" s="5" t="s">
        <v>67</v>
      </c>
      <c r="AA418" s="5" t="s">
        <v>123</v>
      </c>
      <c r="AB418" s="6"/>
    </row>
    <row r="419" spans="1:28" ht="16" x14ac:dyDescent="0.2">
      <c r="A419" s="4">
        <v>45861</v>
      </c>
      <c r="B419" s="19">
        <v>25204</v>
      </c>
      <c r="C419" s="5" t="s">
        <v>40</v>
      </c>
      <c r="D419" s="6"/>
      <c r="E419" s="14">
        <v>41.035280999999998</v>
      </c>
      <c r="F419" s="14">
        <v>-75.729764000000003</v>
      </c>
      <c r="G419" s="5" t="s">
        <v>96</v>
      </c>
      <c r="H419" s="5">
        <v>74.2</v>
      </c>
      <c r="I419" s="5">
        <v>70.5</v>
      </c>
      <c r="J419" s="5">
        <v>82.1</v>
      </c>
      <c r="K419" s="5">
        <v>58.1</v>
      </c>
      <c r="L419" s="10">
        <v>0.4152777777777778</v>
      </c>
      <c r="M419" s="10">
        <v>0.59097222222222223</v>
      </c>
      <c r="N419" s="11">
        <f t="shared" ref="N419:P419" si="218">AVERAGE(96,96,96,96)*1.04</f>
        <v>99.84</v>
      </c>
      <c r="O419" s="11">
        <f t="shared" si="218"/>
        <v>99.84</v>
      </c>
      <c r="P419" s="11">
        <f t="shared" si="218"/>
        <v>99.84</v>
      </c>
      <c r="Q419" s="11">
        <f t="shared" si="177"/>
        <v>99.839999999999989</v>
      </c>
      <c r="R419" s="5">
        <v>2</v>
      </c>
      <c r="S419" s="5" t="s">
        <v>8</v>
      </c>
      <c r="T419" s="5" t="s">
        <v>4</v>
      </c>
      <c r="U419" s="5" t="s">
        <v>55</v>
      </c>
      <c r="V419" s="5">
        <v>19.600000000000001</v>
      </c>
      <c r="W419" s="5">
        <v>5.0999999999999996</v>
      </c>
      <c r="X419" s="5">
        <v>40</v>
      </c>
      <c r="Y419" s="5">
        <v>3.5</v>
      </c>
      <c r="Z419" s="5" t="s">
        <v>9</v>
      </c>
      <c r="AA419" s="5" t="s">
        <v>177</v>
      </c>
      <c r="AB419" s="6"/>
    </row>
    <row r="420" spans="1:28" ht="16" x14ac:dyDescent="0.2">
      <c r="A420" s="4">
        <v>45861</v>
      </c>
      <c r="B420" s="19">
        <v>25204</v>
      </c>
      <c r="C420" s="5" t="s">
        <v>40</v>
      </c>
      <c r="D420" s="6"/>
      <c r="E420" s="14">
        <v>41.035280999999998</v>
      </c>
      <c r="F420" s="14">
        <v>-75.729764000000003</v>
      </c>
      <c r="G420" s="5" t="s">
        <v>96</v>
      </c>
      <c r="H420" s="5">
        <v>74.2</v>
      </c>
      <c r="I420" s="5">
        <v>70.5</v>
      </c>
      <c r="J420" s="5">
        <v>82.1</v>
      </c>
      <c r="K420" s="5">
        <v>58.1</v>
      </c>
      <c r="L420" s="10">
        <v>0.4152777777777778</v>
      </c>
      <c r="M420" s="10">
        <v>0.59097222222222223</v>
      </c>
      <c r="N420" s="11">
        <f t="shared" ref="N420:P420" si="219">AVERAGE(96,96,96,96)*1.04</f>
        <v>99.84</v>
      </c>
      <c r="O420" s="11">
        <f t="shared" si="219"/>
        <v>99.84</v>
      </c>
      <c r="P420" s="11">
        <f t="shared" si="219"/>
        <v>99.84</v>
      </c>
      <c r="Q420" s="11">
        <f t="shared" si="177"/>
        <v>99.839999999999989</v>
      </c>
      <c r="R420" s="5">
        <v>3</v>
      </c>
      <c r="S420" s="5">
        <v>4.0999999999999996</v>
      </c>
      <c r="T420" s="5" t="s">
        <v>9</v>
      </c>
      <c r="U420" s="5" t="s">
        <v>55</v>
      </c>
      <c r="V420" s="5">
        <v>23.4</v>
      </c>
      <c r="W420" s="5">
        <v>5.2</v>
      </c>
      <c r="X420" s="5">
        <v>56</v>
      </c>
      <c r="Y420" s="5">
        <v>2</v>
      </c>
      <c r="Z420" s="5" t="s">
        <v>9</v>
      </c>
      <c r="AA420" s="6"/>
      <c r="AB420" s="6"/>
    </row>
    <row r="421" spans="1:28" ht="16" x14ac:dyDescent="0.2">
      <c r="A421" s="4">
        <v>45861</v>
      </c>
      <c r="B421" s="19">
        <v>25204</v>
      </c>
      <c r="C421" s="5" t="s">
        <v>40</v>
      </c>
      <c r="D421" s="6"/>
      <c r="E421" s="14">
        <v>41.035280999999998</v>
      </c>
      <c r="F421" s="14">
        <v>-75.729764000000003</v>
      </c>
      <c r="G421" s="5" t="s">
        <v>96</v>
      </c>
      <c r="H421" s="5">
        <v>74.2</v>
      </c>
      <c r="I421" s="5">
        <v>70.5</v>
      </c>
      <c r="J421" s="5">
        <v>82.1</v>
      </c>
      <c r="K421" s="5">
        <v>58.1</v>
      </c>
      <c r="L421" s="10">
        <v>0.4152777777777778</v>
      </c>
      <c r="M421" s="10">
        <v>0.59097222222222223</v>
      </c>
      <c r="N421" s="11">
        <f t="shared" ref="N421:P421" si="220">AVERAGE(96,96,96,96)*1.04</f>
        <v>99.84</v>
      </c>
      <c r="O421" s="11">
        <f t="shared" si="220"/>
        <v>99.84</v>
      </c>
      <c r="P421" s="11">
        <f t="shared" si="220"/>
        <v>99.84</v>
      </c>
      <c r="Q421" s="11">
        <f t="shared" si="177"/>
        <v>99.839999999999989</v>
      </c>
      <c r="R421" s="5">
        <v>3</v>
      </c>
      <c r="S421" s="5">
        <v>14</v>
      </c>
      <c r="T421" s="5" t="s">
        <v>9</v>
      </c>
      <c r="U421" s="5" t="s">
        <v>55</v>
      </c>
      <c r="V421" s="5">
        <v>20.7</v>
      </c>
      <c r="W421" s="5" t="s">
        <v>8</v>
      </c>
      <c r="X421" s="5" t="s">
        <v>8</v>
      </c>
      <c r="Y421" s="5">
        <v>3.5</v>
      </c>
      <c r="Z421" s="5" t="s">
        <v>9</v>
      </c>
      <c r="AA421" s="5" t="s">
        <v>123</v>
      </c>
      <c r="AB421" s="6"/>
    </row>
    <row r="422" spans="1:28" ht="16" x14ac:dyDescent="0.2">
      <c r="A422" s="4">
        <v>45861</v>
      </c>
      <c r="B422" s="19">
        <v>25204</v>
      </c>
      <c r="C422" s="5" t="s">
        <v>40</v>
      </c>
      <c r="D422" s="6"/>
      <c r="E422" s="14">
        <v>41.035280999999998</v>
      </c>
      <c r="F422" s="14">
        <v>-75.729764000000003</v>
      </c>
      <c r="G422" s="5" t="s">
        <v>96</v>
      </c>
      <c r="H422" s="5">
        <v>74.2</v>
      </c>
      <c r="I422" s="5">
        <v>70.5</v>
      </c>
      <c r="J422" s="5">
        <v>82.1</v>
      </c>
      <c r="K422" s="5">
        <v>58.1</v>
      </c>
      <c r="L422" s="10">
        <v>0.4152777777777778</v>
      </c>
      <c r="M422" s="10">
        <v>0.59097222222222223</v>
      </c>
      <c r="N422" s="11">
        <f t="shared" ref="N422:P422" si="221">AVERAGE(96,96,96,96)*1.04</f>
        <v>99.84</v>
      </c>
      <c r="O422" s="11">
        <f t="shared" si="221"/>
        <v>99.84</v>
      </c>
      <c r="P422" s="11">
        <f t="shared" si="221"/>
        <v>99.84</v>
      </c>
      <c r="Q422" s="11">
        <f t="shared" si="177"/>
        <v>99.839999999999989</v>
      </c>
      <c r="R422" s="5">
        <v>3</v>
      </c>
      <c r="S422" s="5">
        <v>26.1</v>
      </c>
      <c r="T422" s="5" t="s">
        <v>9</v>
      </c>
      <c r="U422" s="5" t="s">
        <v>178</v>
      </c>
      <c r="V422" s="5">
        <v>18</v>
      </c>
      <c r="W422" s="5">
        <v>5.6</v>
      </c>
      <c r="X422" s="5">
        <v>30</v>
      </c>
      <c r="Y422" s="5">
        <v>3.5</v>
      </c>
      <c r="Z422" s="5" t="s">
        <v>9</v>
      </c>
      <c r="AA422" s="6"/>
      <c r="AB422" s="6"/>
    </row>
    <row r="423" spans="1:28" ht="16" x14ac:dyDescent="0.2">
      <c r="A423" s="4">
        <v>45861</v>
      </c>
      <c r="B423" s="19">
        <v>25204</v>
      </c>
      <c r="C423" s="5" t="s">
        <v>40</v>
      </c>
      <c r="D423" s="6"/>
      <c r="E423" s="14">
        <v>41.035280999999998</v>
      </c>
      <c r="F423" s="14">
        <v>-75.729764000000003</v>
      </c>
      <c r="G423" s="5" t="s">
        <v>96</v>
      </c>
      <c r="H423" s="5">
        <v>74.2</v>
      </c>
      <c r="I423" s="5">
        <v>70.5</v>
      </c>
      <c r="J423" s="5">
        <v>82.1</v>
      </c>
      <c r="K423" s="5">
        <v>58.1</v>
      </c>
      <c r="L423" s="10">
        <v>0.4152777777777778</v>
      </c>
      <c r="M423" s="10">
        <v>0.59097222222222223</v>
      </c>
      <c r="N423" s="11">
        <f t="shared" ref="N423:P423" si="222">AVERAGE(96,96,96,96)*1.04</f>
        <v>99.84</v>
      </c>
      <c r="O423" s="11">
        <f t="shared" si="222"/>
        <v>99.84</v>
      </c>
      <c r="P423" s="11">
        <f t="shared" si="222"/>
        <v>99.84</v>
      </c>
      <c r="Q423" s="11">
        <f t="shared" si="177"/>
        <v>99.839999999999989</v>
      </c>
      <c r="R423" s="5">
        <v>3</v>
      </c>
      <c r="S423" s="5">
        <v>1</v>
      </c>
      <c r="T423" s="5" t="s">
        <v>4</v>
      </c>
      <c r="U423" s="5" t="s">
        <v>55</v>
      </c>
      <c r="V423" s="5">
        <v>20.2</v>
      </c>
      <c r="W423" s="5">
        <v>4.5999999999999996</v>
      </c>
      <c r="X423" s="5">
        <v>90</v>
      </c>
      <c r="Y423" s="5">
        <v>4.5</v>
      </c>
      <c r="Z423" s="5" t="s">
        <v>9</v>
      </c>
      <c r="AA423" s="6"/>
      <c r="AB423" s="6"/>
    </row>
    <row r="424" spans="1:28" ht="16" x14ac:dyDescent="0.2">
      <c r="A424" s="4">
        <v>45861</v>
      </c>
      <c r="B424" s="19">
        <v>25204</v>
      </c>
      <c r="C424" s="5" t="s">
        <v>40</v>
      </c>
      <c r="D424" s="6"/>
      <c r="E424" s="14">
        <v>41.035280999999998</v>
      </c>
      <c r="F424" s="14">
        <v>-75.729764000000003</v>
      </c>
      <c r="G424" s="5" t="s">
        <v>96</v>
      </c>
      <c r="H424" s="5">
        <v>74.2</v>
      </c>
      <c r="I424" s="5">
        <v>70.5</v>
      </c>
      <c r="J424" s="5">
        <v>82.1</v>
      </c>
      <c r="K424" s="5">
        <v>58.1</v>
      </c>
      <c r="L424" s="10">
        <v>0.4152777777777778</v>
      </c>
      <c r="M424" s="10">
        <v>0.59097222222222223</v>
      </c>
      <c r="N424" s="11">
        <f t="shared" ref="N424:P424" si="223">AVERAGE(96,96,96,96)*1.04</f>
        <v>99.84</v>
      </c>
      <c r="O424" s="11">
        <f t="shared" si="223"/>
        <v>99.84</v>
      </c>
      <c r="P424" s="11">
        <f t="shared" si="223"/>
        <v>99.84</v>
      </c>
      <c r="Q424" s="11">
        <f t="shared" si="177"/>
        <v>99.839999999999989</v>
      </c>
      <c r="R424" s="5">
        <v>3</v>
      </c>
      <c r="S424" s="5">
        <v>15</v>
      </c>
      <c r="T424" s="5" t="s">
        <v>4</v>
      </c>
      <c r="U424" s="5" t="s">
        <v>55</v>
      </c>
      <c r="V424" s="5">
        <v>21.2</v>
      </c>
      <c r="W424" s="5" t="s">
        <v>8</v>
      </c>
      <c r="X424" s="5" t="s">
        <v>8</v>
      </c>
      <c r="Y424" s="5">
        <v>3.5</v>
      </c>
      <c r="Z424" s="5" t="s">
        <v>9</v>
      </c>
      <c r="AA424" s="5" t="s">
        <v>123</v>
      </c>
      <c r="AB424" s="6"/>
    </row>
    <row r="425" spans="1:28" ht="16" x14ac:dyDescent="0.2">
      <c r="A425" s="4">
        <v>45861</v>
      </c>
      <c r="B425" s="19">
        <v>25204</v>
      </c>
      <c r="C425" s="5" t="s">
        <v>40</v>
      </c>
      <c r="D425" s="6"/>
      <c r="E425" s="14">
        <v>41.035280999999998</v>
      </c>
      <c r="F425" s="14">
        <v>-75.729764000000003</v>
      </c>
      <c r="G425" s="5" t="s">
        <v>96</v>
      </c>
      <c r="H425" s="5">
        <v>74.2</v>
      </c>
      <c r="I425" s="5">
        <v>70.5</v>
      </c>
      <c r="J425" s="5">
        <v>82.1</v>
      </c>
      <c r="K425" s="5">
        <v>58.1</v>
      </c>
      <c r="L425" s="10">
        <v>0.4152777777777778</v>
      </c>
      <c r="M425" s="10">
        <v>0.59097222222222223</v>
      </c>
      <c r="N425" s="11">
        <f t="shared" ref="N425:P425" si="224">AVERAGE(96,96,96,96)*1.04</f>
        <v>99.84</v>
      </c>
      <c r="O425" s="11">
        <f t="shared" si="224"/>
        <v>99.84</v>
      </c>
      <c r="P425" s="11">
        <f t="shared" si="224"/>
        <v>99.84</v>
      </c>
      <c r="Q425" s="11">
        <f t="shared" si="177"/>
        <v>99.839999999999989</v>
      </c>
      <c r="R425" s="5">
        <v>3</v>
      </c>
      <c r="S425" s="5">
        <v>27.98</v>
      </c>
      <c r="T425" s="5" t="s">
        <v>4</v>
      </c>
      <c r="U425" s="5" t="s">
        <v>62</v>
      </c>
      <c r="V425" s="5">
        <v>21.7</v>
      </c>
      <c r="W425" s="5" t="s">
        <v>8</v>
      </c>
      <c r="X425" s="5" t="s">
        <v>8</v>
      </c>
      <c r="Y425" s="5">
        <v>2.5</v>
      </c>
      <c r="Z425" s="5" t="s">
        <v>9</v>
      </c>
      <c r="AA425" s="5" t="s">
        <v>123</v>
      </c>
      <c r="AB425" s="6"/>
    </row>
    <row r="426" spans="1:28" ht="16" x14ac:dyDescent="0.2">
      <c r="A426" s="4">
        <v>45861</v>
      </c>
      <c r="B426" s="19">
        <v>25204</v>
      </c>
      <c r="C426" s="5" t="s">
        <v>40</v>
      </c>
      <c r="D426" s="6"/>
      <c r="E426" s="14">
        <v>41.035280999999998</v>
      </c>
      <c r="F426" s="14">
        <v>-75.729764000000003</v>
      </c>
      <c r="G426" s="5" t="s">
        <v>96</v>
      </c>
      <c r="H426" s="5">
        <v>74.2</v>
      </c>
      <c r="I426" s="5">
        <v>70.5</v>
      </c>
      <c r="J426" s="5">
        <v>82.1</v>
      </c>
      <c r="K426" s="5">
        <v>58.1</v>
      </c>
      <c r="L426" s="10">
        <v>0.4152777777777778</v>
      </c>
      <c r="M426" s="10">
        <v>0.59097222222222223</v>
      </c>
      <c r="N426" s="11">
        <f t="shared" ref="N426:P426" si="225">AVERAGE(96,96,96,96)*1.04</f>
        <v>99.84</v>
      </c>
      <c r="O426" s="11">
        <f t="shared" si="225"/>
        <v>99.84</v>
      </c>
      <c r="P426" s="11">
        <f t="shared" si="225"/>
        <v>99.84</v>
      </c>
      <c r="Q426" s="11">
        <f t="shared" si="177"/>
        <v>99.839999999999989</v>
      </c>
      <c r="R426" s="5">
        <v>3</v>
      </c>
      <c r="S426" s="5">
        <v>24.9</v>
      </c>
      <c r="T426" s="5" t="s">
        <v>4</v>
      </c>
      <c r="U426" s="5" t="s">
        <v>179</v>
      </c>
      <c r="V426" s="5">
        <v>21.2</v>
      </c>
      <c r="W426" s="5">
        <v>4.7</v>
      </c>
      <c r="X426" s="5">
        <v>80</v>
      </c>
      <c r="Y426" s="5">
        <v>2</v>
      </c>
      <c r="Z426" s="5" t="s">
        <v>9</v>
      </c>
      <c r="AA426" s="6"/>
      <c r="AB426" s="6"/>
    </row>
    <row r="427" spans="1:28" ht="16" x14ac:dyDescent="0.2">
      <c r="A427" s="4">
        <v>45866</v>
      </c>
      <c r="B427" s="19">
        <v>25209</v>
      </c>
      <c r="C427" s="5" t="s">
        <v>42</v>
      </c>
      <c r="D427" s="5" t="s">
        <v>180</v>
      </c>
      <c r="E427" s="15">
        <v>41.323830555599997</v>
      </c>
      <c r="F427" s="15">
        <v>-75.201291666700001</v>
      </c>
      <c r="G427" s="5" t="s">
        <v>96</v>
      </c>
      <c r="H427" s="5">
        <v>74</v>
      </c>
      <c r="I427" s="5">
        <v>85</v>
      </c>
      <c r="J427" s="5">
        <v>84.2</v>
      </c>
      <c r="K427" s="5">
        <v>57.8</v>
      </c>
      <c r="L427" s="10">
        <v>0.37986111111111109</v>
      </c>
      <c r="M427" s="10">
        <v>0.59930555555555554</v>
      </c>
      <c r="N427" s="11">
        <f t="shared" ref="N427:P427" si="226">AVERAGE(96,96,96,96)*1.04</f>
        <v>99.84</v>
      </c>
      <c r="O427" s="11">
        <f t="shared" si="226"/>
        <v>99.84</v>
      </c>
      <c r="P427" s="11">
        <f t="shared" si="226"/>
        <v>99.84</v>
      </c>
      <c r="Q427" s="11">
        <f t="shared" si="177"/>
        <v>99.839999999999989</v>
      </c>
      <c r="R427" s="5">
        <v>1</v>
      </c>
      <c r="S427" s="5">
        <v>1</v>
      </c>
      <c r="T427" s="5" t="s">
        <v>9</v>
      </c>
      <c r="U427" s="5" t="s">
        <v>55</v>
      </c>
      <c r="V427" s="5">
        <v>20.9</v>
      </c>
      <c r="W427" s="5">
        <v>5.7</v>
      </c>
      <c r="X427" s="5">
        <v>49</v>
      </c>
      <c r="Y427" s="5">
        <v>1</v>
      </c>
      <c r="Z427" s="5" t="s">
        <v>9</v>
      </c>
      <c r="AA427" s="6" t="s">
        <v>339</v>
      </c>
      <c r="AB427" s="6"/>
    </row>
    <row r="428" spans="1:28" ht="16" x14ac:dyDescent="0.2">
      <c r="A428" s="4">
        <v>45866</v>
      </c>
      <c r="B428" s="19">
        <v>25209</v>
      </c>
      <c r="C428" s="5" t="s">
        <v>42</v>
      </c>
      <c r="D428" s="6"/>
      <c r="E428" s="15">
        <v>41.323830555599997</v>
      </c>
      <c r="F428" s="15">
        <v>-75.201291666700001</v>
      </c>
      <c r="G428" s="5" t="s">
        <v>96</v>
      </c>
      <c r="H428" s="5">
        <v>74</v>
      </c>
      <c r="I428" s="5">
        <v>85</v>
      </c>
      <c r="J428" s="5">
        <v>84.2</v>
      </c>
      <c r="K428" s="5">
        <v>57.8</v>
      </c>
      <c r="L428" s="10">
        <v>0.37986111111111109</v>
      </c>
      <c r="M428" s="10">
        <v>0.59930555555555554</v>
      </c>
      <c r="N428" s="11">
        <f t="shared" ref="N428:P428" si="227">AVERAGE(96,96,96,96)*1.04</f>
        <v>99.84</v>
      </c>
      <c r="O428" s="11">
        <f t="shared" si="227"/>
        <v>99.84</v>
      </c>
      <c r="P428" s="11">
        <f t="shared" si="227"/>
        <v>99.84</v>
      </c>
      <c r="Q428" s="11">
        <f t="shared" si="177"/>
        <v>99.839999999999989</v>
      </c>
      <c r="R428" s="5">
        <v>1</v>
      </c>
      <c r="S428" s="5">
        <v>17.45</v>
      </c>
      <c r="T428" s="5" t="s">
        <v>9</v>
      </c>
      <c r="U428" s="5" t="s">
        <v>55</v>
      </c>
      <c r="V428" s="5">
        <v>21</v>
      </c>
      <c r="W428" s="5" t="s">
        <v>8</v>
      </c>
      <c r="X428" s="5" t="s">
        <v>8</v>
      </c>
      <c r="Y428" s="5">
        <v>2</v>
      </c>
      <c r="Z428" s="5" t="s">
        <v>9</v>
      </c>
      <c r="AA428" s="5" t="s">
        <v>181</v>
      </c>
      <c r="AB428" s="6"/>
    </row>
    <row r="429" spans="1:28" ht="16" x14ac:dyDescent="0.2">
      <c r="A429" s="4">
        <v>45866</v>
      </c>
      <c r="B429" s="19">
        <v>25209</v>
      </c>
      <c r="C429" s="5" t="s">
        <v>42</v>
      </c>
      <c r="D429" s="6"/>
      <c r="E429" s="15">
        <v>41.323830555599997</v>
      </c>
      <c r="F429" s="15">
        <v>-75.201291666700001</v>
      </c>
      <c r="G429" s="5" t="s">
        <v>96</v>
      </c>
      <c r="H429" s="5">
        <v>74</v>
      </c>
      <c r="I429" s="5">
        <v>85</v>
      </c>
      <c r="J429" s="5">
        <v>84.2</v>
      </c>
      <c r="K429" s="5">
        <v>57.8</v>
      </c>
      <c r="L429" s="10">
        <v>0.37986111111111109</v>
      </c>
      <c r="M429" s="10">
        <v>0.59930555555555554</v>
      </c>
      <c r="N429" s="11">
        <f t="shared" ref="N429:P429" si="228">AVERAGE(96,96,96,96)*1.04</f>
        <v>99.84</v>
      </c>
      <c r="O429" s="11">
        <f t="shared" si="228"/>
        <v>99.84</v>
      </c>
      <c r="P429" s="11">
        <f t="shared" si="228"/>
        <v>99.84</v>
      </c>
      <c r="Q429" s="11">
        <f t="shared" si="177"/>
        <v>99.839999999999989</v>
      </c>
      <c r="R429" s="5">
        <v>1</v>
      </c>
      <c r="S429" s="5">
        <v>25.78</v>
      </c>
      <c r="T429" s="5" t="s">
        <v>4</v>
      </c>
      <c r="U429" s="5" t="s">
        <v>55</v>
      </c>
      <c r="V429" s="5">
        <v>19.600000000000001</v>
      </c>
      <c r="W429" s="5" t="s">
        <v>8</v>
      </c>
      <c r="X429" s="5" t="s">
        <v>8</v>
      </c>
      <c r="Y429" s="5">
        <v>2.5</v>
      </c>
      <c r="Z429" s="5" t="s">
        <v>9</v>
      </c>
      <c r="AA429" s="5" t="s">
        <v>123</v>
      </c>
      <c r="AB429" s="6"/>
    </row>
    <row r="430" spans="1:28" ht="16" x14ac:dyDescent="0.2">
      <c r="A430" s="4">
        <v>45866</v>
      </c>
      <c r="B430" s="19">
        <v>25209</v>
      </c>
      <c r="C430" s="5" t="s">
        <v>42</v>
      </c>
      <c r="D430" s="6"/>
      <c r="E430" s="15">
        <v>41.323830555599997</v>
      </c>
      <c r="F430" s="15">
        <v>-75.201291666700001</v>
      </c>
      <c r="G430" s="5" t="s">
        <v>96</v>
      </c>
      <c r="H430" s="5">
        <v>74</v>
      </c>
      <c r="I430" s="5">
        <v>85</v>
      </c>
      <c r="J430" s="5">
        <v>84.2</v>
      </c>
      <c r="K430" s="5">
        <v>57.8</v>
      </c>
      <c r="L430" s="10">
        <v>0.37986111111111109</v>
      </c>
      <c r="M430" s="10">
        <v>0.59930555555555554</v>
      </c>
      <c r="N430" s="11">
        <f t="shared" ref="N430:P430" si="229">AVERAGE(96,96,96,96)*1.04</f>
        <v>99.84</v>
      </c>
      <c r="O430" s="11">
        <f t="shared" si="229"/>
        <v>99.84</v>
      </c>
      <c r="P430" s="11">
        <f t="shared" si="229"/>
        <v>99.84</v>
      </c>
      <c r="Q430" s="11">
        <f t="shared" si="177"/>
        <v>99.839999999999989</v>
      </c>
      <c r="R430" s="5">
        <v>1</v>
      </c>
      <c r="S430" s="5">
        <v>29.34</v>
      </c>
      <c r="T430" s="5" t="s">
        <v>9</v>
      </c>
      <c r="U430" s="5" t="s">
        <v>55</v>
      </c>
      <c r="V430" s="5">
        <v>20</v>
      </c>
      <c r="W430" s="5">
        <v>5.0999999999999996</v>
      </c>
      <c r="X430" s="5">
        <v>65</v>
      </c>
      <c r="Y430" s="5">
        <v>3</v>
      </c>
      <c r="Z430" s="5" t="s">
        <v>9</v>
      </c>
      <c r="AA430" s="6"/>
      <c r="AB430" s="6"/>
    </row>
    <row r="431" spans="1:28" ht="16" x14ac:dyDescent="0.2">
      <c r="A431" s="4">
        <v>45866</v>
      </c>
      <c r="B431" s="19">
        <v>25209</v>
      </c>
      <c r="C431" s="5" t="s">
        <v>42</v>
      </c>
      <c r="D431" s="6"/>
      <c r="E431" s="15">
        <v>41.323830555599997</v>
      </c>
      <c r="F431" s="15">
        <v>-75.201291666700001</v>
      </c>
      <c r="G431" s="5" t="s">
        <v>96</v>
      </c>
      <c r="H431" s="5">
        <v>74</v>
      </c>
      <c r="I431" s="5">
        <v>85</v>
      </c>
      <c r="J431" s="5">
        <v>84.2</v>
      </c>
      <c r="K431" s="5">
        <v>57.8</v>
      </c>
      <c r="L431" s="10">
        <v>0.37986111111111109</v>
      </c>
      <c r="M431" s="10">
        <v>0.59930555555555554</v>
      </c>
      <c r="N431" s="11">
        <f t="shared" ref="N431:P431" si="230">AVERAGE(96,96,96,96)*1.04</f>
        <v>99.84</v>
      </c>
      <c r="O431" s="11">
        <f t="shared" si="230"/>
        <v>99.84</v>
      </c>
      <c r="P431" s="11">
        <f t="shared" si="230"/>
        <v>99.84</v>
      </c>
      <c r="Q431" s="11">
        <f t="shared" si="177"/>
        <v>99.839999999999989</v>
      </c>
      <c r="R431" s="5">
        <v>1</v>
      </c>
      <c r="S431" s="5">
        <v>5.8</v>
      </c>
      <c r="T431" s="5" t="s">
        <v>4</v>
      </c>
      <c r="U431" s="5" t="s">
        <v>62</v>
      </c>
      <c r="V431" s="5">
        <v>20.9</v>
      </c>
      <c r="W431" s="5" t="s">
        <v>8</v>
      </c>
      <c r="X431" s="5" t="s">
        <v>8</v>
      </c>
      <c r="Y431" s="5">
        <v>1</v>
      </c>
      <c r="Z431" s="5" t="s">
        <v>9</v>
      </c>
      <c r="AA431" s="5" t="s">
        <v>123</v>
      </c>
      <c r="AB431" s="6"/>
    </row>
    <row r="432" spans="1:28" ht="16" x14ac:dyDescent="0.2">
      <c r="A432" s="4">
        <v>45866</v>
      </c>
      <c r="B432" s="19">
        <v>25209</v>
      </c>
      <c r="C432" s="5" t="s">
        <v>42</v>
      </c>
      <c r="D432" s="6"/>
      <c r="E432" s="15">
        <v>41.323830555599997</v>
      </c>
      <c r="F432" s="15">
        <v>-75.201291666700001</v>
      </c>
      <c r="G432" s="5" t="s">
        <v>96</v>
      </c>
      <c r="H432" s="5">
        <v>74</v>
      </c>
      <c r="I432" s="5">
        <v>85</v>
      </c>
      <c r="J432" s="5">
        <v>84.2</v>
      </c>
      <c r="K432" s="5">
        <v>57.8</v>
      </c>
      <c r="L432" s="10">
        <v>0.37986111111111109</v>
      </c>
      <c r="M432" s="10">
        <v>0.59930555555555554</v>
      </c>
      <c r="N432" s="11">
        <f t="shared" ref="N432:P432" si="231">AVERAGE(96,96,96,96)*1.04</f>
        <v>99.84</v>
      </c>
      <c r="O432" s="11">
        <f t="shared" si="231"/>
        <v>99.84</v>
      </c>
      <c r="P432" s="11">
        <f t="shared" si="231"/>
        <v>99.84</v>
      </c>
      <c r="Q432" s="11">
        <f t="shared" si="177"/>
        <v>99.839999999999989</v>
      </c>
      <c r="R432" s="5">
        <v>1</v>
      </c>
      <c r="S432" s="5">
        <v>7.2</v>
      </c>
      <c r="T432" s="5" t="s">
        <v>4</v>
      </c>
      <c r="U432" s="5" t="s">
        <v>55</v>
      </c>
      <c r="V432" s="5">
        <v>20.2</v>
      </c>
      <c r="W432" s="5">
        <v>4.7</v>
      </c>
      <c r="X432" s="5">
        <v>98</v>
      </c>
      <c r="Y432" s="5">
        <v>3</v>
      </c>
      <c r="Z432" s="5" t="s">
        <v>9</v>
      </c>
      <c r="AA432" s="6"/>
      <c r="AB432" s="6"/>
    </row>
    <row r="433" spans="1:28" ht="16" x14ac:dyDescent="0.2">
      <c r="A433" s="4">
        <v>45866</v>
      </c>
      <c r="B433" s="19">
        <v>25209</v>
      </c>
      <c r="C433" s="5" t="s">
        <v>42</v>
      </c>
      <c r="D433" s="6"/>
      <c r="E433" s="15">
        <v>41.323830555599997</v>
      </c>
      <c r="F433" s="15">
        <v>-75.201291666700001</v>
      </c>
      <c r="G433" s="5" t="s">
        <v>96</v>
      </c>
      <c r="H433" s="5">
        <v>74</v>
      </c>
      <c r="I433" s="5">
        <v>85</v>
      </c>
      <c r="J433" s="5">
        <v>84.2</v>
      </c>
      <c r="K433" s="5">
        <v>57.8</v>
      </c>
      <c r="L433" s="10">
        <v>0.37986111111111109</v>
      </c>
      <c r="M433" s="10">
        <v>0.59930555555555554</v>
      </c>
      <c r="N433" s="11">
        <f t="shared" ref="N433:P433" si="232">AVERAGE(96,96,96,96)*1.04</f>
        <v>99.84</v>
      </c>
      <c r="O433" s="11">
        <f t="shared" si="232"/>
        <v>99.84</v>
      </c>
      <c r="P433" s="11">
        <f t="shared" si="232"/>
        <v>99.84</v>
      </c>
      <c r="Q433" s="11">
        <f t="shared" si="177"/>
        <v>99.839999999999989</v>
      </c>
      <c r="R433" s="5">
        <v>1</v>
      </c>
      <c r="S433" s="5">
        <v>18.36</v>
      </c>
      <c r="T433" s="5" t="s">
        <v>4</v>
      </c>
      <c r="U433" s="5" t="s">
        <v>55</v>
      </c>
      <c r="V433" s="5">
        <v>20.7</v>
      </c>
      <c r="W433" s="5">
        <v>4.5</v>
      </c>
      <c r="X433" s="5">
        <v>60</v>
      </c>
      <c r="Y433" s="5">
        <v>2.5</v>
      </c>
      <c r="Z433" s="5" t="s">
        <v>9</v>
      </c>
      <c r="AA433" s="6"/>
      <c r="AB433" s="6"/>
    </row>
    <row r="434" spans="1:28" ht="16" x14ac:dyDescent="0.2">
      <c r="A434" s="4">
        <v>45866</v>
      </c>
      <c r="B434" s="19">
        <v>25209</v>
      </c>
      <c r="C434" s="5" t="s">
        <v>42</v>
      </c>
      <c r="D434" s="6"/>
      <c r="E434" s="15">
        <v>41.323830555599997</v>
      </c>
      <c r="F434" s="15">
        <v>-75.201291666700001</v>
      </c>
      <c r="G434" s="5" t="s">
        <v>96</v>
      </c>
      <c r="H434" s="5">
        <v>74</v>
      </c>
      <c r="I434" s="5">
        <v>85</v>
      </c>
      <c r="J434" s="5">
        <v>84.2</v>
      </c>
      <c r="K434" s="5">
        <v>57.8</v>
      </c>
      <c r="L434" s="10">
        <v>0.37986111111111109</v>
      </c>
      <c r="M434" s="10">
        <v>0.59930555555555554</v>
      </c>
      <c r="N434" s="11">
        <f t="shared" ref="N434:P434" si="233">AVERAGE(96,96,96,96)*1.04</f>
        <v>99.84</v>
      </c>
      <c r="O434" s="11">
        <f t="shared" si="233"/>
        <v>99.84</v>
      </c>
      <c r="P434" s="11">
        <f t="shared" si="233"/>
        <v>99.84</v>
      </c>
      <c r="Q434" s="11">
        <f t="shared" si="177"/>
        <v>99.839999999999989</v>
      </c>
      <c r="R434" s="5">
        <v>1</v>
      </c>
      <c r="S434" s="5">
        <v>22.6</v>
      </c>
      <c r="T434" s="5" t="s">
        <v>4</v>
      </c>
      <c r="U434" s="5" t="s">
        <v>55</v>
      </c>
      <c r="V434" s="5">
        <v>20.5</v>
      </c>
      <c r="W434" s="5" t="s">
        <v>8</v>
      </c>
      <c r="X434" s="5" t="s">
        <v>8</v>
      </c>
      <c r="Y434" s="5">
        <v>1.5</v>
      </c>
      <c r="Z434" s="5" t="s">
        <v>9</v>
      </c>
      <c r="AA434" s="5" t="s">
        <v>123</v>
      </c>
      <c r="AB434" s="6"/>
    </row>
    <row r="435" spans="1:28" ht="16" x14ac:dyDescent="0.2">
      <c r="A435" s="4">
        <v>45866</v>
      </c>
      <c r="B435" s="19">
        <v>25209</v>
      </c>
      <c r="C435" s="5" t="s">
        <v>42</v>
      </c>
      <c r="D435" s="6"/>
      <c r="E435" s="15">
        <v>41.323830555599997</v>
      </c>
      <c r="F435" s="15">
        <v>-75.201291666700001</v>
      </c>
      <c r="G435" s="5" t="s">
        <v>96</v>
      </c>
      <c r="H435" s="5">
        <v>74</v>
      </c>
      <c r="I435" s="5">
        <v>85</v>
      </c>
      <c r="J435" s="5">
        <v>84.2</v>
      </c>
      <c r="K435" s="5">
        <v>57.8</v>
      </c>
      <c r="L435" s="10">
        <v>0.37986111111111109</v>
      </c>
      <c r="M435" s="10">
        <v>0.59930555555555554</v>
      </c>
      <c r="N435" s="11">
        <f t="shared" ref="N435:P435" si="234">AVERAGE(96,96,96,96)*1.04</f>
        <v>99.84</v>
      </c>
      <c r="O435" s="11">
        <f t="shared" si="234"/>
        <v>99.84</v>
      </c>
      <c r="P435" s="11">
        <f t="shared" si="234"/>
        <v>99.84</v>
      </c>
      <c r="Q435" s="11">
        <f t="shared" si="177"/>
        <v>99.839999999999989</v>
      </c>
      <c r="R435" s="5">
        <v>1</v>
      </c>
      <c r="S435" s="5">
        <v>25.3</v>
      </c>
      <c r="T435" s="5" t="s">
        <v>4</v>
      </c>
      <c r="U435" s="5" t="s">
        <v>55</v>
      </c>
      <c r="V435" s="5">
        <v>18.600000000000001</v>
      </c>
      <c r="W435" s="5" t="s">
        <v>8</v>
      </c>
      <c r="X435" s="5" t="s">
        <v>8</v>
      </c>
      <c r="Y435" s="5">
        <v>2</v>
      </c>
      <c r="Z435" s="5" t="s">
        <v>9</v>
      </c>
      <c r="AA435" s="5" t="s">
        <v>123</v>
      </c>
      <c r="AB435" s="6"/>
    </row>
    <row r="436" spans="1:28" ht="16" x14ac:dyDescent="0.2">
      <c r="A436" s="4">
        <v>45866</v>
      </c>
      <c r="B436" s="19">
        <v>25209</v>
      </c>
      <c r="C436" s="5" t="s">
        <v>42</v>
      </c>
      <c r="D436" s="6"/>
      <c r="E436" s="15">
        <v>41.323830555599997</v>
      </c>
      <c r="F436" s="15">
        <v>-75.201291666700001</v>
      </c>
      <c r="G436" s="5" t="s">
        <v>96</v>
      </c>
      <c r="H436" s="5">
        <v>74</v>
      </c>
      <c r="I436" s="5">
        <v>85</v>
      </c>
      <c r="J436" s="5">
        <v>84.2</v>
      </c>
      <c r="K436" s="5">
        <v>57.8</v>
      </c>
      <c r="L436" s="10">
        <v>0.37986111111111109</v>
      </c>
      <c r="M436" s="10">
        <v>0.59930555555555554</v>
      </c>
      <c r="N436" s="11">
        <f t="shared" ref="N436:P436" si="235">AVERAGE(96,96,96,96)*1.04</f>
        <v>99.84</v>
      </c>
      <c r="O436" s="11">
        <f t="shared" si="235"/>
        <v>99.84</v>
      </c>
      <c r="P436" s="11">
        <f t="shared" si="235"/>
        <v>99.84</v>
      </c>
      <c r="Q436" s="11">
        <f t="shared" si="177"/>
        <v>99.839999999999989</v>
      </c>
      <c r="R436" s="5">
        <v>1</v>
      </c>
      <c r="S436" s="5">
        <v>29</v>
      </c>
      <c r="T436" s="5" t="s">
        <v>4</v>
      </c>
      <c r="U436" s="5" t="s">
        <v>62</v>
      </c>
      <c r="V436" s="5">
        <v>20.8</v>
      </c>
      <c r="W436" s="5">
        <v>4.7</v>
      </c>
      <c r="X436" s="5">
        <v>68</v>
      </c>
      <c r="Y436" s="5">
        <v>4</v>
      </c>
      <c r="Z436" s="5" t="s">
        <v>9</v>
      </c>
      <c r="AA436" s="6"/>
      <c r="AB436" s="6"/>
    </row>
    <row r="437" spans="1:28" ht="16" x14ac:dyDescent="0.2">
      <c r="A437" s="4">
        <v>45866</v>
      </c>
      <c r="B437" s="19">
        <v>25209</v>
      </c>
      <c r="C437" s="5" t="s">
        <v>42</v>
      </c>
      <c r="D437" s="6"/>
      <c r="E437" s="15">
        <v>41.323830555599997</v>
      </c>
      <c r="F437" s="15">
        <v>-75.201291666700001</v>
      </c>
      <c r="G437" s="5" t="s">
        <v>96</v>
      </c>
      <c r="H437" s="5">
        <v>74</v>
      </c>
      <c r="I437" s="5">
        <v>85</v>
      </c>
      <c r="J437" s="5">
        <v>84.2</v>
      </c>
      <c r="K437" s="5">
        <v>57.8</v>
      </c>
      <c r="L437" s="10">
        <v>0.37986111111111109</v>
      </c>
      <c r="M437" s="10">
        <v>0.59930555555555554</v>
      </c>
      <c r="N437" s="11">
        <f t="shared" ref="N437:P437" si="236">AVERAGE(96,96,96,96)*1.04</f>
        <v>99.84</v>
      </c>
      <c r="O437" s="11">
        <f t="shared" si="236"/>
        <v>99.84</v>
      </c>
      <c r="P437" s="11">
        <f t="shared" si="236"/>
        <v>99.84</v>
      </c>
      <c r="Q437" s="11">
        <f t="shared" si="177"/>
        <v>99.839999999999989</v>
      </c>
      <c r="R437" s="5">
        <v>2</v>
      </c>
      <c r="S437" s="5">
        <v>2</v>
      </c>
      <c r="T437" s="5" t="s">
        <v>4</v>
      </c>
      <c r="U437" s="5" t="s">
        <v>55</v>
      </c>
      <c r="V437" s="5">
        <v>22.9</v>
      </c>
      <c r="W437" s="5">
        <v>4.7</v>
      </c>
      <c r="X437" s="5">
        <v>85</v>
      </c>
      <c r="Y437" s="5">
        <v>2</v>
      </c>
      <c r="Z437" s="5" t="s">
        <v>9</v>
      </c>
      <c r="AA437" s="6"/>
      <c r="AB437" s="6"/>
    </row>
    <row r="438" spans="1:28" ht="16" x14ac:dyDescent="0.2">
      <c r="A438" s="4">
        <v>45866</v>
      </c>
      <c r="B438" s="19">
        <v>25209</v>
      </c>
      <c r="C438" s="5" t="s">
        <v>42</v>
      </c>
      <c r="D438" s="6"/>
      <c r="E438" s="15">
        <v>41.323830555599997</v>
      </c>
      <c r="F438" s="15">
        <v>-75.201291666700001</v>
      </c>
      <c r="G438" s="5" t="s">
        <v>96</v>
      </c>
      <c r="H438" s="5">
        <v>74</v>
      </c>
      <c r="I438" s="5">
        <v>85</v>
      </c>
      <c r="J438" s="5">
        <v>84.2</v>
      </c>
      <c r="K438" s="5">
        <v>57.8</v>
      </c>
      <c r="L438" s="10">
        <v>0.37986111111111109</v>
      </c>
      <c r="M438" s="10">
        <v>0.59930555555555554</v>
      </c>
      <c r="N438" s="11">
        <f t="shared" ref="N438:P438" si="237">AVERAGE(96,96,96,96)*1.04</f>
        <v>99.84</v>
      </c>
      <c r="O438" s="11">
        <f t="shared" si="237"/>
        <v>99.84</v>
      </c>
      <c r="P438" s="11">
        <f t="shared" si="237"/>
        <v>99.84</v>
      </c>
      <c r="Q438" s="11">
        <f t="shared" si="177"/>
        <v>99.839999999999989</v>
      </c>
      <c r="R438" s="5">
        <v>2</v>
      </c>
      <c r="S438" s="5">
        <v>5.14</v>
      </c>
      <c r="T438" s="5" t="s">
        <v>9</v>
      </c>
      <c r="U438" s="5" t="s">
        <v>55</v>
      </c>
      <c r="V438" s="5">
        <v>22</v>
      </c>
      <c r="W438" s="5">
        <v>5</v>
      </c>
      <c r="X438" s="5">
        <v>95</v>
      </c>
      <c r="Y438" s="5">
        <v>3</v>
      </c>
      <c r="Z438" s="5" t="s">
        <v>9</v>
      </c>
      <c r="AA438" s="6"/>
      <c r="AB438" s="6"/>
    </row>
    <row r="439" spans="1:28" ht="16" x14ac:dyDescent="0.2">
      <c r="A439" s="4">
        <v>45866</v>
      </c>
      <c r="B439" s="19">
        <v>25209</v>
      </c>
      <c r="C439" s="5" t="s">
        <v>42</v>
      </c>
      <c r="D439" s="6"/>
      <c r="E439" s="15">
        <v>41.323830555599997</v>
      </c>
      <c r="F439" s="15">
        <v>-75.201291666700001</v>
      </c>
      <c r="G439" s="5" t="s">
        <v>96</v>
      </c>
      <c r="H439" s="5">
        <v>74</v>
      </c>
      <c r="I439" s="5">
        <v>85</v>
      </c>
      <c r="J439" s="5">
        <v>84.2</v>
      </c>
      <c r="K439" s="5">
        <v>57.8</v>
      </c>
      <c r="L439" s="10">
        <v>0.37986111111111109</v>
      </c>
      <c r="M439" s="10">
        <v>0.59930555555555554</v>
      </c>
      <c r="N439" s="11">
        <f t="shared" ref="N439:P439" si="238">AVERAGE(96,96,96,96)*1.04</f>
        <v>99.84</v>
      </c>
      <c r="O439" s="11">
        <f t="shared" si="238"/>
        <v>99.84</v>
      </c>
      <c r="P439" s="11">
        <f t="shared" si="238"/>
        <v>99.84</v>
      </c>
      <c r="Q439" s="11">
        <f t="shared" si="177"/>
        <v>99.839999999999989</v>
      </c>
      <c r="R439" s="5">
        <v>2</v>
      </c>
      <c r="S439" s="5">
        <v>13.4</v>
      </c>
      <c r="T439" s="5" t="s">
        <v>9</v>
      </c>
      <c r="U439" s="5" t="s">
        <v>55</v>
      </c>
      <c r="V439" s="5">
        <v>22.5</v>
      </c>
      <c r="W439" s="5" t="s">
        <v>8</v>
      </c>
      <c r="X439" s="5" t="s">
        <v>8</v>
      </c>
      <c r="Y439" s="5">
        <v>3.5</v>
      </c>
      <c r="Z439" s="5" t="s">
        <v>9</v>
      </c>
      <c r="AA439" s="5" t="s">
        <v>123</v>
      </c>
      <c r="AB439" s="6"/>
    </row>
    <row r="440" spans="1:28" ht="16" x14ac:dyDescent="0.2">
      <c r="A440" s="4">
        <v>45866</v>
      </c>
      <c r="B440" s="19">
        <v>25209</v>
      </c>
      <c r="C440" s="5" t="s">
        <v>42</v>
      </c>
      <c r="D440" s="6"/>
      <c r="E440" s="15">
        <v>41.323830555599997</v>
      </c>
      <c r="F440" s="15">
        <v>-75.201291666700001</v>
      </c>
      <c r="G440" s="5" t="s">
        <v>96</v>
      </c>
      <c r="H440" s="5">
        <v>74</v>
      </c>
      <c r="I440" s="5">
        <v>85</v>
      </c>
      <c r="J440" s="5">
        <v>84.2</v>
      </c>
      <c r="K440" s="5">
        <v>57.8</v>
      </c>
      <c r="L440" s="10">
        <v>0.37986111111111109</v>
      </c>
      <c r="M440" s="10">
        <v>0.59930555555555554</v>
      </c>
      <c r="N440" s="11">
        <f t="shared" ref="N440:P440" si="239">AVERAGE(96,96,96,96)*1.04</f>
        <v>99.84</v>
      </c>
      <c r="O440" s="11">
        <f t="shared" si="239"/>
        <v>99.84</v>
      </c>
      <c r="P440" s="11">
        <f t="shared" si="239"/>
        <v>99.84</v>
      </c>
      <c r="Q440" s="11">
        <f t="shared" si="177"/>
        <v>99.839999999999989</v>
      </c>
      <c r="R440" s="5">
        <v>2</v>
      </c>
      <c r="S440" s="5">
        <v>22.7</v>
      </c>
      <c r="T440" s="5" t="s">
        <v>9</v>
      </c>
      <c r="U440" s="5" t="s">
        <v>55</v>
      </c>
      <c r="V440" s="5">
        <v>22.1</v>
      </c>
      <c r="W440" s="5">
        <v>4.5</v>
      </c>
      <c r="X440" s="5">
        <v>85</v>
      </c>
      <c r="Y440" s="5">
        <v>4</v>
      </c>
      <c r="Z440" s="5" t="s">
        <v>9</v>
      </c>
      <c r="AA440" s="6"/>
      <c r="AB440" s="6"/>
    </row>
    <row r="441" spans="1:28" ht="16" x14ac:dyDescent="0.2">
      <c r="A441" s="4">
        <v>45866</v>
      </c>
      <c r="B441" s="19">
        <v>25209</v>
      </c>
      <c r="C441" s="5" t="s">
        <v>42</v>
      </c>
      <c r="D441" s="6"/>
      <c r="E441" s="15">
        <v>41.323830555599997</v>
      </c>
      <c r="F441" s="15">
        <v>-75.201291666700001</v>
      </c>
      <c r="G441" s="5" t="s">
        <v>96</v>
      </c>
      <c r="H441" s="5">
        <v>74</v>
      </c>
      <c r="I441" s="5">
        <v>85</v>
      </c>
      <c r="J441" s="5">
        <v>84.2</v>
      </c>
      <c r="K441" s="5">
        <v>57.8</v>
      </c>
      <c r="L441" s="10">
        <v>0.37986111111111109</v>
      </c>
      <c r="M441" s="10">
        <v>0.59930555555555554</v>
      </c>
      <c r="N441" s="11">
        <f t="shared" ref="N441:P441" si="240">AVERAGE(96,96,96,96)*1.04</f>
        <v>99.84</v>
      </c>
      <c r="O441" s="11">
        <f t="shared" si="240"/>
        <v>99.84</v>
      </c>
      <c r="P441" s="11">
        <f t="shared" si="240"/>
        <v>99.84</v>
      </c>
      <c r="Q441" s="11">
        <f t="shared" si="177"/>
        <v>99.839999999999989</v>
      </c>
      <c r="R441" s="5">
        <v>2</v>
      </c>
      <c r="S441" s="5">
        <v>8</v>
      </c>
      <c r="T441" s="5" t="s">
        <v>4</v>
      </c>
      <c r="U441" s="5" t="s">
        <v>55</v>
      </c>
      <c r="V441" s="5">
        <v>21.7</v>
      </c>
      <c r="W441" s="5">
        <v>4.9000000000000004</v>
      </c>
      <c r="X441" s="5">
        <v>80</v>
      </c>
      <c r="Y441" s="5">
        <v>2</v>
      </c>
      <c r="Z441" s="5" t="s">
        <v>9</v>
      </c>
      <c r="AA441" s="6"/>
      <c r="AB441" s="6"/>
    </row>
    <row r="442" spans="1:28" ht="16" x14ac:dyDescent="0.2">
      <c r="A442" s="4">
        <v>45866</v>
      </c>
      <c r="B442" s="19">
        <v>25209</v>
      </c>
      <c r="C442" s="5" t="s">
        <v>42</v>
      </c>
      <c r="D442" s="6"/>
      <c r="E442" s="15">
        <v>41.323830555599997</v>
      </c>
      <c r="F442" s="15">
        <v>-75.201291666700001</v>
      </c>
      <c r="G442" s="5" t="s">
        <v>96</v>
      </c>
      <c r="H442" s="5">
        <v>74</v>
      </c>
      <c r="I442" s="5">
        <v>85</v>
      </c>
      <c r="J442" s="5">
        <v>84.2</v>
      </c>
      <c r="K442" s="5">
        <v>57.8</v>
      </c>
      <c r="L442" s="10">
        <v>0.37986111111111109</v>
      </c>
      <c r="M442" s="10">
        <v>0.59930555555555554</v>
      </c>
      <c r="N442" s="11">
        <f t="shared" ref="N442:P442" si="241">AVERAGE(96,96,96,96)*1.04</f>
        <v>99.84</v>
      </c>
      <c r="O442" s="11">
        <f t="shared" si="241"/>
        <v>99.84</v>
      </c>
      <c r="P442" s="11">
        <f t="shared" si="241"/>
        <v>99.84</v>
      </c>
      <c r="Q442" s="11">
        <f t="shared" si="177"/>
        <v>99.839999999999989</v>
      </c>
      <c r="R442" s="5">
        <v>2</v>
      </c>
      <c r="S442" s="5">
        <v>15.43</v>
      </c>
      <c r="T442" s="5" t="s">
        <v>4</v>
      </c>
      <c r="U442" s="5" t="s">
        <v>55</v>
      </c>
      <c r="V442" s="5">
        <v>22.6</v>
      </c>
      <c r="W442" s="5">
        <v>5.6</v>
      </c>
      <c r="X442" s="5">
        <v>65</v>
      </c>
      <c r="Y442" s="5">
        <v>3.5</v>
      </c>
      <c r="Z442" s="5" t="s">
        <v>9</v>
      </c>
      <c r="AA442" s="6"/>
      <c r="AB442" s="6"/>
    </row>
    <row r="443" spans="1:28" ht="16" x14ac:dyDescent="0.2">
      <c r="A443" s="4">
        <v>45866</v>
      </c>
      <c r="B443" s="19">
        <v>25209</v>
      </c>
      <c r="C443" s="5" t="s">
        <v>42</v>
      </c>
      <c r="D443" s="6"/>
      <c r="E443" s="15">
        <v>41.323830555599997</v>
      </c>
      <c r="F443" s="15">
        <v>-75.201291666700001</v>
      </c>
      <c r="G443" s="5" t="s">
        <v>96</v>
      </c>
      <c r="H443" s="5">
        <v>74</v>
      </c>
      <c r="I443" s="5">
        <v>85</v>
      </c>
      <c r="J443" s="5">
        <v>84.2</v>
      </c>
      <c r="K443" s="5">
        <v>57.8</v>
      </c>
      <c r="L443" s="10">
        <v>0.37986111111111109</v>
      </c>
      <c r="M443" s="10">
        <v>0.59930555555555554</v>
      </c>
      <c r="N443" s="11">
        <f t="shared" ref="N443:P443" si="242">AVERAGE(96,96,96,96)*1.04</f>
        <v>99.84</v>
      </c>
      <c r="O443" s="11">
        <f t="shared" si="242"/>
        <v>99.84</v>
      </c>
      <c r="P443" s="11">
        <f t="shared" si="242"/>
        <v>99.84</v>
      </c>
      <c r="Q443" s="11">
        <f t="shared" si="177"/>
        <v>99.839999999999989</v>
      </c>
      <c r="R443" s="5">
        <v>2</v>
      </c>
      <c r="S443" s="5">
        <v>12.2</v>
      </c>
      <c r="T443" s="5" t="s">
        <v>4</v>
      </c>
      <c r="U443" s="5" t="s">
        <v>55</v>
      </c>
      <c r="V443" s="5">
        <v>20.399999999999999</v>
      </c>
      <c r="W443" s="5" t="s">
        <v>8</v>
      </c>
      <c r="X443" s="5" t="s">
        <v>8</v>
      </c>
      <c r="Y443" s="5">
        <v>1.5</v>
      </c>
      <c r="Z443" s="5" t="s">
        <v>9</v>
      </c>
      <c r="AA443" s="5" t="s">
        <v>123</v>
      </c>
      <c r="AB443" s="6"/>
    </row>
    <row r="444" spans="1:28" ht="16" x14ac:dyDescent="0.2">
      <c r="A444" s="4">
        <v>45866</v>
      </c>
      <c r="B444" s="19">
        <v>25209</v>
      </c>
      <c r="C444" s="5" t="s">
        <v>42</v>
      </c>
      <c r="D444" s="6"/>
      <c r="E444" s="15">
        <v>41.323830555599997</v>
      </c>
      <c r="F444" s="15">
        <v>-75.201291666700001</v>
      </c>
      <c r="G444" s="5" t="s">
        <v>96</v>
      </c>
      <c r="H444" s="5">
        <v>74</v>
      </c>
      <c r="I444" s="5">
        <v>85</v>
      </c>
      <c r="J444" s="5">
        <v>84.2</v>
      </c>
      <c r="K444" s="5">
        <v>57.8</v>
      </c>
      <c r="L444" s="10">
        <v>0.37986111111111109</v>
      </c>
      <c r="M444" s="10">
        <v>0.59930555555555554</v>
      </c>
      <c r="N444" s="11">
        <f t="shared" ref="N444:P444" si="243">AVERAGE(96,96,96,96)*1.04</f>
        <v>99.84</v>
      </c>
      <c r="O444" s="11">
        <f t="shared" si="243"/>
        <v>99.84</v>
      </c>
      <c r="P444" s="11">
        <f t="shared" si="243"/>
        <v>99.84</v>
      </c>
      <c r="Q444" s="11">
        <f t="shared" si="177"/>
        <v>99.839999999999989</v>
      </c>
      <c r="R444" s="5">
        <v>2</v>
      </c>
      <c r="S444" s="5">
        <v>14.66</v>
      </c>
      <c r="T444" s="5" t="s">
        <v>4</v>
      </c>
      <c r="U444" s="5" t="s">
        <v>55</v>
      </c>
      <c r="V444" s="5">
        <v>23</v>
      </c>
      <c r="W444" s="5">
        <v>4.2</v>
      </c>
      <c r="X444" s="5">
        <v>70</v>
      </c>
      <c r="Y444" s="5">
        <v>2.5</v>
      </c>
      <c r="Z444" s="5" t="s">
        <v>9</v>
      </c>
      <c r="AA444" s="6"/>
      <c r="AB444" s="6"/>
    </row>
    <row r="445" spans="1:28" ht="16" x14ac:dyDescent="0.2">
      <c r="A445" s="4">
        <v>45866</v>
      </c>
      <c r="B445" s="19">
        <v>25209</v>
      </c>
      <c r="C445" s="5" t="s">
        <v>42</v>
      </c>
      <c r="D445" s="6"/>
      <c r="E445" s="15">
        <v>41.323830555599997</v>
      </c>
      <c r="F445" s="15">
        <v>-75.201291666700001</v>
      </c>
      <c r="G445" s="5" t="s">
        <v>96</v>
      </c>
      <c r="H445" s="5">
        <v>74</v>
      </c>
      <c r="I445" s="5">
        <v>85</v>
      </c>
      <c r="J445" s="5">
        <v>84.2</v>
      </c>
      <c r="K445" s="5">
        <v>57.8</v>
      </c>
      <c r="L445" s="10">
        <v>0.37986111111111109</v>
      </c>
      <c r="M445" s="10">
        <v>0.59930555555555554</v>
      </c>
      <c r="N445" s="11">
        <f t="shared" ref="N445:P445" si="244">AVERAGE(96,96,96,96)*1.04</f>
        <v>99.84</v>
      </c>
      <c r="O445" s="11">
        <f t="shared" si="244"/>
        <v>99.84</v>
      </c>
      <c r="P445" s="11">
        <f t="shared" si="244"/>
        <v>99.84</v>
      </c>
      <c r="Q445" s="11">
        <f t="shared" si="177"/>
        <v>99.839999999999989</v>
      </c>
      <c r="R445" s="5">
        <v>2</v>
      </c>
      <c r="S445" s="5">
        <v>19.64</v>
      </c>
      <c r="T445" s="5" t="s">
        <v>4</v>
      </c>
      <c r="U445" s="5" t="s">
        <v>55</v>
      </c>
      <c r="V445" s="5">
        <v>23.2</v>
      </c>
      <c r="W445" s="5">
        <v>5.0999999999999996</v>
      </c>
      <c r="X445" s="5">
        <v>55</v>
      </c>
      <c r="Y445" s="5">
        <v>3.5</v>
      </c>
      <c r="Z445" s="5" t="s">
        <v>9</v>
      </c>
      <c r="AA445" s="6"/>
      <c r="AB445" s="6"/>
    </row>
    <row r="446" spans="1:28" ht="16" x14ac:dyDescent="0.2">
      <c r="A446" s="4">
        <v>45866</v>
      </c>
      <c r="B446" s="19">
        <v>25209</v>
      </c>
      <c r="C446" s="5" t="s">
        <v>42</v>
      </c>
      <c r="D446" s="6"/>
      <c r="E446" s="15">
        <v>41.323830555599997</v>
      </c>
      <c r="F446" s="15">
        <v>-75.201291666700001</v>
      </c>
      <c r="G446" s="5" t="s">
        <v>96</v>
      </c>
      <c r="H446" s="5">
        <v>74</v>
      </c>
      <c r="I446" s="5">
        <v>85</v>
      </c>
      <c r="J446" s="5">
        <v>84.2</v>
      </c>
      <c r="K446" s="5">
        <v>57.8</v>
      </c>
      <c r="L446" s="10">
        <v>0.37986111111111109</v>
      </c>
      <c r="M446" s="10">
        <v>0.59930555555555554</v>
      </c>
      <c r="N446" s="11">
        <f t="shared" ref="N446:P446" si="245">AVERAGE(96,96,96,96)*1.04</f>
        <v>99.84</v>
      </c>
      <c r="O446" s="11">
        <f t="shared" si="245"/>
        <v>99.84</v>
      </c>
      <c r="P446" s="11">
        <f t="shared" si="245"/>
        <v>99.84</v>
      </c>
      <c r="Q446" s="11">
        <f t="shared" si="177"/>
        <v>99.839999999999989</v>
      </c>
      <c r="R446" s="5">
        <v>2</v>
      </c>
      <c r="S446" s="5">
        <v>20.14</v>
      </c>
      <c r="T446" s="5" t="s">
        <v>4</v>
      </c>
      <c r="U446" s="5" t="s">
        <v>55</v>
      </c>
      <c r="V446" s="5">
        <v>21.7</v>
      </c>
      <c r="W446" s="5" t="s">
        <v>8</v>
      </c>
      <c r="X446" s="5" t="s">
        <v>8</v>
      </c>
      <c r="Y446" s="5">
        <v>4.5</v>
      </c>
      <c r="Z446" s="5" t="s">
        <v>9</v>
      </c>
      <c r="AA446" s="5" t="s">
        <v>182</v>
      </c>
      <c r="AB446" s="6"/>
    </row>
    <row r="447" spans="1:28" ht="16" x14ac:dyDescent="0.2">
      <c r="A447" s="4">
        <v>45866</v>
      </c>
      <c r="B447" s="19">
        <v>25209</v>
      </c>
      <c r="C447" s="5" t="s">
        <v>42</v>
      </c>
      <c r="D447" s="6"/>
      <c r="E447" s="15">
        <v>41.323830555599997</v>
      </c>
      <c r="F447" s="15">
        <v>-75.201291666700001</v>
      </c>
      <c r="G447" s="5" t="s">
        <v>96</v>
      </c>
      <c r="H447" s="5">
        <v>74</v>
      </c>
      <c r="I447" s="5">
        <v>85</v>
      </c>
      <c r="J447" s="5">
        <v>84.2</v>
      </c>
      <c r="K447" s="5">
        <v>57.8</v>
      </c>
      <c r="L447" s="10">
        <v>0.37986111111111109</v>
      </c>
      <c r="M447" s="10">
        <v>0.59930555555555554</v>
      </c>
      <c r="N447" s="11">
        <f t="shared" ref="N447:P447" si="246">AVERAGE(96,96,96,96)*1.04</f>
        <v>99.84</v>
      </c>
      <c r="O447" s="11">
        <f t="shared" si="246"/>
        <v>99.84</v>
      </c>
      <c r="P447" s="11">
        <f t="shared" si="246"/>
        <v>99.84</v>
      </c>
      <c r="Q447" s="11">
        <f t="shared" si="177"/>
        <v>99.839999999999989</v>
      </c>
      <c r="R447" s="5">
        <v>2</v>
      </c>
      <c r="S447" s="5">
        <v>30</v>
      </c>
      <c r="T447" s="5" t="s">
        <v>4</v>
      </c>
      <c r="U447" s="5" t="s">
        <v>64</v>
      </c>
      <c r="V447" s="5">
        <v>22.3</v>
      </c>
      <c r="W447" s="5" t="s">
        <v>8</v>
      </c>
      <c r="X447" s="5" t="s">
        <v>8</v>
      </c>
      <c r="Y447" s="5">
        <v>2.5</v>
      </c>
      <c r="Z447" s="5" t="s">
        <v>9</v>
      </c>
      <c r="AA447" s="5" t="s">
        <v>123</v>
      </c>
      <c r="AB447" s="6"/>
    </row>
    <row r="448" spans="1:28" ht="16" x14ac:dyDescent="0.2">
      <c r="A448" s="4">
        <v>45866</v>
      </c>
      <c r="B448" s="19">
        <v>25209</v>
      </c>
      <c r="C448" s="5" t="s">
        <v>42</v>
      </c>
      <c r="D448" s="6"/>
      <c r="E448" s="15">
        <v>41.323830555599997</v>
      </c>
      <c r="F448" s="15">
        <v>-75.201291666700001</v>
      </c>
      <c r="G448" s="5" t="s">
        <v>96</v>
      </c>
      <c r="H448" s="5">
        <v>74</v>
      </c>
      <c r="I448" s="5">
        <v>85</v>
      </c>
      <c r="J448" s="5">
        <v>84.2</v>
      </c>
      <c r="K448" s="5">
        <v>57.8</v>
      </c>
      <c r="L448" s="10">
        <v>0.37986111111111109</v>
      </c>
      <c r="M448" s="10">
        <v>0.59930555555555554</v>
      </c>
      <c r="N448" s="11">
        <f t="shared" ref="N448:P448" si="247">AVERAGE(96,96,96,96)*1.04</f>
        <v>99.84</v>
      </c>
      <c r="O448" s="11">
        <f t="shared" si="247"/>
        <v>99.84</v>
      </c>
      <c r="P448" s="11">
        <f t="shared" si="247"/>
        <v>99.84</v>
      </c>
      <c r="Q448" s="11">
        <f t="shared" si="177"/>
        <v>99.839999999999989</v>
      </c>
      <c r="R448" s="5">
        <v>2</v>
      </c>
      <c r="S448" s="5">
        <v>28.69</v>
      </c>
      <c r="T448" s="5" t="s">
        <v>4</v>
      </c>
      <c r="U448" s="5" t="s">
        <v>55</v>
      </c>
      <c r="V448" s="5">
        <v>20.399999999999999</v>
      </c>
      <c r="W448" s="5">
        <v>4.2</v>
      </c>
      <c r="X448" s="5">
        <v>70</v>
      </c>
      <c r="Y448" s="5">
        <v>2.5</v>
      </c>
      <c r="Z448" s="5" t="s">
        <v>9</v>
      </c>
      <c r="AA448" s="6"/>
      <c r="AB448" s="6"/>
    </row>
    <row r="449" spans="1:28" ht="16" x14ac:dyDescent="0.2">
      <c r="A449" s="4">
        <v>45866</v>
      </c>
      <c r="B449" s="19">
        <v>25209</v>
      </c>
      <c r="C449" s="5" t="s">
        <v>42</v>
      </c>
      <c r="D449" s="6"/>
      <c r="E449" s="15">
        <v>41.323830555599997</v>
      </c>
      <c r="F449" s="15">
        <v>-75.201291666700001</v>
      </c>
      <c r="G449" s="5" t="s">
        <v>96</v>
      </c>
      <c r="H449" s="5">
        <v>74</v>
      </c>
      <c r="I449" s="5">
        <v>85</v>
      </c>
      <c r="J449" s="5">
        <v>84.2</v>
      </c>
      <c r="K449" s="5">
        <v>57.8</v>
      </c>
      <c r="L449" s="10">
        <v>0.37986111111111109</v>
      </c>
      <c r="M449" s="10">
        <v>0.59930555555555554</v>
      </c>
      <c r="N449" s="11">
        <f t="shared" ref="N449:P449" si="248">AVERAGE(96,96,96,96)*1.04</f>
        <v>99.84</v>
      </c>
      <c r="O449" s="11">
        <f t="shared" si="248"/>
        <v>99.84</v>
      </c>
      <c r="P449" s="11">
        <f t="shared" si="248"/>
        <v>99.84</v>
      </c>
      <c r="Q449" s="11">
        <f t="shared" si="177"/>
        <v>99.839999999999989</v>
      </c>
      <c r="R449" s="5">
        <v>3</v>
      </c>
      <c r="S449" s="5">
        <v>1</v>
      </c>
      <c r="T449" s="5" t="s">
        <v>4</v>
      </c>
      <c r="U449" s="5" t="s">
        <v>55</v>
      </c>
      <c r="V449" s="5" t="s">
        <v>8</v>
      </c>
      <c r="W449" s="5" t="s">
        <v>8</v>
      </c>
      <c r="X449" s="5" t="s">
        <v>8</v>
      </c>
      <c r="Y449" s="5" t="s">
        <v>8</v>
      </c>
      <c r="Z449" s="5" t="s">
        <v>9</v>
      </c>
      <c r="AA449" s="5" t="s">
        <v>183</v>
      </c>
      <c r="AB449" s="6"/>
    </row>
    <row r="450" spans="1:28" ht="16" x14ac:dyDescent="0.2">
      <c r="A450" s="4">
        <v>45866</v>
      </c>
      <c r="B450" s="19">
        <v>25209</v>
      </c>
      <c r="C450" s="5" t="s">
        <v>42</v>
      </c>
      <c r="D450" s="6"/>
      <c r="E450" s="15">
        <v>41.323830555599997</v>
      </c>
      <c r="F450" s="15">
        <v>-75.201291666700001</v>
      </c>
      <c r="G450" s="5" t="s">
        <v>96</v>
      </c>
      <c r="H450" s="5">
        <v>74</v>
      </c>
      <c r="I450" s="5">
        <v>85</v>
      </c>
      <c r="J450" s="5">
        <v>84.2</v>
      </c>
      <c r="K450" s="5">
        <v>57.8</v>
      </c>
      <c r="L450" s="10">
        <v>0.37986111111111109</v>
      </c>
      <c r="M450" s="10">
        <v>0.59930555555555554</v>
      </c>
      <c r="N450" s="11">
        <f t="shared" ref="N450:P450" si="249">AVERAGE(96,96,96,96)*1.04</f>
        <v>99.84</v>
      </c>
      <c r="O450" s="11">
        <f t="shared" si="249"/>
        <v>99.84</v>
      </c>
      <c r="P450" s="11">
        <f t="shared" si="249"/>
        <v>99.84</v>
      </c>
      <c r="Q450" s="11">
        <f t="shared" si="177"/>
        <v>99.839999999999989</v>
      </c>
      <c r="R450" s="5">
        <v>3</v>
      </c>
      <c r="S450" s="5">
        <v>1.1000000000000001</v>
      </c>
      <c r="T450" s="5" t="s">
        <v>9</v>
      </c>
      <c r="U450" s="5" t="s">
        <v>55</v>
      </c>
      <c r="V450" s="5">
        <v>23.3</v>
      </c>
      <c r="W450" s="5" t="s">
        <v>8</v>
      </c>
      <c r="X450" s="5" t="s">
        <v>8</v>
      </c>
      <c r="Y450" s="5">
        <v>3</v>
      </c>
      <c r="Z450" s="5" t="s">
        <v>9</v>
      </c>
      <c r="AA450" s="5" t="s">
        <v>123</v>
      </c>
      <c r="AB450" s="6"/>
    </row>
    <row r="451" spans="1:28" ht="16" x14ac:dyDescent="0.2">
      <c r="A451" s="4">
        <v>45866</v>
      </c>
      <c r="B451" s="19">
        <v>25209</v>
      </c>
      <c r="C451" s="5" t="s">
        <v>42</v>
      </c>
      <c r="D451" s="6"/>
      <c r="E451" s="15">
        <v>41.323830555599997</v>
      </c>
      <c r="F451" s="15">
        <v>-75.201291666700001</v>
      </c>
      <c r="G451" s="5" t="s">
        <v>96</v>
      </c>
      <c r="H451" s="5">
        <v>74</v>
      </c>
      <c r="I451" s="5">
        <v>85</v>
      </c>
      <c r="J451" s="5">
        <v>84.2</v>
      </c>
      <c r="K451" s="5">
        <v>57.8</v>
      </c>
      <c r="L451" s="10">
        <v>0.37986111111111109</v>
      </c>
      <c r="M451" s="10">
        <v>0.59930555555555554</v>
      </c>
      <c r="N451" s="11">
        <f t="shared" ref="N451:P451" si="250">AVERAGE(96,96,96,96)*1.04</f>
        <v>99.84</v>
      </c>
      <c r="O451" s="11">
        <f t="shared" si="250"/>
        <v>99.84</v>
      </c>
      <c r="P451" s="11">
        <f t="shared" si="250"/>
        <v>99.84</v>
      </c>
      <c r="Q451" s="11">
        <f t="shared" si="177"/>
        <v>99.839999999999989</v>
      </c>
      <c r="R451" s="5">
        <v>3</v>
      </c>
      <c r="S451" s="5">
        <v>18.600000000000001</v>
      </c>
      <c r="T451" s="5" t="s">
        <v>9</v>
      </c>
      <c r="U451" s="5" t="s">
        <v>55</v>
      </c>
      <c r="V451" s="5">
        <v>22.6</v>
      </c>
      <c r="W451" s="5">
        <v>5.4</v>
      </c>
      <c r="X451" s="5">
        <v>80</v>
      </c>
      <c r="Y451" s="5">
        <v>2.5</v>
      </c>
      <c r="Z451" s="5" t="s">
        <v>9</v>
      </c>
      <c r="AA451" s="6"/>
      <c r="AB451" s="6"/>
    </row>
    <row r="452" spans="1:28" ht="16" x14ac:dyDescent="0.2">
      <c r="A452" s="4">
        <v>45866</v>
      </c>
      <c r="B452" s="19">
        <v>25209</v>
      </c>
      <c r="C452" s="5" t="s">
        <v>42</v>
      </c>
      <c r="D452" s="6"/>
      <c r="E452" s="15">
        <v>41.323830555599997</v>
      </c>
      <c r="F452" s="15">
        <v>-75.201291666700001</v>
      </c>
      <c r="G452" s="5" t="s">
        <v>96</v>
      </c>
      <c r="H452" s="5">
        <v>74</v>
      </c>
      <c r="I452" s="5">
        <v>85</v>
      </c>
      <c r="J452" s="5">
        <v>84.2</v>
      </c>
      <c r="K452" s="5">
        <v>57.8</v>
      </c>
      <c r="L452" s="10">
        <v>0.37986111111111109</v>
      </c>
      <c r="M452" s="10">
        <v>0.59930555555555554</v>
      </c>
      <c r="N452" s="11">
        <f t="shared" ref="N452:P452" si="251">AVERAGE(96,96,96,96)*1.04</f>
        <v>99.84</v>
      </c>
      <c r="O452" s="11">
        <f t="shared" si="251"/>
        <v>99.84</v>
      </c>
      <c r="P452" s="11">
        <f t="shared" si="251"/>
        <v>99.84</v>
      </c>
      <c r="Q452" s="11">
        <f t="shared" si="177"/>
        <v>99.839999999999989</v>
      </c>
      <c r="R452" s="5">
        <v>3</v>
      </c>
      <c r="S452" s="5">
        <v>30</v>
      </c>
      <c r="T452" s="5" t="s">
        <v>4</v>
      </c>
      <c r="U452" s="5" t="s">
        <v>55</v>
      </c>
      <c r="V452" s="5" t="s">
        <v>8</v>
      </c>
      <c r="W452" s="5" t="s">
        <v>8</v>
      </c>
      <c r="X452" s="5" t="s">
        <v>8</v>
      </c>
      <c r="Y452" s="5" t="s">
        <v>8</v>
      </c>
      <c r="Z452" s="5" t="s">
        <v>8</v>
      </c>
      <c r="AA452" s="6"/>
      <c r="AB452" s="6"/>
    </row>
    <row r="453" spans="1:28" ht="16" x14ac:dyDescent="0.2">
      <c r="A453" s="4">
        <v>45866</v>
      </c>
      <c r="B453" s="19">
        <v>25209</v>
      </c>
      <c r="C453" s="5" t="s">
        <v>42</v>
      </c>
      <c r="D453" s="6"/>
      <c r="E453" s="15">
        <v>41.323830555599997</v>
      </c>
      <c r="F453" s="15">
        <v>-75.201291666700001</v>
      </c>
      <c r="G453" s="5" t="s">
        <v>96</v>
      </c>
      <c r="H453" s="5">
        <v>74</v>
      </c>
      <c r="I453" s="5">
        <v>85</v>
      </c>
      <c r="J453" s="5">
        <v>84.2</v>
      </c>
      <c r="K453" s="5">
        <v>57.8</v>
      </c>
      <c r="L453" s="10">
        <v>0.37986111111111109</v>
      </c>
      <c r="M453" s="10">
        <v>0.59930555555555554</v>
      </c>
      <c r="N453" s="11">
        <f t="shared" ref="N453:P453" si="252">AVERAGE(96,96,96,96)*1.04</f>
        <v>99.84</v>
      </c>
      <c r="O453" s="11">
        <f t="shared" si="252"/>
        <v>99.84</v>
      </c>
      <c r="P453" s="11">
        <f t="shared" si="252"/>
        <v>99.84</v>
      </c>
      <c r="Q453" s="11">
        <f t="shared" si="177"/>
        <v>99.839999999999989</v>
      </c>
      <c r="R453" s="5">
        <v>3</v>
      </c>
      <c r="S453" s="5">
        <v>26</v>
      </c>
      <c r="T453" s="5" t="s">
        <v>9</v>
      </c>
      <c r="U453" s="5" t="s">
        <v>55</v>
      </c>
      <c r="V453" s="5">
        <v>23.2</v>
      </c>
      <c r="W453" s="5">
        <v>4.8</v>
      </c>
      <c r="X453" s="5">
        <v>60</v>
      </c>
      <c r="Y453" s="5">
        <v>2</v>
      </c>
      <c r="Z453" s="5" t="s">
        <v>8</v>
      </c>
      <c r="AA453" s="6"/>
      <c r="AB453" s="6"/>
    </row>
    <row r="454" spans="1:28" ht="16" x14ac:dyDescent="0.2">
      <c r="A454" s="4">
        <v>45866</v>
      </c>
      <c r="B454" s="19">
        <v>25209</v>
      </c>
      <c r="C454" s="5" t="s">
        <v>42</v>
      </c>
      <c r="D454" s="6"/>
      <c r="E454" s="15">
        <v>41.323830555599997</v>
      </c>
      <c r="F454" s="15">
        <v>-75.201291666700001</v>
      </c>
      <c r="G454" s="5" t="s">
        <v>96</v>
      </c>
      <c r="H454" s="5">
        <v>74</v>
      </c>
      <c r="I454" s="5">
        <v>85</v>
      </c>
      <c r="J454" s="5">
        <v>84.2</v>
      </c>
      <c r="K454" s="5">
        <v>57.8</v>
      </c>
      <c r="L454" s="10">
        <v>0.37986111111111109</v>
      </c>
      <c r="M454" s="10">
        <v>0.59930555555555554</v>
      </c>
      <c r="N454" s="11">
        <f t="shared" ref="N454:P454" si="253">AVERAGE(96,96,96,96)*1.04</f>
        <v>99.84</v>
      </c>
      <c r="O454" s="11">
        <f t="shared" si="253"/>
        <v>99.84</v>
      </c>
      <c r="P454" s="11">
        <f t="shared" si="253"/>
        <v>99.84</v>
      </c>
      <c r="Q454" s="11">
        <f t="shared" si="177"/>
        <v>99.839999999999989</v>
      </c>
      <c r="R454" s="5">
        <v>3</v>
      </c>
      <c r="S454" s="5">
        <v>0</v>
      </c>
      <c r="T454" s="5" t="s">
        <v>4</v>
      </c>
      <c r="U454" s="5" t="s">
        <v>55</v>
      </c>
      <c r="V454" s="5" t="s">
        <v>8</v>
      </c>
      <c r="W454" s="5" t="s">
        <v>8</v>
      </c>
      <c r="X454" s="5" t="s">
        <v>8</v>
      </c>
      <c r="Y454" s="5" t="s">
        <v>8</v>
      </c>
      <c r="Z454" s="5" t="s">
        <v>8</v>
      </c>
      <c r="AA454" s="6"/>
      <c r="AB454" s="6"/>
    </row>
    <row r="455" spans="1:28" ht="16" x14ac:dyDescent="0.2">
      <c r="A455" s="4">
        <v>45866</v>
      </c>
      <c r="B455" s="19">
        <v>25209</v>
      </c>
      <c r="C455" s="5" t="s">
        <v>42</v>
      </c>
      <c r="D455" s="6"/>
      <c r="E455" s="15">
        <v>41.323830555599997</v>
      </c>
      <c r="F455" s="15">
        <v>-75.201291666700001</v>
      </c>
      <c r="G455" s="5" t="s">
        <v>96</v>
      </c>
      <c r="H455" s="5">
        <v>74</v>
      </c>
      <c r="I455" s="5">
        <v>85</v>
      </c>
      <c r="J455" s="5">
        <v>84.2</v>
      </c>
      <c r="K455" s="5">
        <v>57.8</v>
      </c>
      <c r="L455" s="10">
        <v>0.37986111111111109</v>
      </c>
      <c r="M455" s="10">
        <v>0.59930555555555554</v>
      </c>
      <c r="N455" s="11">
        <f t="shared" ref="N455:P455" si="254">AVERAGE(96,96,96,96)*1.04</f>
        <v>99.84</v>
      </c>
      <c r="O455" s="11">
        <f t="shared" si="254"/>
        <v>99.84</v>
      </c>
      <c r="P455" s="11">
        <f t="shared" si="254"/>
        <v>99.84</v>
      </c>
      <c r="Q455" s="11">
        <f t="shared" si="177"/>
        <v>99.839999999999989</v>
      </c>
      <c r="R455" s="5">
        <v>3</v>
      </c>
      <c r="S455" s="5">
        <v>13.5</v>
      </c>
      <c r="T455" s="5" t="s">
        <v>4</v>
      </c>
      <c r="U455" s="5" t="s">
        <v>55</v>
      </c>
      <c r="V455" s="5" t="s">
        <v>8</v>
      </c>
      <c r="W455" s="5" t="s">
        <v>8</v>
      </c>
      <c r="X455" s="5" t="s">
        <v>8</v>
      </c>
      <c r="Y455" s="5" t="s">
        <v>8</v>
      </c>
      <c r="Z455" s="5" t="s">
        <v>8</v>
      </c>
      <c r="AA455" s="6"/>
      <c r="AB455" s="6"/>
    </row>
    <row r="456" spans="1:28" ht="16" x14ac:dyDescent="0.2">
      <c r="A456" s="4">
        <v>45866</v>
      </c>
      <c r="B456" s="19">
        <v>25209</v>
      </c>
      <c r="C456" s="5" t="s">
        <v>42</v>
      </c>
      <c r="D456" s="6"/>
      <c r="E456" s="15">
        <v>41.323830555599997</v>
      </c>
      <c r="F456" s="15">
        <v>-75.201291666700001</v>
      </c>
      <c r="G456" s="5" t="s">
        <v>96</v>
      </c>
      <c r="H456" s="5">
        <v>74</v>
      </c>
      <c r="I456" s="5">
        <v>85</v>
      </c>
      <c r="J456" s="5">
        <v>84.2</v>
      </c>
      <c r="K456" s="5">
        <v>57.8</v>
      </c>
      <c r="L456" s="10">
        <v>0.37986111111111109</v>
      </c>
      <c r="M456" s="10">
        <v>0.59930555555555554</v>
      </c>
      <c r="N456" s="11">
        <f t="shared" ref="N456:P456" si="255">AVERAGE(96,96,96,96)*1.04</f>
        <v>99.84</v>
      </c>
      <c r="O456" s="11">
        <f t="shared" si="255"/>
        <v>99.84</v>
      </c>
      <c r="P456" s="11">
        <f t="shared" si="255"/>
        <v>99.84</v>
      </c>
      <c r="Q456" s="11">
        <f t="shared" si="177"/>
        <v>99.839999999999989</v>
      </c>
      <c r="R456" s="5">
        <v>3</v>
      </c>
      <c r="S456" s="5">
        <v>28</v>
      </c>
      <c r="T456" s="5" t="s">
        <v>4</v>
      </c>
      <c r="U456" s="5" t="s">
        <v>55</v>
      </c>
      <c r="V456" s="5" t="s">
        <v>8</v>
      </c>
      <c r="W456" s="5" t="s">
        <v>8</v>
      </c>
      <c r="X456" s="5" t="s">
        <v>8</v>
      </c>
      <c r="Y456" s="5" t="s">
        <v>8</v>
      </c>
      <c r="Z456" s="5" t="s">
        <v>8</v>
      </c>
      <c r="AA456" s="6"/>
      <c r="AB456" s="6"/>
    </row>
    <row r="457" spans="1:28" ht="16" x14ac:dyDescent="0.2">
      <c r="A457" s="4">
        <v>45867</v>
      </c>
      <c r="B457" s="19">
        <v>25210</v>
      </c>
      <c r="C457" s="5" t="s">
        <v>20</v>
      </c>
      <c r="D457" s="5" t="s">
        <v>184</v>
      </c>
      <c r="E457" s="15">
        <v>41.560650000000003</v>
      </c>
      <c r="F457" s="15">
        <v>-75.702924999999993</v>
      </c>
      <c r="G457" s="5" t="s">
        <v>185</v>
      </c>
      <c r="H457" s="5">
        <v>77.8</v>
      </c>
      <c r="I457" s="5">
        <v>76.5</v>
      </c>
      <c r="J457" s="5">
        <v>87.7</v>
      </c>
      <c r="K457" s="5">
        <v>54.2</v>
      </c>
      <c r="L457" s="10">
        <v>0.3972222222222222</v>
      </c>
      <c r="M457" s="10">
        <v>0.58194444444444449</v>
      </c>
      <c r="N457" s="11">
        <f t="shared" ref="N457:P457" si="256">AVERAGE(96,96,96,96)*1.04</f>
        <v>99.84</v>
      </c>
      <c r="O457" s="11">
        <f t="shared" si="256"/>
        <v>99.84</v>
      </c>
      <c r="P457" s="11">
        <f t="shared" si="256"/>
        <v>99.84</v>
      </c>
      <c r="Q457" s="11">
        <f t="shared" si="177"/>
        <v>99.839999999999989</v>
      </c>
      <c r="R457" s="5">
        <v>1</v>
      </c>
      <c r="S457" s="5">
        <v>1.2</v>
      </c>
      <c r="T457" s="5" t="s">
        <v>9</v>
      </c>
      <c r="U457" s="5" t="s">
        <v>55</v>
      </c>
      <c r="V457" s="5">
        <v>21.7</v>
      </c>
      <c r="W457" s="5" t="s">
        <v>8</v>
      </c>
      <c r="X457" s="5" t="s">
        <v>8</v>
      </c>
      <c r="Y457" s="5">
        <v>2.5</v>
      </c>
      <c r="Z457" s="5" t="s">
        <v>67</v>
      </c>
      <c r="AA457" s="5" t="s">
        <v>340</v>
      </c>
      <c r="AB457" s="6"/>
    </row>
    <row r="458" spans="1:28" ht="16" x14ac:dyDescent="0.2">
      <c r="A458" s="4">
        <v>45867</v>
      </c>
      <c r="B458" s="19">
        <v>25210</v>
      </c>
      <c r="C458" s="5" t="s">
        <v>20</v>
      </c>
      <c r="D458" s="6"/>
      <c r="E458" s="15">
        <v>41.560650000000003</v>
      </c>
      <c r="F458" s="15">
        <v>-75.702924999999993</v>
      </c>
      <c r="G458" s="5" t="s">
        <v>185</v>
      </c>
      <c r="H458" s="5">
        <v>77.8</v>
      </c>
      <c r="I458" s="5">
        <v>76.5</v>
      </c>
      <c r="J458" s="5">
        <v>87.7</v>
      </c>
      <c r="K458" s="5">
        <v>54.2</v>
      </c>
      <c r="L458" s="10">
        <v>0.3972222222222222</v>
      </c>
      <c r="M458" s="10">
        <v>0.58194444444444449</v>
      </c>
      <c r="N458" s="11">
        <f t="shared" ref="N458:P458" si="257">AVERAGE(96,96,96,96)*1.04</f>
        <v>99.84</v>
      </c>
      <c r="O458" s="11">
        <f t="shared" si="257"/>
        <v>99.84</v>
      </c>
      <c r="P458" s="11">
        <f t="shared" si="257"/>
        <v>99.84</v>
      </c>
      <c r="Q458" s="11">
        <f t="shared" si="177"/>
        <v>99.839999999999989</v>
      </c>
      <c r="R458" s="5">
        <v>1</v>
      </c>
      <c r="S458" s="5">
        <v>13.5</v>
      </c>
      <c r="T458" s="5" t="s">
        <v>9</v>
      </c>
      <c r="U458" s="5" t="s">
        <v>55</v>
      </c>
      <c r="V458" s="5">
        <v>21.7</v>
      </c>
      <c r="W458" s="5" t="s">
        <v>8</v>
      </c>
      <c r="X458" s="5" t="s">
        <v>8</v>
      </c>
      <c r="Y458" s="5">
        <v>3.5</v>
      </c>
      <c r="Z458" s="5" t="s">
        <v>167</v>
      </c>
      <c r="AA458" s="5" t="s">
        <v>186</v>
      </c>
      <c r="AB458" s="6"/>
    </row>
    <row r="459" spans="1:28" ht="16" x14ac:dyDescent="0.2">
      <c r="A459" s="4">
        <v>45867</v>
      </c>
      <c r="B459" s="19">
        <v>25210</v>
      </c>
      <c r="C459" s="5" t="s">
        <v>20</v>
      </c>
      <c r="D459" s="6"/>
      <c r="E459" s="15">
        <v>41.560650000000003</v>
      </c>
      <c r="F459" s="15">
        <v>-75.702924999999993</v>
      </c>
      <c r="G459" s="5" t="s">
        <v>185</v>
      </c>
      <c r="H459" s="5">
        <v>77.8</v>
      </c>
      <c r="I459" s="5">
        <v>76.5</v>
      </c>
      <c r="J459" s="5">
        <v>87.7</v>
      </c>
      <c r="K459" s="5">
        <v>54.2</v>
      </c>
      <c r="L459" s="10">
        <v>0.3972222222222222</v>
      </c>
      <c r="M459" s="10">
        <v>0.58194444444444449</v>
      </c>
      <c r="N459" s="11">
        <f t="shared" ref="N459:P459" si="258">AVERAGE(96,96,96,96)*1.04</f>
        <v>99.84</v>
      </c>
      <c r="O459" s="11">
        <f t="shared" si="258"/>
        <v>99.84</v>
      </c>
      <c r="P459" s="11">
        <f t="shared" si="258"/>
        <v>99.84</v>
      </c>
      <c r="Q459" s="11">
        <f t="shared" si="177"/>
        <v>99.839999999999989</v>
      </c>
      <c r="R459" s="5">
        <v>1</v>
      </c>
      <c r="S459" s="5">
        <v>25</v>
      </c>
      <c r="T459" s="5" t="s">
        <v>9</v>
      </c>
      <c r="U459" s="5" t="s">
        <v>56</v>
      </c>
      <c r="V459" s="5">
        <v>22</v>
      </c>
      <c r="W459" s="5" t="s">
        <v>8</v>
      </c>
      <c r="X459" s="5" t="s">
        <v>8</v>
      </c>
      <c r="Y459" s="5">
        <v>3</v>
      </c>
      <c r="Z459" s="5" t="s">
        <v>67</v>
      </c>
      <c r="AA459" s="5" t="s">
        <v>123</v>
      </c>
      <c r="AB459" s="6"/>
    </row>
    <row r="460" spans="1:28" ht="16" x14ac:dyDescent="0.2">
      <c r="A460" s="4">
        <v>45867</v>
      </c>
      <c r="B460" s="19">
        <v>25210</v>
      </c>
      <c r="C460" s="5" t="s">
        <v>20</v>
      </c>
      <c r="D460" s="6"/>
      <c r="E460" s="15">
        <v>41.560650000000003</v>
      </c>
      <c r="F460" s="15">
        <v>-75.702924999999993</v>
      </c>
      <c r="G460" s="5" t="s">
        <v>185</v>
      </c>
      <c r="H460" s="5">
        <v>77.8</v>
      </c>
      <c r="I460" s="5">
        <v>76.5</v>
      </c>
      <c r="J460" s="5">
        <v>87.7</v>
      </c>
      <c r="K460" s="5">
        <v>54.2</v>
      </c>
      <c r="L460" s="10">
        <v>0.3972222222222222</v>
      </c>
      <c r="M460" s="10">
        <v>0.58194444444444449</v>
      </c>
      <c r="N460" s="11">
        <f t="shared" ref="N460:P460" si="259">AVERAGE(96,96,96,96)*1.04</f>
        <v>99.84</v>
      </c>
      <c r="O460" s="11">
        <f t="shared" si="259"/>
        <v>99.84</v>
      </c>
      <c r="P460" s="11">
        <f t="shared" si="259"/>
        <v>99.84</v>
      </c>
      <c r="Q460" s="11">
        <f t="shared" si="177"/>
        <v>99.839999999999989</v>
      </c>
      <c r="R460" s="5">
        <v>1</v>
      </c>
      <c r="S460" s="5">
        <v>4.87</v>
      </c>
      <c r="T460" s="5" t="s">
        <v>4</v>
      </c>
      <c r="U460" s="5" t="s">
        <v>55</v>
      </c>
      <c r="V460" s="5">
        <v>21.7</v>
      </c>
      <c r="W460" s="5" t="s">
        <v>8</v>
      </c>
      <c r="X460" s="5" t="s">
        <v>8</v>
      </c>
      <c r="Y460" s="5">
        <v>3</v>
      </c>
      <c r="Z460" s="5" t="s">
        <v>9</v>
      </c>
      <c r="AA460" s="5" t="s">
        <v>123</v>
      </c>
      <c r="AB460" s="6"/>
    </row>
    <row r="461" spans="1:28" ht="16" x14ac:dyDescent="0.2">
      <c r="A461" s="4">
        <v>45867</v>
      </c>
      <c r="B461" s="19">
        <v>25210</v>
      </c>
      <c r="C461" s="5" t="s">
        <v>20</v>
      </c>
      <c r="D461" s="6"/>
      <c r="E461" s="15">
        <v>41.560650000000003</v>
      </c>
      <c r="F461" s="15">
        <v>-75.702924999999993</v>
      </c>
      <c r="G461" s="5" t="s">
        <v>185</v>
      </c>
      <c r="H461" s="5">
        <v>77.8</v>
      </c>
      <c r="I461" s="5">
        <v>76.5</v>
      </c>
      <c r="J461" s="5">
        <v>87.7</v>
      </c>
      <c r="K461" s="5">
        <v>54.2</v>
      </c>
      <c r="L461" s="10">
        <v>0.3972222222222222</v>
      </c>
      <c r="M461" s="10">
        <v>0.58194444444444449</v>
      </c>
      <c r="N461" s="11">
        <f t="shared" ref="N461:P461" si="260">AVERAGE(96,96,96,96)*1.04</f>
        <v>99.84</v>
      </c>
      <c r="O461" s="11">
        <f t="shared" si="260"/>
        <v>99.84</v>
      </c>
      <c r="P461" s="11">
        <f t="shared" si="260"/>
        <v>99.84</v>
      </c>
      <c r="Q461" s="11">
        <f t="shared" si="177"/>
        <v>99.839999999999989</v>
      </c>
      <c r="R461" s="5">
        <v>1</v>
      </c>
      <c r="S461" s="5">
        <v>23.77</v>
      </c>
      <c r="T461" s="5" t="s">
        <v>4</v>
      </c>
      <c r="U461" s="5" t="s">
        <v>55</v>
      </c>
      <c r="V461" s="5">
        <v>22</v>
      </c>
      <c r="W461" s="5" t="s">
        <v>8</v>
      </c>
      <c r="X461" s="5" t="s">
        <v>8</v>
      </c>
      <c r="Y461" s="5">
        <v>3</v>
      </c>
      <c r="Z461" s="5" t="s">
        <v>9</v>
      </c>
      <c r="AA461" s="5" t="s">
        <v>123</v>
      </c>
      <c r="AB461" s="6"/>
    </row>
    <row r="462" spans="1:28" ht="16" x14ac:dyDescent="0.2">
      <c r="A462" s="4">
        <v>45867</v>
      </c>
      <c r="B462" s="19">
        <v>25210</v>
      </c>
      <c r="C462" s="5" t="s">
        <v>20</v>
      </c>
      <c r="D462" s="6"/>
      <c r="E462" s="15">
        <v>41.560650000000003</v>
      </c>
      <c r="F462" s="15">
        <v>-75.702924999999993</v>
      </c>
      <c r="G462" s="5" t="s">
        <v>185</v>
      </c>
      <c r="H462" s="5">
        <v>77.8</v>
      </c>
      <c r="I462" s="5">
        <v>76.5</v>
      </c>
      <c r="J462" s="5">
        <v>87.7</v>
      </c>
      <c r="K462" s="5">
        <v>54.2</v>
      </c>
      <c r="L462" s="10">
        <v>0.3972222222222222</v>
      </c>
      <c r="M462" s="10">
        <v>0.58194444444444449</v>
      </c>
      <c r="N462" s="11">
        <f t="shared" ref="N462:P462" si="261">AVERAGE(96,96,96,96)*1.04</f>
        <v>99.84</v>
      </c>
      <c r="O462" s="11">
        <f t="shared" si="261"/>
        <v>99.84</v>
      </c>
      <c r="P462" s="11">
        <f t="shared" si="261"/>
        <v>99.84</v>
      </c>
      <c r="Q462" s="11">
        <f t="shared" si="177"/>
        <v>99.839999999999989</v>
      </c>
      <c r="R462" s="5">
        <v>1</v>
      </c>
      <c r="S462" s="5">
        <v>17.7</v>
      </c>
      <c r="T462" s="5" t="s">
        <v>4</v>
      </c>
      <c r="U462" s="5" t="s">
        <v>55</v>
      </c>
      <c r="V462" s="5">
        <v>21.8</v>
      </c>
      <c r="W462" s="5" t="s">
        <v>8</v>
      </c>
      <c r="X462" s="5" t="s">
        <v>8</v>
      </c>
      <c r="Y462" s="5">
        <v>4</v>
      </c>
      <c r="Z462" s="5" t="s">
        <v>108</v>
      </c>
      <c r="AA462" s="5" t="s">
        <v>123</v>
      </c>
      <c r="AB462" s="6"/>
    </row>
    <row r="463" spans="1:28" ht="16" x14ac:dyDescent="0.2">
      <c r="A463" s="4">
        <v>45867</v>
      </c>
      <c r="B463" s="19">
        <v>25210</v>
      </c>
      <c r="C463" s="5" t="s">
        <v>20</v>
      </c>
      <c r="D463" s="6"/>
      <c r="E463" s="15">
        <v>41.560650000000003</v>
      </c>
      <c r="F463" s="15">
        <v>-75.702924999999993</v>
      </c>
      <c r="G463" s="5" t="s">
        <v>185</v>
      </c>
      <c r="H463" s="5">
        <v>77.8</v>
      </c>
      <c r="I463" s="5">
        <v>76.5</v>
      </c>
      <c r="J463" s="5">
        <v>87.7</v>
      </c>
      <c r="K463" s="5">
        <v>54.2</v>
      </c>
      <c r="L463" s="10">
        <v>0.3972222222222222</v>
      </c>
      <c r="M463" s="10">
        <v>0.58194444444444449</v>
      </c>
      <c r="N463" s="11">
        <f t="shared" ref="N463:P463" si="262">AVERAGE(96,96,96,96)*1.04</f>
        <v>99.84</v>
      </c>
      <c r="O463" s="11">
        <f t="shared" si="262"/>
        <v>99.84</v>
      </c>
      <c r="P463" s="11">
        <f t="shared" si="262"/>
        <v>99.84</v>
      </c>
      <c r="Q463" s="11">
        <f t="shared" si="177"/>
        <v>99.839999999999989</v>
      </c>
      <c r="R463" s="5">
        <v>1</v>
      </c>
      <c r="S463" s="5">
        <v>26.6</v>
      </c>
      <c r="T463" s="5" t="s">
        <v>4</v>
      </c>
      <c r="U463" s="5" t="s">
        <v>55</v>
      </c>
      <c r="V463" s="5">
        <v>22.8</v>
      </c>
      <c r="W463" s="5">
        <v>6</v>
      </c>
      <c r="X463" s="5">
        <v>59</v>
      </c>
      <c r="Y463" s="5">
        <v>3</v>
      </c>
      <c r="Z463" s="5" t="s">
        <v>9</v>
      </c>
      <c r="AA463" s="6"/>
      <c r="AB463" s="6"/>
    </row>
    <row r="464" spans="1:28" ht="16" x14ac:dyDescent="0.2">
      <c r="A464" s="4">
        <v>45867</v>
      </c>
      <c r="B464" s="19">
        <v>25210</v>
      </c>
      <c r="C464" s="5" t="s">
        <v>20</v>
      </c>
      <c r="D464" s="6"/>
      <c r="E464" s="15">
        <v>41.560650000000003</v>
      </c>
      <c r="F464" s="15">
        <v>-75.702924999999993</v>
      </c>
      <c r="G464" s="5" t="s">
        <v>185</v>
      </c>
      <c r="H464" s="5">
        <v>77.8</v>
      </c>
      <c r="I464" s="5">
        <v>76.5</v>
      </c>
      <c r="J464" s="5">
        <v>87.7</v>
      </c>
      <c r="K464" s="5">
        <v>54.2</v>
      </c>
      <c r="L464" s="10">
        <v>0.3972222222222222</v>
      </c>
      <c r="M464" s="10">
        <v>0.58194444444444449</v>
      </c>
      <c r="N464" s="11">
        <f t="shared" ref="N464:P464" si="263">AVERAGE(96,96,96,96)*1.04</f>
        <v>99.84</v>
      </c>
      <c r="O464" s="11">
        <f t="shared" si="263"/>
        <v>99.84</v>
      </c>
      <c r="P464" s="11">
        <f t="shared" si="263"/>
        <v>99.84</v>
      </c>
      <c r="Q464" s="11">
        <f t="shared" si="177"/>
        <v>99.839999999999989</v>
      </c>
      <c r="R464" s="5">
        <v>2</v>
      </c>
      <c r="S464" s="5">
        <v>0.84</v>
      </c>
      <c r="T464" s="5" t="s">
        <v>9</v>
      </c>
      <c r="U464" s="5" t="s">
        <v>55</v>
      </c>
      <c r="V464" s="5">
        <v>25</v>
      </c>
      <c r="W464" s="5" t="s">
        <v>8</v>
      </c>
      <c r="X464" s="5" t="s">
        <v>8</v>
      </c>
      <c r="Y464" s="5">
        <v>2</v>
      </c>
      <c r="Z464" s="5" t="s">
        <v>9</v>
      </c>
      <c r="AA464" s="5" t="s">
        <v>123</v>
      </c>
      <c r="AB464" s="6"/>
    </row>
    <row r="465" spans="1:28" ht="16" x14ac:dyDescent="0.2">
      <c r="A465" s="4">
        <v>45867</v>
      </c>
      <c r="B465" s="19">
        <v>25210</v>
      </c>
      <c r="C465" s="5" t="s">
        <v>20</v>
      </c>
      <c r="D465" s="6"/>
      <c r="E465" s="15">
        <v>41.560650000000003</v>
      </c>
      <c r="F465" s="15">
        <v>-75.702924999999993</v>
      </c>
      <c r="G465" s="5" t="s">
        <v>185</v>
      </c>
      <c r="H465" s="5">
        <v>77.8</v>
      </c>
      <c r="I465" s="5">
        <v>76.5</v>
      </c>
      <c r="J465" s="5">
        <v>87.7</v>
      </c>
      <c r="K465" s="5">
        <v>54.2</v>
      </c>
      <c r="L465" s="10">
        <v>0.3972222222222222</v>
      </c>
      <c r="M465" s="10">
        <v>0.58194444444444449</v>
      </c>
      <c r="N465" s="11">
        <f t="shared" ref="N465:P465" si="264">AVERAGE(96,96,96,96)*1.04</f>
        <v>99.84</v>
      </c>
      <c r="O465" s="11">
        <f t="shared" si="264"/>
        <v>99.84</v>
      </c>
      <c r="P465" s="11">
        <f t="shared" si="264"/>
        <v>99.84</v>
      </c>
      <c r="Q465" s="11">
        <f t="shared" si="177"/>
        <v>99.839999999999989</v>
      </c>
      <c r="R465" s="5">
        <v>2</v>
      </c>
      <c r="S465" s="5">
        <v>13.3</v>
      </c>
      <c r="T465" s="5" t="s">
        <v>9</v>
      </c>
      <c r="U465" s="5" t="s">
        <v>55</v>
      </c>
      <c r="V465" s="5">
        <v>23</v>
      </c>
      <c r="W465" s="5" t="s">
        <v>8</v>
      </c>
      <c r="X465" s="5" t="s">
        <v>8</v>
      </c>
      <c r="Y465" s="5">
        <v>4</v>
      </c>
      <c r="Z465" s="5" t="s">
        <v>67</v>
      </c>
      <c r="AA465" s="5" t="s">
        <v>123</v>
      </c>
      <c r="AB465" s="6"/>
    </row>
    <row r="466" spans="1:28" ht="16" x14ac:dyDescent="0.2">
      <c r="A466" s="4">
        <v>45867</v>
      </c>
      <c r="B466" s="19">
        <v>25210</v>
      </c>
      <c r="C466" s="5" t="s">
        <v>20</v>
      </c>
      <c r="D466" s="6"/>
      <c r="E466" s="15">
        <v>41.560650000000003</v>
      </c>
      <c r="F466" s="15">
        <v>-75.702924999999993</v>
      </c>
      <c r="G466" s="5" t="s">
        <v>185</v>
      </c>
      <c r="H466" s="5">
        <v>77.8</v>
      </c>
      <c r="I466" s="5">
        <v>76.5</v>
      </c>
      <c r="J466" s="5">
        <v>87.7</v>
      </c>
      <c r="K466" s="5">
        <v>54.2</v>
      </c>
      <c r="L466" s="10">
        <v>0.3972222222222222</v>
      </c>
      <c r="M466" s="10">
        <v>0.58194444444444449</v>
      </c>
      <c r="N466" s="11">
        <f t="shared" ref="N466:P466" si="265">AVERAGE(96,96,96,96)*1.04</f>
        <v>99.84</v>
      </c>
      <c r="O466" s="11">
        <f t="shared" si="265"/>
        <v>99.84</v>
      </c>
      <c r="P466" s="11">
        <f t="shared" si="265"/>
        <v>99.84</v>
      </c>
      <c r="Q466" s="11">
        <f t="shared" si="177"/>
        <v>99.839999999999989</v>
      </c>
      <c r="R466" s="5">
        <v>2</v>
      </c>
      <c r="S466" s="5">
        <v>28.9</v>
      </c>
      <c r="T466" s="5" t="s">
        <v>9</v>
      </c>
      <c r="U466" s="5" t="s">
        <v>55</v>
      </c>
      <c r="V466" s="5">
        <v>22.6</v>
      </c>
      <c r="W466" s="5" t="s">
        <v>8</v>
      </c>
      <c r="X466" s="5" t="s">
        <v>8</v>
      </c>
      <c r="Y466" s="5">
        <v>3</v>
      </c>
      <c r="Z466" s="5" t="s">
        <v>67</v>
      </c>
      <c r="AA466" s="5" t="s">
        <v>123</v>
      </c>
      <c r="AB466" s="6"/>
    </row>
    <row r="467" spans="1:28" ht="16" x14ac:dyDescent="0.2">
      <c r="A467" s="4">
        <v>45867</v>
      </c>
      <c r="B467" s="19">
        <v>25210</v>
      </c>
      <c r="C467" s="5" t="s">
        <v>20</v>
      </c>
      <c r="D467" s="6"/>
      <c r="E467" s="15">
        <v>41.560650000000003</v>
      </c>
      <c r="F467" s="15">
        <v>-75.702924999999993</v>
      </c>
      <c r="G467" s="5" t="s">
        <v>185</v>
      </c>
      <c r="H467" s="5">
        <v>77.8</v>
      </c>
      <c r="I467" s="5">
        <v>76.5</v>
      </c>
      <c r="J467" s="5">
        <v>87.7</v>
      </c>
      <c r="K467" s="5">
        <v>54.2</v>
      </c>
      <c r="L467" s="10">
        <v>0.3972222222222222</v>
      </c>
      <c r="M467" s="10">
        <v>0.58194444444444449</v>
      </c>
      <c r="N467" s="11">
        <f t="shared" ref="N467:P467" si="266">AVERAGE(96,96,96,96)*1.04</f>
        <v>99.84</v>
      </c>
      <c r="O467" s="11">
        <f t="shared" si="266"/>
        <v>99.84</v>
      </c>
      <c r="P467" s="11">
        <f t="shared" si="266"/>
        <v>99.84</v>
      </c>
      <c r="Q467" s="11">
        <f t="shared" si="177"/>
        <v>99.839999999999989</v>
      </c>
      <c r="R467" s="5">
        <v>2</v>
      </c>
      <c r="S467" s="5">
        <v>1.7</v>
      </c>
      <c r="T467" s="5" t="s">
        <v>4</v>
      </c>
      <c r="U467" s="5" t="s">
        <v>55</v>
      </c>
      <c r="V467" s="5">
        <v>23.5</v>
      </c>
      <c r="W467" s="5" t="s">
        <v>8</v>
      </c>
      <c r="X467" s="5" t="s">
        <v>8</v>
      </c>
      <c r="Y467" s="5">
        <v>5</v>
      </c>
      <c r="Z467" s="5" t="s">
        <v>67</v>
      </c>
      <c r="AA467" s="5" t="s">
        <v>123</v>
      </c>
      <c r="AB467" s="6"/>
    </row>
    <row r="468" spans="1:28" ht="16" x14ac:dyDescent="0.2">
      <c r="A468" s="4">
        <v>45867</v>
      </c>
      <c r="B468" s="19">
        <v>25210</v>
      </c>
      <c r="C468" s="5" t="s">
        <v>20</v>
      </c>
      <c r="D468" s="6"/>
      <c r="E468" s="15">
        <v>41.560650000000003</v>
      </c>
      <c r="F468" s="15">
        <v>-75.702924999999993</v>
      </c>
      <c r="G468" s="5" t="s">
        <v>185</v>
      </c>
      <c r="H468" s="5">
        <v>77.8</v>
      </c>
      <c r="I468" s="5">
        <v>76.5</v>
      </c>
      <c r="J468" s="5">
        <v>87.7</v>
      </c>
      <c r="K468" s="5">
        <v>54.2</v>
      </c>
      <c r="L468" s="10">
        <v>0.3972222222222222</v>
      </c>
      <c r="M468" s="10">
        <v>0.58194444444444449</v>
      </c>
      <c r="N468" s="11">
        <f t="shared" ref="N468:P468" si="267">AVERAGE(96,96,96,96)*1.04</f>
        <v>99.84</v>
      </c>
      <c r="O468" s="11">
        <f t="shared" si="267"/>
        <v>99.84</v>
      </c>
      <c r="P468" s="11">
        <f t="shared" si="267"/>
        <v>99.84</v>
      </c>
      <c r="Q468" s="11">
        <f t="shared" si="177"/>
        <v>99.839999999999989</v>
      </c>
      <c r="R468" s="5">
        <v>2</v>
      </c>
      <c r="S468" s="5">
        <v>1.7</v>
      </c>
      <c r="T468" s="5" t="s">
        <v>4</v>
      </c>
      <c r="U468" s="5" t="s">
        <v>55</v>
      </c>
      <c r="V468" s="5">
        <v>24.4</v>
      </c>
      <c r="W468" s="5" t="s">
        <v>8</v>
      </c>
      <c r="X468" s="5" t="s">
        <v>8</v>
      </c>
      <c r="Y468" s="5">
        <v>2</v>
      </c>
      <c r="Z468" s="5" t="s">
        <v>67</v>
      </c>
      <c r="AA468" s="5" t="s">
        <v>123</v>
      </c>
      <c r="AB468" s="6"/>
    </row>
    <row r="469" spans="1:28" ht="16" x14ac:dyDescent="0.2">
      <c r="A469" s="4">
        <v>45867</v>
      </c>
      <c r="B469" s="19">
        <v>25210</v>
      </c>
      <c r="C469" s="5" t="s">
        <v>20</v>
      </c>
      <c r="D469" s="6"/>
      <c r="E469" s="15">
        <v>41.560650000000003</v>
      </c>
      <c r="F469" s="15">
        <v>-75.702924999999993</v>
      </c>
      <c r="G469" s="5" t="s">
        <v>185</v>
      </c>
      <c r="H469" s="5">
        <v>77.8</v>
      </c>
      <c r="I469" s="5">
        <v>76.5</v>
      </c>
      <c r="J469" s="5">
        <v>87.7</v>
      </c>
      <c r="K469" s="5">
        <v>54.2</v>
      </c>
      <c r="L469" s="10">
        <v>0.3972222222222222</v>
      </c>
      <c r="M469" s="10">
        <v>0.58194444444444449</v>
      </c>
      <c r="N469" s="11">
        <f t="shared" ref="N469:P469" si="268">AVERAGE(96,96,96,96)*1.04</f>
        <v>99.84</v>
      </c>
      <c r="O469" s="11">
        <f t="shared" si="268"/>
        <v>99.84</v>
      </c>
      <c r="P469" s="11">
        <f t="shared" si="268"/>
        <v>99.84</v>
      </c>
      <c r="Q469" s="11">
        <f t="shared" si="177"/>
        <v>99.839999999999989</v>
      </c>
      <c r="R469" s="5">
        <v>2</v>
      </c>
      <c r="S469" s="5">
        <v>15</v>
      </c>
      <c r="T469" s="5" t="s">
        <v>4</v>
      </c>
      <c r="U469" s="5" t="s">
        <v>55</v>
      </c>
      <c r="V469" s="5">
        <v>22.6</v>
      </c>
      <c r="W469" s="5" t="s">
        <v>8</v>
      </c>
      <c r="X469" s="5" t="s">
        <v>8</v>
      </c>
      <c r="Y469" s="5">
        <v>5</v>
      </c>
      <c r="Z469" s="5" t="s">
        <v>9</v>
      </c>
      <c r="AA469" s="5" t="s">
        <v>123</v>
      </c>
      <c r="AB469" s="6"/>
    </row>
    <row r="470" spans="1:28" ht="16" x14ac:dyDescent="0.2">
      <c r="A470" s="4">
        <v>45867</v>
      </c>
      <c r="B470" s="19">
        <v>25210</v>
      </c>
      <c r="C470" s="5" t="s">
        <v>20</v>
      </c>
      <c r="D470" s="6"/>
      <c r="E470" s="15">
        <v>41.560650000000003</v>
      </c>
      <c r="F470" s="15">
        <v>-75.702924999999993</v>
      </c>
      <c r="G470" s="5" t="s">
        <v>185</v>
      </c>
      <c r="H470" s="5">
        <v>77.8</v>
      </c>
      <c r="I470" s="5">
        <v>76.5</v>
      </c>
      <c r="J470" s="5">
        <v>87.7</v>
      </c>
      <c r="K470" s="5">
        <v>54.2</v>
      </c>
      <c r="L470" s="10">
        <v>0.3972222222222222</v>
      </c>
      <c r="M470" s="10">
        <v>0.58194444444444449</v>
      </c>
      <c r="N470" s="11">
        <f t="shared" ref="N470:P470" si="269">AVERAGE(96,96,96,96)*1.04</f>
        <v>99.84</v>
      </c>
      <c r="O470" s="11">
        <f t="shared" si="269"/>
        <v>99.84</v>
      </c>
      <c r="P470" s="11">
        <f t="shared" si="269"/>
        <v>99.84</v>
      </c>
      <c r="Q470" s="11">
        <f t="shared" si="177"/>
        <v>99.839999999999989</v>
      </c>
      <c r="R470" s="5">
        <v>2</v>
      </c>
      <c r="S470" s="5">
        <v>19.7</v>
      </c>
      <c r="T470" s="5" t="s">
        <v>4</v>
      </c>
      <c r="U470" s="5" t="s">
        <v>187</v>
      </c>
      <c r="V470" s="5">
        <v>23.2</v>
      </c>
      <c r="W470" s="5" t="s">
        <v>8</v>
      </c>
      <c r="X470" s="5" t="s">
        <v>8</v>
      </c>
      <c r="Y470" s="5">
        <v>2</v>
      </c>
      <c r="Z470" s="5" t="s">
        <v>9</v>
      </c>
      <c r="AA470" s="5" t="s">
        <v>123</v>
      </c>
      <c r="AB470" s="6"/>
    </row>
    <row r="471" spans="1:28" ht="16" x14ac:dyDescent="0.2">
      <c r="A471" s="4">
        <v>45867</v>
      </c>
      <c r="B471" s="19">
        <v>25210</v>
      </c>
      <c r="C471" s="5" t="s">
        <v>20</v>
      </c>
      <c r="D471" s="6"/>
      <c r="E471" s="15">
        <v>41.560650000000003</v>
      </c>
      <c r="F471" s="15">
        <v>-75.702924999999993</v>
      </c>
      <c r="G471" s="5" t="s">
        <v>185</v>
      </c>
      <c r="H471" s="5">
        <v>77.8</v>
      </c>
      <c r="I471" s="5">
        <v>76.5</v>
      </c>
      <c r="J471" s="5">
        <v>87.7</v>
      </c>
      <c r="K471" s="5">
        <v>54.2</v>
      </c>
      <c r="L471" s="10">
        <v>0.3972222222222222</v>
      </c>
      <c r="M471" s="10">
        <v>0.58194444444444449</v>
      </c>
      <c r="N471" s="11">
        <f t="shared" ref="N471:P471" si="270">AVERAGE(96,96,96,96)*1.04</f>
        <v>99.84</v>
      </c>
      <c r="O471" s="11">
        <f t="shared" si="270"/>
        <v>99.84</v>
      </c>
      <c r="P471" s="11">
        <f t="shared" si="270"/>
        <v>99.84</v>
      </c>
      <c r="Q471" s="11">
        <f t="shared" si="177"/>
        <v>99.839999999999989</v>
      </c>
      <c r="R471" s="5">
        <v>2</v>
      </c>
      <c r="S471" s="5">
        <v>19.7</v>
      </c>
      <c r="T471" s="5" t="s">
        <v>4</v>
      </c>
      <c r="U471" s="5" t="s">
        <v>56</v>
      </c>
      <c r="V471" s="5">
        <v>22.9</v>
      </c>
      <c r="W471" s="5" t="s">
        <v>8</v>
      </c>
      <c r="X471" s="5" t="s">
        <v>8</v>
      </c>
      <c r="Y471" s="5">
        <v>2</v>
      </c>
      <c r="Z471" s="5" t="s">
        <v>9</v>
      </c>
      <c r="AA471" s="5" t="s">
        <v>123</v>
      </c>
      <c r="AB471" s="6"/>
    </row>
    <row r="472" spans="1:28" ht="16" x14ac:dyDescent="0.2">
      <c r="A472" s="4">
        <v>45867</v>
      </c>
      <c r="B472" s="19">
        <v>25210</v>
      </c>
      <c r="C472" s="5" t="s">
        <v>20</v>
      </c>
      <c r="D472" s="6"/>
      <c r="E472" s="15">
        <v>41.560650000000003</v>
      </c>
      <c r="F472" s="15">
        <v>-75.702924999999993</v>
      </c>
      <c r="G472" s="5" t="s">
        <v>185</v>
      </c>
      <c r="H472" s="5">
        <v>77.8</v>
      </c>
      <c r="I472" s="5">
        <v>76.5</v>
      </c>
      <c r="J472" s="5">
        <v>87.7</v>
      </c>
      <c r="K472" s="5">
        <v>54.2</v>
      </c>
      <c r="L472" s="10">
        <v>0.3972222222222222</v>
      </c>
      <c r="M472" s="10">
        <v>0.58194444444444449</v>
      </c>
      <c r="N472" s="11">
        <f t="shared" ref="N472:P472" si="271">AVERAGE(96,96,96,96)*1.04</f>
        <v>99.84</v>
      </c>
      <c r="O472" s="11">
        <f t="shared" si="271"/>
        <v>99.84</v>
      </c>
      <c r="P472" s="11">
        <f t="shared" si="271"/>
        <v>99.84</v>
      </c>
      <c r="Q472" s="11">
        <f t="shared" si="177"/>
        <v>99.839999999999989</v>
      </c>
      <c r="R472" s="5">
        <v>2</v>
      </c>
      <c r="S472" s="5">
        <v>11</v>
      </c>
      <c r="T472" s="5" t="s">
        <v>4</v>
      </c>
      <c r="U472" s="5" t="s">
        <v>55</v>
      </c>
      <c r="V472" s="5">
        <v>22.5</v>
      </c>
      <c r="W472" s="5" t="s">
        <v>8</v>
      </c>
      <c r="X472" s="5" t="s">
        <v>8</v>
      </c>
      <c r="Y472" s="5">
        <v>2</v>
      </c>
      <c r="Z472" s="5" t="s">
        <v>9</v>
      </c>
      <c r="AA472" s="5" t="s">
        <v>123</v>
      </c>
      <c r="AB472" s="6"/>
    </row>
    <row r="473" spans="1:28" ht="16" x14ac:dyDescent="0.2">
      <c r="A473" s="4">
        <v>45867</v>
      </c>
      <c r="B473" s="19">
        <v>25210</v>
      </c>
      <c r="C473" s="5" t="s">
        <v>20</v>
      </c>
      <c r="D473" s="6"/>
      <c r="E473" s="15">
        <v>41.560650000000003</v>
      </c>
      <c r="F473" s="15">
        <v>-75.702924999999993</v>
      </c>
      <c r="G473" s="5" t="s">
        <v>185</v>
      </c>
      <c r="H473" s="5">
        <v>77.8</v>
      </c>
      <c r="I473" s="5">
        <v>76.5</v>
      </c>
      <c r="J473" s="5">
        <v>87.7</v>
      </c>
      <c r="K473" s="5">
        <v>54.2</v>
      </c>
      <c r="L473" s="10">
        <v>0.3972222222222222</v>
      </c>
      <c r="M473" s="10">
        <v>0.58194444444444449</v>
      </c>
      <c r="N473" s="11">
        <f t="shared" ref="N473:P473" si="272">AVERAGE(96,96,96,96)*1.04</f>
        <v>99.84</v>
      </c>
      <c r="O473" s="11">
        <f t="shared" si="272"/>
        <v>99.84</v>
      </c>
      <c r="P473" s="11">
        <f t="shared" si="272"/>
        <v>99.84</v>
      </c>
      <c r="Q473" s="11">
        <f t="shared" si="177"/>
        <v>99.839999999999989</v>
      </c>
      <c r="R473" s="5">
        <v>2</v>
      </c>
      <c r="S473" s="5">
        <v>24.8</v>
      </c>
      <c r="T473" s="5" t="s">
        <v>4</v>
      </c>
      <c r="U473" s="5" t="s">
        <v>55</v>
      </c>
      <c r="V473" s="5">
        <v>23.1</v>
      </c>
      <c r="W473" s="5" t="s">
        <v>8</v>
      </c>
      <c r="X473" s="5" t="s">
        <v>8</v>
      </c>
      <c r="Y473" s="5">
        <v>3</v>
      </c>
      <c r="Z473" s="5" t="s">
        <v>4</v>
      </c>
      <c r="AA473" s="5" t="s">
        <v>123</v>
      </c>
      <c r="AB473" s="6"/>
    </row>
    <row r="474" spans="1:28" ht="16" x14ac:dyDescent="0.2">
      <c r="A474" s="4">
        <v>45867</v>
      </c>
      <c r="B474" s="19">
        <v>25210</v>
      </c>
      <c r="C474" s="5" t="s">
        <v>20</v>
      </c>
      <c r="D474" s="6"/>
      <c r="E474" s="15">
        <v>41.560650000000003</v>
      </c>
      <c r="F474" s="15">
        <v>-75.702924999999993</v>
      </c>
      <c r="G474" s="5" t="s">
        <v>185</v>
      </c>
      <c r="H474" s="5">
        <v>77.8</v>
      </c>
      <c r="I474" s="5">
        <v>76.5</v>
      </c>
      <c r="J474" s="5">
        <v>87.7</v>
      </c>
      <c r="K474" s="5">
        <v>54.2</v>
      </c>
      <c r="L474" s="10">
        <v>0.3972222222222222</v>
      </c>
      <c r="M474" s="10">
        <v>0.58194444444444449</v>
      </c>
      <c r="N474" s="11">
        <f t="shared" ref="N474:P474" si="273">AVERAGE(96,96,96,96)*1.04</f>
        <v>99.84</v>
      </c>
      <c r="O474" s="11">
        <f t="shared" si="273"/>
        <v>99.84</v>
      </c>
      <c r="P474" s="11">
        <f t="shared" si="273"/>
        <v>99.84</v>
      </c>
      <c r="Q474" s="11">
        <f t="shared" si="177"/>
        <v>99.839999999999989</v>
      </c>
      <c r="R474" s="5">
        <v>2</v>
      </c>
      <c r="S474" s="5">
        <v>12.4</v>
      </c>
      <c r="T474" s="5" t="s">
        <v>4</v>
      </c>
      <c r="U474" s="5" t="s">
        <v>187</v>
      </c>
      <c r="V474" s="5">
        <v>23.3</v>
      </c>
      <c r="W474" s="5" t="s">
        <v>8</v>
      </c>
      <c r="X474" s="5" t="s">
        <v>8</v>
      </c>
      <c r="Y474" s="5">
        <v>3.5</v>
      </c>
      <c r="Z474" s="5" t="s">
        <v>9</v>
      </c>
      <c r="AA474" s="5" t="s">
        <v>123</v>
      </c>
      <c r="AB474" s="6"/>
    </row>
    <row r="475" spans="1:28" ht="16" x14ac:dyDescent="0.2">
      <c r="A475" s="4">
        <v>45867</v>
      </c>
      <c r="B475" s="19">
        <v>25210</v>
      </c>
      <c r="C475" s="5" t="s">
        <v>20</v>
      </c>
      <c r="D475" s="6"/>
      <c r="E475" s="15">
        <v>41.560650000000003</v>
      </c>
      <c r="F475" s="15">
        <v>-75.702924999999993</v>
      </c>
      <c r="G475" s="5" t="s">
        <v>185</v>
      </c>
      <c r="H475" s="5">
        <v>77.8</v>
      </c>
      <c r="I475" s="5">
        <v>76.5</v>
      </c>
      <c r="J475" s="5">
        <v>87.7</v>
      </c>
      <c r="K475" s="5">
        <v>54.2</v>
      </c>
      <c r="L475" s="10">
        <v>0.3972222222222222</v>
      </c>
      <c r="M475" s="10">
        <v>0.58194444444444449</v>
      </c>
      <c r="N475" s="11">
        <f t="shared" ref="N475:P475" si="274">AVERAGE(96,96,96,96)*1.04</f>
        <v>99.84</v>
      </c>
      <c r="O475" s="11">
        <f t="shared" si="274"/>
        <v>99.84</v>
      </c>
      <c r="P475" s="11">
        <f t="shared" si="274"/>
        <v>99.84</v>
      </c>
      <c r="Q475" s="11">
        <f t="shared" si="177"/>
        <v>99.839999999999989</v>
      </c>
      <c r="R475" s="5">
        <v>2</v>
      </c>
      <c r="S475" s="5">
        <v>30</v>
      </c>
      <c r="T475" s="5" t="s">
        <v>4</v>
      </c>
      <c r="U475" s="5" t="s">
        <v>55</v>
      </c>
      <c r="V475" s="5">
        <v>24</v>
      </c>
      <c r="W475" s="5" t="s">
        <v>8</v>
      </c>
      <c r="X475" s="5" t="s">
        <v>8</v>
      </c>
      <c r="Y475" s="5">
        <v>2</v>
      </c>
      <c r="Z475" s="5" t="s">
        <v>67</v>
      </c>
      <c r="AA475" s="5" t="s">
        <v>123</v>
      </c>
      <c r="AB475" s="6"/>
    </row>
    <row r="476" spans="1:28" ht="16" x14ac:dyDescent="0.2">
      <c r="A476" s="4">
        <v>45867</v>
      </c>
      <c r="B476" s="19">
        <v>25210</v>
      </c>
      <c r="C476" s="5" t="s">
        <v>20</v>
      </c>
      <c r="D476" s="6"/>
      <c r="E476" s="15">
        <v>41.560650000000003</v>
      </c>
      <c r="F476" s="15">
        <v>-75.702924999999993</v>
      </c>
      <c r="G476" s="5" t="s">
        <v>185</v>
      </c>
      <c r="H476" s="5">
        <v>77.8</v>
      </c>
      <c r="I476" s="5">
        <v>76.5</v>
      </c>
      <c r="J476" s="5">
        <v>87.7</v>
      </c>
      <c r="K476" s="5">
        <v>54.2</v>
      </c>
      <c r="L476" s="10">
        <v>0.3972222222222222</v>
      </c>
      <c r="M476" s="10">
        <v>0.58194444444444449</v>
      </c>
      <c r="N476" s="11">
        <f t="shared" ref="N476:P476" si="275">AVERAGE(96,96,96,96)*1.04</f>
        <v>99.84</v>
      </c>
      <c r="O476" s="11">
        <f t="shared" si="275"/>
        <v>99.84</v>
      </c>
      <c r="P476" s="11">
        <f t="shared" si="275"/>
        <v>99.84</v>
      </c>
      <c r="Q476" s="11">
        <f t="shared" si="177"/>
        <v>99.839999999999989</v>
      </c>
      <c r="R476" s="5">
        <v>3</v>
      </c>
      <c r="S476" s="5">
        <v>2</v>
      </c>
      <c r="T476" s="5" t="s">
        <v>9</v>
      </c>
      <c r="U476" s="5" t="s">
        <v>62</v>
      </c>
      <c r="V476" s="5">
        <v>23</v>
      </c>
      <c r="W476" s="5" t="s">
        <v>8</v>
      </c>
      <c r="X476" s="5" t="s">
        <v>8</v>
      </c>
      <c r="Y476" s="5">
        <v>1.5</v>
      </c>
      <c r="Z476" s="5" t="s">
        <v>67</v>
      </c>
      <c r="AA476" s="5" t="s">
        <v>123</v>
      </c>
      <c r="AB476" s="6"/>
    </row>
    <row r="477" spans="1:28" ht="16" x14ac:dyDescent="0.2">
      <c r="A477" s="4">
        <v>45867</v>
      </c>
      <c r="B477" s="19">
        <v>25210</v>
      </c>
      <c r="C477" s="5" t="s">
        <v>20</v>
      </c>
      <c r="D477" s="6"/>
      <c r="E477" s="15">
        <v>41.560650000000003</v>
      </c>
      <c r="F477" s="15">
        <v>-75.702924999999993</v>
      </c>
      <c r="G477" s="5" t="s">
        <v>185</v>
      </c>
      <c r="H477" s="5">
        <v>77.8</v>
      </c>
      <c r="I477" s="5">
        <v>76.5</v>
      </c>
      <c r="J477" s="5">
        <v>87.7</v>
      </c>
      <c r="K477" s="5">
        <v>54.2</v>
      </c>
      <c r="L477" s="10">
        <v>0.3972222222222222</v>
      </c>
      <c r="M477" s="10">
        <v>0.58194444444444449</v>
      </c>
      <c r="N477" s="11">
        <f t="shared" ref="N477:P477" si="276">AVERAGE(96,96,96,96)*1.04</f>
        <v>99.84</v>
      </c>
      <c r="O477" s="11">
        <f t="shared" si="276"/>
        <v>99.84</v>
      </c>
      <c r="P477" s="11">
        <f t="shared" si="276"/>
        <v>99.84</v>
      </c>
      <c r="Q477" s="11">
        <f t="shared" si="177"/>
        <v>99.839999999999989</v>
      </c>
      <c r="R477" s="5">
        <v>3</v>
      </c>
      <c r="S477" s="5">
        <v>14.4</v>
      </c>
      <c r="T477" s="5" t="s">
        <v>9</v>
      </c>
      <c r="U477" s="5" t="s">
        <v>55</v>
      </c>
      <c r="V477" s="5">
        <v>24.4</v>
      </c>
      <c r="W477" s="5" t="s">
        <v>8</v>
      </c>
      <c r="X477" s="5" t="s">
        <v>8</v>
      </c>
      <c r="Y477" s="5">
        <v>3</v>
      </c>
      <c r="Z477" s="5" t="s">
        <v>167</v>
      </c>
      <c r="AA477" s="5" t="s">
        <v>123</v>
      </c>
      <c r="AB477" s="6"/>
    </row>
    <row r="478" spans="1:28" ht="16" x14ac:dyDescent="0.2">
      <c r="A478" s="4">
        <v>45867</v>
      </c>
      <c r="B478" s="19">
        <v>25210</v>
      </c>
      <c r="C478" s="5" t="s">
        <v>20</v>
      </c>
      <c r="D478" s="6"/>
      <c r="E478" s="15">
        <v>41.560650000000003</v>
      </c>
      <c r="F478" s="15">
        <v>-75.702924999999993</v>
      </c>
      <c r="G478" s="5" t="s">
        <v>185</v>
      </c>
      <c r="H478" s="5">
        <v>77.8</v>
      </c>
      <c r="I478" s="5">
        <v>76.5</v>
      </c>
      <c r="J478" s="5">
        <v>87.7</v>
      </c>
      <c r="K478" s="5">
        <v>54.2</v>
      </c>
      <c r="L478" s="10">
        <v>0.3972222222222222</v>
      </c>
      <c r="M478" s="10">
        <v>0.58194444444444449</v>
      </c>
      <c r="N478" s="11">
        <f t="shared" ref="N478:P478" si="277">AVERAGE(96,96,96,96)*1.04</f>
        <v>99.84</v>
      </c>
      <c r="O478" s="11">
        <f t="shared" si="277"/>
        <v>99.84</v>
      </c>
      <c r="P478" s="11">
        <f t="shared" si="277"/>
        <v>99.84</v>
      </c>
      <c r="Q478" s="11">
        <f t="shared" si="177"/>
        <v>99.839999999999989</v>
      </c>
      <c r="R478" s="5">
        <v>3</v>
      </c>
      <c r="S478" s="5">
        <v>24.7</v>
      </c>
      <c r="T478" s="5" t="s">
        <v>9</v>
      </c>
      <c r="U478" s="5" t="s">
        <v>55</v>
      </c>
      <c r="V478" s="5">
        <v>24.6</v>
      </c>
      <c r="W478" s="5" t="s">
        <v>8</v>
      </c>
      <c r="X478" s="5" t="s">
        <v>8</v>
      </c>
      <c r="Y478" s="5">
        <v>1.5</v>
      </c>
      <c r="Z478" s="5" t="s">
        <v>167</v>
      </c>
      <c r="AA478" s="5" t="s">
        <v>123</v>
      </c>
      <c r="AB478" s="6"/>
    </row>
    <row r="479" spans="1:28" ht="16" x14ac:dyDescent="0.2">
      <c r="A479" s="4">
        <v>45867</v>
      </c>
      <c r="B479" s="19">
        <v>25210</v>
      </c>
      <c r="C479" s="5" t="s">
        <v>20</v>
      </c>
      <c r="D479" s="6"/>
      <c r="E479" s="15">
        <v>41.560650000000003</v>
      </c>
      <c r="F479" s="15">
        <v>-75.702924999999993</v>
      </c>
      <c r="G479" s="5" t="s">
        <v>185</v>
      </c>
      <c r="H479" s="5">
        <v>77.8</v>
      </c>
      <c r="I479" s="5">
        <v>76.5</v>
      </c>
      <c r="J479" s="5">
        <v>87.7</v>
      </c>
      <c r="K479" s="5">
        <v>54.2</v>
      </c>
      <c r="L479" s="10">
        <v>0.3972222222222222</v>
      </c>
      <c r="M479" s="10">
        <v>0.58194444444444449</v>
      </c>
      <c r="N479" s="11">
        <f t="shared" ref="N479:P479" si="278">AVERAGE(96,96,96,96)*1.04</f>
        <v>99.84</v>
      </c>
      <c r="O479" s="11">
        <f t="shared" si="278"/>
        <v>99.84</v>
      </c>
      <c r="P479" s="11">
        <f t="shared" si="278"/>
        <v>99.84</v>
      </c>
      <c r="Q479" s="11">
        <f t="shared" si="177"/>
        <v>99.839999999999989</v>
      </c>
      <c r="R479" s="5">
        <v>3</v>
      </c>
      <c r="S479" s="5">
        <v>2</v>
      </c>
      <c r="T479" s="5" t="s">
        <v>4</v>
      </c>
      <c r="U479" s="5" t="s">
        <v>55</v>
      </c>
      <c r="V479" s="5">
        <v>23.4</v>
      </c>
      <c r="W479" s="5" t="s">
        <v>8</v>
      </c>
      <c r="X479" s="5" t="s">
        <v>8</v>
      </c>
      <c r="Y479" s="5">
        <v>2</v>
      </c>
      <c r="Z479" s="5" t="s">
        <v>9</v>
      </c>
      <c r="AA479" s="5" t="s">
        <v>123</v>
      </c>
      <c r="AB479" s="6"/>
    </row>
    <row r="480" spans="1:28" ht="16" x14ac:dyDescent="0.2">
      <c r="A480" s="4">
        <v>45867</v>
      </c>
      <c r="B480" s="19">
        <v>25210</v>
      </c>
      <c r="C480" s="5" t="s">
        <v>20</v>
      </c>
      <c r="D480" s="6"/>
      <c r="E480" s="15">
        <v>41.560650000000003</v>
      </c>
      <c r="F480" s="15">
        <v>-75.702924999999993</v>
      </c>
      <c r="G480" s="5" t="s">
        <v>185</v>
      </c>
      <c r="H480" s="5">
        <v>77.8</v>
      </c>
      <c r="I480" s="5">
        <v>76.5</v>
      </c>
      <c r="J480" s="5">
        <v>87.7</v>
      </c>
      <c r="K480" s="5">
        <v>54.2</v>
      </c>
      <c r="L480" s="10">
        <v>0.3972222222222222</v>
      </c>
      <c r="M480" s="10">
        <v>0.58194444444444449</v>
      </c>
      <c r="N480" s="11">
        <f t="shared" ref="N480:P480" si="279">AVERAGE(96,96,96,96)*1.04</f>
        <v>99.84</v>
      </c>
      <c r="O480" s="11">
        <f t="shared" si="279"/>
        <v>99.84</v>
      </c>
      <c r="P480" s="11">
        <f t="shared" si="279"/>
        <v>99.84</v>
      </c>
      <c r="Q480" s="11">
        <f t="shared" si="177"/>
        <v>99.839999999999989</v>
      </c>
      <c r="R480" s="5">
        <v>3</v>
      </c>
      <c r="S480" s="5">
        <v>3.9</v>
      </c>
      <c r="T480" s="5" t="s">
        <v>4</v>
      </c>
      <c r="U480" s="5" t="s">
        <v>55</v>
      </c>
      <c r="V480" s="5">
        <v>22.9</v>
      </c>
      <c r="W480" s="5" t="s">
        <v>8</v>
      </c>
      <c r="X480" s="5" t="s">
        <v>8</v>
      </c>
      <c r="Y480" s="5">
        <v>3.5</v>
      </c>
      <c r="Z480" s="5" t="s">
        <v>167</v>
      </c>
      <c r="AA480" s="5" t="s">
        <v>188</v>
      </c>
      <c r="AB480" s="6"/>
    </row>
    <row r="481" spans="1:28" ht="16" x14ac:dyDescent="0.2">
      <c r="A481" s="4">
        <v>45867</v>
      </c>
      <c r="B481" s="19">
        <v>25210</v>
      </c>
      <c r="C481" s="5" t="s">
        <v>20</v>
      </c>
      <c r="D481" s="6"/>
      <c r="E481" s="15">
        <v>41.560650000000003</v>
      </c>
      <c r="F481" s="15">
        <v>-75.702924999999993</v>
      </c>
      <c r="G481" s="5" t="s">
        <v>185</v>
      </c>
      <c r="H481" s="5">
        <v>77.8</v>
      </c>
      <c r="I481" s="5">
        <v>76.5</v>
      </c>
      <c r="J481" s="5">
        <v>87.7</v>
      </c>
      <c r="K481" s="5">
        <v>54.2</v>
      </c>
      <c r="L481" s="10">
        <v>0.3972222222222222</v>
      </c>
      <c r="M481" s="10">
        <v>0.58194444444444449</v>
      </c>
      <c r="N481" s="11">
        <f t="shared" ref="N481:P481" si="280">AVERAGE(96,96,96,96)*1.04</f>
        <v>99.84</v>
      </c>
      <c r="O481" s="11">
        <f t="shared" si="280"/>
        <v>99.84</v>
      </c>
      <c r="P481" s="11">
        <f t="shared" si="280"/>
        <v>99.84</v>
      </c>
      <c r="Q481" s="11">
        <f t="shared" si="177"/>
        <v>99.839999999999989</v>
      </c>
      <c r="R481" s="5">
        <v>3</v>
      </c>
      <c r="S481" s="5">
        <v>9.1999999999999993</v>
      </c>
      <c r="T481" s="5" t="s">
        <v>4</v>
      </c>
      <c r="U481" s="5" t="s">
        <v>55</v>
      </c>
      <c r="V481" s="5" t="s">
        <v>8</v>
      </c>
      <c r="W481" s="5" t="s">
        <v>8</v>
      </c>
      <c r="X481" s="5" t="s">
        <v>8</v>
      </c>
      <c r="Y481" s="5" t="s">
        <v>8</v>
      </c>
      <c r="Z481" s="5" t="s">
        <v>108</v>
      </c>
      <c r="AA481" s="6"/>
      <c r="AB481" s="6"/>
    </row>
    <row r="482" spans="1:28" ht="16" x14ac:dyDescent="0.2">
      <c r="A482" s="4">
        <v>45867</v>
      </c>
      <c r="B482" s="19">
        <v>25210</v>
      </c>
      <c r="C482" s="5" t="s">
        <v>20</v>
      </c>
      <c r="D482" s="6"/>
      <c r="E482" s="15">
        <v>41.560650000000003</v>
      </c>
      <c r="F482" s="15">
        <v>-75.702924999999993</v>
      </c>
      <c r="G482" s="5" t="s">
        <v>185</v>
      </c>
      <c r="H482" s="5">
        <v>77.8</v>
      </c>
      <c r="I482" s="5">
        <v>76.5</v>
      </c>
      <c r="J482" s="5">
        <v>87.7</v>
      </c>
      <c r="K482" s="5">
        <v>54.2</v>
      </c>
      <c r="L482" s="10">
        <v>0.3972222222222222</v>
      </c>
      <c r="M482" s="10">
        <v>0.58194444444444449</v>
      </c>
      <c r="N482" s="11">
        <f t="shared" ref="N482:P482" si="281">AVERAGE(96,96,96,96)*1.04</f>
        <v>99.84</v>
      </c>
      <c r="O482" s="11">
        <f t="shared" si="281"/>
        <v>99.84</v>
      </c>
      <c r="P482" s="11">
        <f t="shared" si="281"/>
        <v>99.84</v>
      </c>
      <c r="Q482" s="11">
        <f t="shared" si="177"/>
        <v>99.839999999999989</v>
      </c>
      <c r="R482" s="5">
        <v>3</v>
      </c>
      <c r="S482" s="5">
        <v>24.3</v>
      </c>
      <c r="T482" s="5" t="s">
        <v>4</v>
      </c>
      <c r="U482" s="5" t="s">
        <v>55</v>
      </c>
      <c r="V482" s="5" t="s">
        <v>8</v>
      </c>
      <c r="W482" s="5" t="s">
        <v>8</v>
      </c>
      <c r="X482" s="5" t="s">
        <v>8</v>
      </c>
      <c r="Y482" s="5" t="s">
        <v>8</v>
      </c>
      <c r="Z482" s="5" t="s">
        <v>8</v>
      </c>
      <c r="AA482" s="6"/>
      <c r="AB482" s="6"/>
    </row>
    <row r="483" spans="1:28" ht="16" x14ac:dyDescent="0.2">
      <c r="A483" s="4">
        <v>45868</v>
      </c>
      <c r="B483" s="19">
        <v>25211</v>
      </c>
      <c r="C483" s="5" t="s">
        <v>24</v>
      </c>
      <c r="D483" s="5" t="s">
        <v>189</v>
      </c>
      <c r="E483" s="15">
        <v>41.783336111099999</v>
      </c>
      <c r="F483" s="15">
        <v>-75.258616666699993</v>
      </c>
      <c r="G483" s="5" t="s">
        <v>96</v>
      </c>
      <c r="H483" s="5">
        <v>74.2</v>
      </c>
      <c r="I483" s="5">
        <v>84.5</v>
      </c>
      <c r="J483" s="5">
        <v>78.400000000000006</v>
      </c>
      <c r="K483" s="5">
        <v>73.099999999999994</v>
      </c>
      <c r="L483" s="10">
        <v>0.38611111111111113</v>
      </c>
      <c r="M483" s="10">
        <v>0.46250000000000002</v>
      </c>
      <c r="N483" s="11">
        <f t="shared" ref="N483:P483" si="282">AVERAGE(96,96,96,96)*1.04</f>
        <v>99.84</v>
      </c>
      <c r="O483" s="11">
        <f t="shared" si="282"/>
        <v>99.84</v>
      </c>
      <c r="P483" s="11">
        <f t="shared" si="282"/>
        <v>99.84</v>
      </c>
      <c r="Q483" s="11">
        <f t="shared" si="177"/>
        <v>99.839999999999989</v>
      </c>
      <c r="R483" s="5">
        <v>1</v>
      </c>
      <c r="S483" s="5">
        <v>1.4</v>
      </c>
      <c r="T483" s="5" t="s">
        <v>9</v>
      </c>
      <c r="U483" s="5" t="s">
        <v>55</v>
      </c>
      <c r="V483" s="5">
        <v>22.3</v>
      </c>
      <c r="W483" s="5">
        <v>5.7</v>
      </c>
      <c r="X483" s="5">
        <v>66</v>
      </c>
      <c r="Y483" s="5">
        <v>3</v>
      </c>
      <c r="Z483" s="5" t="s">
        <v>9</v>
      </c>
      <c r="AA483" s="5" t="s">
        <v>190</v>
      </c>
      <c r="AB483" s="6"/>
    </row>
    <row r="484" spans="1:28" ht="16" x14ac:dyDescent="0.2">
      <c r="A484" s="4">
        <v>45868</v>
      </c>
      <c r="B484" s="19">
        <v>25211</v>
      </c>
      <c r="C484" s="5" t="s">
        <v>24</v>
      </c>
      <c r="D484" s="6"/>
      <c r="E484" s="15">
        <v>41.783336111099999</v>
      </c>
      <c r="F484" s="15">
        <v>-75.258616666699993</v>
      </c>
      <c r="G484" s="5" t="s">
        <v>96</v>
      </c>
      <c r="H484" s="5">
        <v>74.2</v>
      </c>
      <c r="I484" s="5">
        <v>84.5</v>
      </c>
      <c r="J484" s="5">
        <v>78.400000000000006</v>
      </c>
      <c r="K484" s="5">
        <v>73.099999999999994</v>
      </c>
      <c r="L484" s="10">
        <v>0.38611111111111113</v>
      </c>
      <c r="M484" s="10">
        <v>0.46250000000000002</v>
      </c>
      <c r="N484" s="11">
        <f t="shared" ref="N484:P484" si="283">AVERAGE(96,96,96,96)*1.04</f>
        <v>99.84</v>
      </c>
      <c r="O484" s="11">
        <f t="shared" si="283"/>
        <v>99.84</v>
      </c>
      <c r="P484" s="11">
        <f t="shared" si="283"/>
        <v>99.84</v>
      </c>
      <c r="Q484" s="11">
        <f t="shared" si="177"/>
        <v>99.839999999999989</v>
      </c>
      <c r="R484" s="5">
        <v>1</v>
      </c>
      <c r="S484" s="5">
        <v>13.35</v>
      </c>
      <c r="T484" s="5" t="s">
        <v>9</v>
      </c>
      <c r="U484" s="5" t="s">
        <v>55</v>
      </c>
      <c r="V484" s="5">
        <v>21.9</v>
      </c>
      <c r="W484" s="5">
        <v>5.5</v>
      </c>
      <c r="X484" s="5">
        <v>55</v>
      </c>
      <c r="Y484" s="5">
        <v>5.2</v>
      </c>
      <c r="Z484" s="5" t="s">
        <v>9</v>
      </c>
      <c r="AA484" s="5" t="s">
        <v>149</v>
      </c>
      <c r="AB484" s="6"/>
    </row>
    <row r="485" spans="1:28" ht="16" x14ac:dyDescent="0.2">
      <c r="A485" s="4">
        <v>45868</v>
      </c>
      <c r="B485" s="19">
        <v>25211</v>
      </c>
      <c r="C485" s="5" t="s">
        <v>24</v>
      </c>
      <c r="D485" s="6"/>
      <c r="E485" s="15">
        <v>41.783336111099999</v>
      </c>
      <c r="F485" s="15">
        <v>-75.258616666699993</v>
      </c>
      <c r="G485" s="5" t="s">
        <v>96</v>
      </c>
      <c r="H485" s="5">
        <v>74.2</v>
      </c>
      <c r="I485" s="5">
        <v>84.5</v>
      </c>
      <c r="J485" s="5">
        <v>78.400000000000006</v>
      </c>
      <c r="K485" s="5">
        <v>73.099999999999994</v>
      </c>
      <c r="L485" s="10">
        <v>0.38611111111111113</v>
      </c>
      <c r="M485" s="10">
        <v>0.46250000000000002</v>
      </c>
      <c r="N485" s="11">
        <f t="shared" ref="N485:P485" si="284">AVERAGE(96,96,96,96)*1.04</f>
        <v>99.84</v>
      </c>
      <c r="O485" s="11">
        <f t="shared" si="284"/>
        <v>99.84</v>
      </c>
      <c r="P485" s="11">
        <f t="shared" si="284"/>
        <v>99.84</v>
      </c>
      <c r="Q485" s="11">
        <f t="shared" si="177"/>
        <v>99.839999999999989</v>
      </c>
      <c r="R485" s="5">
        <v>1</v>
      </c>
      <c r="S485" s="5">
        <v>29</v>
      </c>
      <c r="T485" s="5" t="s">
        <v>9</v>
      </c>
      <c r="U485" s="5" t="s">
        <v>62</v>
      </c>
      <c r="V485" s="5">
        <v>21</v>
      </c>
      <c r="W485" s="5" t="s">
        <v>8</v>
      </c>
      <c r="X485" s="5" t="s">
        <v>8</v>
      </c>
      <c r="Y485" s="5">
        <v>1.5</v>
      </c>
      <c r="Z485" s="5" t="s">
        <v>9</v>
      </c>
      <c r="AA485" s="5" t="s">
        <v>174</v>
      </c>
      <c r="AB485" s="6"/>
    </row>
    <row r="486" spans="1:28" ht="16" x14ac:dyDescent="0.2">
      <c r="A486" s="4">
        <v>45868</v>
      </c>
      <c r="B486" s="19">
        <v>25211</v>
      </c>
      <c r="C486" s="5" t="s">
        <v>24</v>
      </c>
      <c r="D486" s="6"/>
      <c r="E486" s="15">
        <v>41.783336111099999</v>
      </c>
      <c r="F486" s="15">
        <v>-75.258616666699993</v>
      </c>
      <c r="G486" s="5" t="s">
        <v>96</v>
      </c>
      <c r="H486" s="5">
        <v>74.2</v>
      </c>
      <c r="I486" s="5">
        <v>84.5</v>
      </c>
      <c r="J486" s="5">
        <v>78.400000000000006</v>
      </c>
      <c r="K486" s="5">
        <v>73.099999999999994</v>
      </c>
      <c r="L486" s="10">
        <v>0.38611111111111113</v>
      </c>
      <c r="M486" s="10">
        <v>0.46250000000000002</v>
      </c>
      <c r="N486" s="11">
        <f t="shared" ref="N486:P486" si="285">AVERAGE(96,96,96,96)*1.04</f>
        <v>99.84</v>
      </c>
      <c r="O486" s="11">
        <f t="shared" si="285"/>
        <v>99.84</v>
      </c>
      <c r="P486" s="11">
        <f t="shared" si="285"/>
        <v>99.84</v>
      </c>
      <c r="Q486" s="11">
        <f t="shared" si="177"/>
        <v>99.839999999999989</v>
      </c>
      <c r="R486" s="5">
        <v>2</v>
      </c>
      <c r="S486" s="5">
        <v>4.0999999999999996</v>
      </c>
      <c r="T486" s="5" t="s">
        <v>9</v>
      </c>
      <c r="U486" s="5" t="s">
        <v>62</v>
      </c>
      <c r="V486" s="5">
        <v>21</v>
      </c>
      <c r="W486" s="5">
        <v>5.6</v>
      </c>
      <c r="X486" s="5">
        <v>68</v>
      </c>
      <c r="Y486" s="5">
        <v>3</v>
      </c>
      <c r="Z486" s="5" t="s">
        <v>9</v>
      </c>
      <c r="AA486" s="5" t="s">
        <v>149</v>
      </c>
      <c r="AB486" s="6"/>
    </row>
    <row r="487" spans="1:28" ht="16" x14ac:dyDescent="0.2">
      <c r="A487" s="4">
        <v>45868</v>
      </c>
      <c r="B487" s="19">
        <v>25211</v>
      </c>
      <c r="C487" s="5" t="s">
        <v>24</v>
      </c>
      <c r="D487" s="6"/>
      <c r="E487" s="15">
        <v>41.783336111099999</v>
      </c>
      <c r="F487" s="15">
        <v>-75.258616666699993</v>
      </c>
      <c r="G487" s="5" t="s">
        <v>96</v>
      </c>
      <c r="H487" s="5">
        <v>74.2</v>
      </c>
      <c r="I487" s="5">
        <v>84.5</v>
      </c>
      <c r="J487" s="5">
        <v>78.400000000000006</v>
      </c>
      <c r="K487" s="5">
        <v>73.099999999999994</v>
      </c>
      <c r="L487" s="10">
        <v>0.38611111111111113</v>
      </c>
      <c r="M487" s="10">
        <v>0.46250000000000002</v>
      </c>
      <c r="N487" s="11">
        <f t="shared" ref="N487:P487" si="286">AVERAGE(96,96,96,96)*1.04</f>
        <v>99.84</v>
      </c>
      <c r="O487" s="11">
        <f t="shared" si="286"/>
        <v>99.84</v>
      </c>
      <c r="P487" s="11">
        <f t="shared" si="286"/>
        <v>99.84</v>
      </c>
      <c r="Q487" s="11">
        <f t="shared" si="177"/>
        <v>99.839999999999989</v>
      </c>
      <c r="R487" s="5">
        <v>2</v>
      </c>
      <c r="S487" s="5">
        <v>13.3</v>
      </c>
      <c r="T487" s="5" t="s">
        <v>9</v>
      </c>
      <c r="U487" s="5" t="s">
        <v>55</v>
      </c>
      <c r="V487" s="5">
        <v>21.8</v>
      </c>
      <c r="W487" s="5" t="s">
        <v>8</v>
      </c>
      <c r="X487" s="5" t="s">
        <v>8</v>
      </c>
      <c r="Y487" s="5">
        <v>2.5</v>
      </c>
      <c r="Z487" s="5" t="s">
        <v>9</v>
      </c>
      <c r="AA487" s="5" t="s">
        <v>123</v>
      </c>
      <c r="AB487" s="6"/>
    </row>
    <row r="488" spans="1:28" ht="16" x14ac:dyDescent="0.2">
      <c r="A488" s="4">
        <v>45868</v>
      </c>
      <c r="B488" s="19">
        <v>25211</v>
      </c>
      <c r="C488" s="5" t="s">
        <v>24</v>
      </c>
      <c r="D488" s="6"/>
      <c r="E488" s="15">
        <v>41.783336111099999</v>
      </c>
      <c r="F488" s="15">
        <v>-75.258616666699993</v>
      </c>
      <c r="G488" s="5" t="s">
        <v>96</v>
      </c>
      <c r="H488" s="5">
        <v>74.2</v>
      </c>
      <c r="I488" s="5">
        <v>84.5</v>
      </c>
      <c r="J488" s="5">
        <v>78.400000000000006</v>
      </c>
      <c r="K488" s="5">
        <v>73.099999999999994</v>
      </c>
      <c r="L488" s="10">
        <v>0.38611111111111113</v>
      </c>
      <c r="M488" s="10">
        <v>0.46250000000000002</v>
      </c>
      <c r="N488" s="11">
        <f t="shared" ref="N488:P488" si="287">AVERAGE(96,96,96,96)*1.04</f>
        <v>99.84</v>
      </c>
      <c r="O488" s="11">
        <f t="shared" si="287"/>
        <v>99.84</v>
      </c>
      <c r="P488" s="11">
        <f t="shared" si="287"/>
        <v>99.84</v>
      </c>
      <c r="Q488" s="11">
        <f t="shared" si="177"/>
        <v>99.839999999999989</v>
      </c>
      <c r="R488" s="5">
        <v>2</v>
      </c>
      <c r="S488" s="5">
        <v>27</v>
      </c>
      <c r="T488" s="5" t="s">
        <v>9</v>
      </c>
      <c r="U488" s="5" t="s">
        <v>55</v>
      </c>
      <c r="V488" s="5">
        <v>21.2</v>
      </c>
      <c r="W488" s="5" t="s">
        <v>8</v>
      </c>
      <c r="X488" s="5" t="s">
        <v>8</v>
      </c>
      <c r="Y488" s="5">
        <v>3</v>
      </c>
      <c r="Z488" s="5" t="s">
        <v>9</v>
      </c>
      <c r="AA488" s="5" t="s">
        <v>123</v>
      </c>
      <c r="AB488" s="6"/>
    </row>
    <row r="489" spans="1:28" ht="16" x14ac:dyDescent="0.2">
      <c r="A489" s="4">
        <v>45868</v>
      </c>
      <c r="B489" s="19">
        <v>25211</v>
      </c>
      <c r="C489" s="5" t="s">
        <v>24</v>
      </c>
      <c r="D489" s="6"/>
      <c r="E489" s="15">
        <v>41.783336111099999</v>
      </c>
      <c r="F489" s="15">
        <v>-75.258616666699993</v>
      </c>
      <c r="G489" s="5" t="s">
        <v>96</v>
      </c>
      <c r="H489" s="5">
        <v>74.2</v>
      </c>
      <c r="I489" s="5">
        <v>84.5</v>
      </c>
      <c r="J489" s="5">
        <v>78.400000000000006</v>
      </c>
      <c r="K489" s="5">
        <v>73.099999999999994</v>
      </c>
      <c r="L489" s="10">
        <v>0.38611111111111113</v>
      </c>
      <c r="M489" s="10">
        <v>0.46250000000000002</v>
      </c>
      <c r="N489" s="11">
        <f t="shared" ref="N489:P489" si="288">AVERAGE(96,96,96,96)*1.04</f>
        <v>99.84</v>
      </c>
      <c r="O489" s="11">
        <f t="shared" si="288"/>
        <v>99.84</v>
      </c>
      <c r="P489" s="11">
        <f t="shared" si="288"/>
        <v>99.84</v>
      </c>
      <c r="Q489" s="11">
        <f t="shared" si="177"/>
        <v>99.839999999999989</v>
      </c>
      <c r="R489" s="5">
        <v>3</v>
      </c>
      <c r="S489" s="5">
        <v>2.2000000000000002</v>
      </c>
      <c r="T489" s="5" t="s">
        <v>9</v>
      </c>
      <c r="U489" s="5" t="s">
        <v>55</v>
      </c>
      <c r="V489" s="5">
        <v>21</v>
      </c>
      <c r="W489" s="5">
        <v>5.3</v>
      </c>
      <c r="X489" s="5">
        <v>65</v>
      </c>
      <c r="Y489" s="5">
        <v>3.5</v>
      </c>
      <c r="Z489" s="5" t="s">
        <v>9</v>
      </c>
      <c r="AA489" s="6"/>
      <c r="AB489" s="6"/>
    </row>
    <row r="490" spans="1:28" ht="16" x14ac:dyDescent="0.2">
      <c r="A490" s="4">
        <v>45868</v>
      </c>
      <c r="B490" s="19">
        <v>25211</v>
      </c>
      <c r="C490" s="5" t="s">
        <v>24</v>
      </c>
      <c r="D490" s="6"/>
      <c r="E490" s="15">
        <v>41.783336111099999</v>
      </c>
      <c r="F490" s="15">
        <v>-75.258616666699993</v>
      </c>
      <c r="G490" s="5" t="s">
        <v>96</v>
      </c>
      <c r="H490" s="5">
        <v>74.2</v>
      </c>
      <c r="I490" s="5">
        <v>84.5</v>
      </c>
      <c r="J490" s="5">
        <v>78.400000000000006</v>
      </c>
      <c r="K490" s="5">
        <v>73.099999999999994</v>
      </c>
      <c r="L490" s="10">
        <v>0.38611111111111113</v>
      </c>
      <c r="M490" s="10">
        <v>0.46250000000000002</v>
      </c>
      <c r="N490" s="11">
        <f t="shared" ref="N490:P490" si="289">AVERAGE(96,96,96,96)*1.04</f>
        <v>99.84</v>
      </c>
      <c r="O490" s="11">
        <f t="shared" si="289"/>
        <v>99.84</v>
      </c>
      <c r="P490" s="11">
        <f t="shared" si="289"/>
        <v>99.84</v>
      </c>
      <c r="Q490" s="11">
        <f t="shared" si="177"/>
        <v>99.839999999999989</v>
      </c>
      <c r="R490" s="5">
        <v>3</v>
      </c>
      <c r="S490" s="5">
        <v>16.3</v>
      </c>
      <c r="T490" s="5" t="s">
        <v>9</v>
      </c>
      <c r="U490" s="5" t="s">
        <v>55</v>
      </c>
      <c r="V490" s="5">
        <v>21</v>
      </c>
      <c r="W490" s="5" t="s">
        <v>8</v>
      </c>
      <c r="X490" s="5" t="s">
        <v>8</v>
      </c>
      <c r="Y490" s="5">
        <v>1</v>
      </c>
      <c r="Z490" s="5" t="s">
        <v>9</v>
      </c>
      <c r="AA490" s="5" t="s">
        <v>123</v>
      </c>
      <c r="AB490" s="6"/>
    </row>
    <row r="491" spans="1:28" ht="16" x14ac:dyDescent="0.2">
      <c r="A491" s="4">
        <v>45868</v>
      </c>
      <c r="B491" s="19">
        <v>25211</v>
      </c>
      <c r="C491" s="5" t="s">
        <v>24</v>
      </c>
      <c r="D491" s="6"/>
      <c r="E491" s="15">
        <v>41.783336111099999</v>
      </c>
      <c r="F491" s="15">
        <v>-75.258616666699993</v>
      </c>
      <c r="G491" s="5" t="s">
        <v>96</v>
      </c>
      <c r="H491" s="5">
        <v>74.2</v>
      </c>
      <c r="I491" s="5">
        <v>84.5</v>
      </c>
      <c r="J491" s="5">
        <v>78.400000000000006</v>
      </c>
      <c r="K491" s="5">
        <v>73.099999999999994</v>
      </c>
      <c r="L491" s="10">
        <v>0.38611111111111113</v>
      </c>
      <c r="M491" s="10">
        <v>0.46250000000000002</v>
      </c>
      <c r="N491" s="11">
        <f t="shared" ref="N491:P491" si="290">AVERAGE(96,96,96,96)*1.04</f>
        <v>99.84</v>
      </c>
      <c r="O491" s="11">
        <f t="shared" si="290"/>
        <v>99.84</v>
      </c>
      <c r="P491" s="11">
        <f t="shared" si="290"/>
        <v>99.84</v>
      </c>
      <c r="Q491" s="11">
        <f t="shared" si="177"/>
        <v>99.839999999999989</v>
      </c>
      <c r="R491" s="5">
        <v>3</v>
      </c>
      <c r="S491" s="5">
        <v>23.2</v>
      </c>
      <c r="T491" s="5" t="s">
        <v>9</v>
      </c>
      <c r="U491" s="5" t="s">
        <v>55</v>
      </c>
      <c r="V491" s="5">
        <v>21.9</v>
      </c>
      <c r="W491" s="5">
        <v>5.5</v>
      </c>
      <c r="X491" s="5">
        <v>45</v>
      </c>
      <c r="Y491" s="5">
        <v>3.5</v>
      </c>
      <c r="Z491" s="5" t="s">
        <v>9</v>
      </c>
      <c r="AA491" s="5" t="s">
        <v>149</v>
      </c>
      <c r="AB491" s="6"/>
    </row>
    <row r="492" spans="1:28" ht="16" x14ac:dyDescent="0.2">
      <c r="A492" s="4">
        <v>45874</v>
      </c>
      <c r="B492" s="19">
        <v>25217</v>
      </c>
      <c r="C492" s="5" t="s">
        <v>46</v>
      </c>
      <c r="D492" s="5" t="s">
        <v>191</v>
      </c>
      <c r="E492" s="15">
        <v>42.156238888899999</v>
      </c>
      <c r="F492" s="15">
        <v>-75.3791166667</v>
      </c>
      <c r="G492" s="5" t="s">
        <v>78</v>
      </c>
      <c r="H492" s="5">
        <v>68.5</v>
      </c>
      <c r="I492" s="5">
        <v>81.3</v>
      </c>
      <c r="J492" s="5" t="s">
        <v>8</v>
      </c>
      <c r="K492" s="5" t="s">
        <v>8</v>
      </c>
      <c r="L492" s="10">
        <v>0.3611111111111111</v>
      </c>
      <c r="M492" s="10">
        <v>0.52083333333333337</v>
      </c>
      <c r="N492" s="11">
        <f t="shared" ref="N492:P492" si="291">AVERAGE(96,96,96,96)*1.04</f>
        <v>99.84</v>
      </c>
      <c r="O492" s="11">
        <f t="shared" si="291"/>
        <v>99.84</v>
      </c>
      <c r="P492" s="11">
        <f t="shared" si="291"/>
        <v>99.84</v>
      </c>
      <c r="Q492" s="11">
        <f t="shared" si="177"/>
        <v>99.839999999999989</v>
      </c>
      <c r="R492" s="5">
        <v>1</v>
      </c>
      <c r="S492" s="5">
        <v>1.2</v>
      </c>
      <c r="T492" s="5" t="s">
        <v>9</v>
      </c>
      <c r="U492" s="5" t="s">
        <v>55</v>
      </c>
      <c r="V492" s="5">
        <v>18.5</v>
      </c>
      <c r="W492" s="5" t="s">
        <v>8</v>
      </c>
      <c r="X492" s="5" t="s">
        <v>8</v>
      </c>
      <c r="Y492" s="5">
        <v>3</v>
      </c>
      <c r="Z492" s="5" t="s">
        <v>9</v>
      </c>
      <c r="AA492" s="5" t="s">
        <v>340</v>
      </c>
      <c r="AB492" s="6"/>
    </row>
    <row r="493" spans="1:28" ht="16" x14ac:dyDescent="0.2">
      <c r="A493" s="4">
        <v>45874</v>
      </c>
      <c r="B493" s="19">
        <v>25217</v>
      </c>
      <c r="C493" s="5" t="s">
        <v>46</v>
      </c>
      <c r="D493" s="6"/>
      <c r="E493" s="15">
        <v>42.156238888899999</v>
      </c>
      <c r="F493" s="15">
        <v>-75.3791166667</v>
      </c>
      <c r="G493" s="5" t="s">
        <v>78</v>
      </c>
      <c r="H493" s="5">
        <v>68.5</v>
      </c>
      <c r="I493" s="5">
        <v>81.3</v>
      </c>
      <c r="J493" s="5" t="s">
        <v>8</v>
      </c>
      <c r="K493" s="5" t="s">
        <v>8</v>
      </c>
      <c r="L493" s="10">
        <v>0.3611111111111111</v>
      </c>
      <c r="M493" s="10">
        <v>0.52083333333333337</v>
      </c>
      <c r="N493" s="11">
        <f t="shared" ref="N493:P493" si="292">AVERAGE(96,96,96,96)*1.04</f>
        <v>99.84</v>
      </c>
      <c r="O493" s="11">
        <f t="shared" si="292"/>
        <v>99.84</v>
      </c>
      <c r="P493" s="11">
        <f t="shared" si="292"/>
        <v>99.84</v>
      </c>
      <c r="Q493" s="11">
        <f t="shared" si="177"/>
        <v>99.839999999999989</v>
      </c>
      <c r="R493" s="5">
        <v>1</v>
      </c>
      <c r="S493" s="5">
        <v>16.600000000000001</v>
      </c>
      <c r="T493" s="5" t="s">
        <v>9</v>
      </c>
      <c r="U493" s="5" t="s">
        <v>55</v>
      </c>
      <c r="V493" s="5">
        <v>18.7</v>
      </c>
      <c r="W493" s="5" t="s">
        <v>8</v>
      </c>
      <c r="X493" s="5" t="s">
        <v>8</v>
      </c>
      <c r="Y493" s="5">
        <v>2</v>
      </c>
      <c r="Z493" s="5" t="s">
        <v>9</v>
      </c>
      <c r="AA493" s="5" t="s">
        <v>123</v>
      </c>
      <c r="AB493" s="6"/>
    </row>
    <row r="494" spans="1:28" ht="16" x14ac:dyDescent="0.2">
      <c r="A494" s="4">
        <v>45874</v>
      </c>
      <c r="B494" s="19">
        <v>25217</v>
      </c>
      <c r="C494" s="5" t="s">
        <v>46</v>
      </c>
      <c r="D494" s="6"/>
      <c r="E494" s="15">
        <v>42.156238888899999</v>
      </c>
      <c r="F494" s="15">
        <v>-75.3791166667</v>
      </c>
      <c r="G494" s="5" t="s">
        <v>78</v>
      </c>
      <c r="H494" s="5">
        <v>68.5</v>
      </c>
      <c r="I494" s="5">
        <v>81.3</v>
      </c>
      <c r="J494" s="5" t="s">
        <v>8</v>
      </c>
      <c r="K494" s="5" t="s">
        <v>8</v>
      </c>
      <c r="L494" s="10">
        <v>0.3611111111111111</v>
      </c>
      <c r="M494" s="10">
        <v>0.52083333333333337</v>
      </c>
      <c r="N494" s="11">
        <f t="shared" ref="N494:P494" si="293">AVERAGE(96,96,96,96)*1.04</f>
        <v>99.84</v>
      </c>
      <c r="O494" s="11">
        <f t="shared" si="293"/>
        <v>99.84</v>
      </c>
      <c r="P494" s="11">
        <f t="shared" si="293"/>
        <v>99.84</v>
      </c>
      <c r="Q494" s="11">
        <f t="shared" si="177"/>
        <v>99.839999999999989</v>
      </c>
      <c r="R494" s="5">
        <v>1</v>
      </c>
      <c r="S494" s="5">
        <v>30.2</v>
      </c>
      <c r="T494" s="5" t="s">
        <v>4</v>
      </c>
      <c r="U494" s="5" t="s">
        <v>55</v>
      </c>
      <c r="V494" s="5">
        <v>18.5</v>
      </c>
      <c r="W494" s="5" t="s">
        <v>8</v>
      </c>
      <c r="X494" s="5" t="s">
        <v>8</v>
      </c>
      <c r="Y494" s="5">
        <v>4</v>
      </c>
      <c r="Z494" s="5" t="s">
        <v>9</v>
      </c>
      <c r="AA494" s="5" t="s">
        <v>123</v>
      </c>
      <c r="AB494" s="6"/>
    </row>
    <row r="495" spans="1:28" ht="16" x14ac:dyDescent="0.2">
      <c r="A495" s="4">
        <v>45874</v>
      </c>
      <c r="B495" s="19">
        <v>25217</v>
      </c>
      <c r="C495" s="5" t="s">
        <v>46</v>
      </c>
      <c r="D495" s="6"/>
      <c r="E495" s="15">
        <v>42.156238888899999</v>
      </c>
      <c r="F495" s="15">
        <v>-75.3791166667</v>
      </c>
      <c r="G495" s="5" t="s">
        <v>78</v>
      </c>
      <c r="H495" s="5">
        <v>68.5</v>
      </c>
      <c r="I495" s="5">
        <v>81.3</v>
      </c>
      <c r="J495" s="5" t="s">
        <v>8</v>
      </c>
      <c r="K495" s="5" t="s">
        <v>8</v>
      </c>
      <c r="L495" s="10">
        <v>0.3611111111111111</v>
      </c>
      <c r="M495" s="10">
        <v>0.52083333333333337</v>
      </c>
      <c r="N495" s="11">
        <f t="shared" ref="N495:P495" si="294">AVERAGE(96,96,96,96)*1.04</f>
        <v>99.84</v>
      </c>
      <c r="O495" s="11">
        <f t="shared" si="294"/>
        <v>99.84</v>
      </c>
      <c r="P495" s="11">
        <f t="shared" si="294"/>
        <v>99.84</v>
      </c>
      <c r="Q495" s="11">
        <f t="shared" si="177"/>
        <v>99.839999999999989</v>
      </c>
      <c r="R495" s="5">
        <v>1</v>
      </c>
      <c r="S495" s="5">
        <v>28.64</v>
      </c>
      <c r="T495" s="5" t="s">
        <v>9</v>
      </c>
      <c r="U495" s="5" t="s">
        <v>55</v>
      </c>
      <c r="V495" s="5">
        <v>18.7</v>
      </c>
      <c r="W495" s="5" t="s">
        <v>8</v>
      </c>
      <c r="X495" s="5" t="s">
        <v>8</v>
      </c>
      <c r="Y495" s="5">
        <v>4</v>
      </c>
      <c r="Z495" s="5" t="s">
        <v>9</v>
      </c>
      <c r="AA495" s="5" t="s">
        <v>123</v>
      </c>
      <c r="AB495" s="6"/>
    </row>
    <row r="496" spans="1:28" ht="16" x14ac:dyDescent="0.2">
      <c r="A496" s="4">
        <v>45874</v>
      </c>
      <c r="B496" s="19">
        <v>25217</v>
      </c>
      <c r="C496" s="5" t="s">
        <v>46</v>
      </c>
      <c r="D496" s="6"/>
      <c r="E496" s="15">
        <v>42.156238888899999</v>
      </c>
      <c r="F496" s="15">
        <v>-75.3791166667</v>
      </c>
      <c r="G496" s="5" t="s">
        <v>78</v>
      </c>
      <c r="H496" s="5">
        <v>68.5</v>
      </c>
      <c r="I496" s="5">
        <v>81.3</v>
      </c>
      <c r="J496" s="5" t="s">
        <v>8</v>
      </c>
      <c r="K496" s="5" t="s">
        <v>8</v>
      </c>
      <c r="L496" s="10">
        <v>0.3611111111111111</v>
      </c>
      <c r="M496" s="10">
        <v>0.52083333333333337</v>
      </c>
      <c r="N496" s="11">
        <f t="shared" ref="N496:P496" si="295">AVERAGE(96,96,96,96)*1.04</f>
        <v>99.84</v>
      </c>
      <c r="O496" s="11">
        <f t="shared" si="295"/>
        <v>99.84</v>
      </c>
      <c r="P496" s="11">
        <f t="shared" si="295"/>
        <v>99.84</v>
      </c>
      <c r="Q496" s="11">
        <f t="shared" si="177"/>
        <v>99.839999999999989</v>
      </c>
      <c r="R496" s="5">
        <v>1</v>
      </c>
      <c r="S496" s="5">
        <v>5.0999999999999996</v>
      </c>
      <c r="T496" s="5" t="s">
        <v>4</v>
      </c>
      <c r="U496" s="5" t="s">
        <v>55</v>
      </c>
      <c r="V496" s="5">
        <v>18.899999999999999</v>
      </c>
      <c r="W496" s="5" t="s">
        <v>8</v>
      </c>
      <c r="X496" s="5" t="s">
        <v>8</v>
      </c>
      <c r="Y496" s="5">
        <v>4</v>
      </c>
      <c r="Z496" s="5" t="s">
        <v>9</v>
      </c>
      <c r="AA496" s="5" t="s">
        <v>123</v>
      </c>
      <c r="AB496" s="6"/>
    </row>
    <row r="497" spans="1:28" ht="16" x14ac:dyDescent="0.2">
      <c r="A497" s="4">
        <v>45874</v>
      </c>
      <c r="B497" s="19">
        <v>25217</v>
      </c>
      <c r="C497" s="5" t="s">
        <v>46</v>
      </c>
      <c r="D497" s="6"/>
      <c r="E497" s="15">
        <v>42.156238888899999</v>
      </c>
      <c r="F497" s="15">
        <v>-75.3791166667</v>
      </c>
      <c r="G497" s="5" t="s">
        <v>78</v>
      </c>
      <c r="H497" s="5">
        <v>68.5</v>
      </c>
      <c r="I497" s="5">
        <v>81.3</v>
      </c>
      <c r="J497" s="5" t="s">
        <v>8</v>
      </c>
      <c r="K497" s="5" t="s">
        <v>8</v>
      </c>
      <c r="L497" s="10">
        <v>0.3611111111111111</v>
      </c>
      <c r="M497" s="10">
        <v>0.52083333333333337</v>
      </c>
      <c r="N497" s="11">
        <f t="shared" ref="N497:P497" si="296">AVERAGE(96,96,96,96)*1.04</f>
        <v>99.84</v>
      </c>
      <c r="O497" s="11">
        <f t="shared" si="296"/>
        <v>99.84</v>
      </c>
      <c r="P497" s="11">
        <f t="shared" si="296"/>
        <v>99.84</v>
      </c>
      <c r="Q497" s="11">
        <f t="shared" si="177"/>
        <v>99.839999999999989</v>
      </c>
      <c r="R497" s="5">
        <v>1</v>
      </c>
      <c r="S497" s="5">
        <v>23.14</v>
      </c>
      <c r="T497" s="5" t="s">
        <v>4</v>
      </c>
      <c r="U497" s="5" t="s">
        <v>55</v>
      </c>
      <c r="V497" s="5">
        <v>18</v>
      </c>
      <c r="W497" s="5" t="s">
        <v>8</v>
      </c>
      <c r="X497" s="5" t="s">
        <v>8</v>
      </c>
      <c r="Y497" s="5">
        <v>4.5</v>
      </c>
      <c r="Z497" s="5" t="s">
        <v>9</v>
      </c>
      <c r="AA497" s="5" t="s">
        <v>123</v>
      </c>
      <c r="AB497" s="6"/>
    </row>
    <row r="498" spans="1:28" ht="16" x14ac:dyDescent="0.2">
      <c r="A498" s="4">
        <v>45874</v>
      </c>
      <c r="B498" s="19">
        <v>25217</v>
      </c>
      <c r="C498" s="5" t="s">
        <v>46</v>
      </c>
      <c r="D498" s="6"/>
      <c r="E498" s="15">
        <v>42.156238888899999</v>
      </c>
      <c r="F498" s="15">
        <v>-75.3791166667</v>
      </c>
      <c r="G498" s="5" t="s">
        <v>78</v>
      </c>
      <c r="H498" s="5">
        <v>68.5</v>
      </c>
      <c r="I498" s="5">
        <v>81.3</v>
      </c>
      <c r="J498" s="5" t="s">
        <v>8</v>
      </c>
      <c r="K498" s="5" t="s">
        <v>8</v>
      </c>
      <c r="L498" s="10">
        <v>0.3611111111111111</v>
      </c>
      <c r="M498" s="10">
        <v>0.52083333333333337</v>
      </c>
      <c r="N498" s="11">
        <f t="shared" ref="N498:P498" si="297">AVERAGE(96,96,96,96)*1.04</f>
        <v>99.84</v>
      </c>
      <c r="O498" s="11">
        <f t="shared" si="297"/>
        <v>99.84</v>
      </c>
      <c r="P498" s="11">
        <f t="shared" si="297"/>
        <v>99.84</v>
      </c>
      <c r="Q498" s="11">
        <f t="shared" si="177"/>
        <v>99.839999999999989</v>
      </c>
      <c r="R498" s="5">
        <v>1</v>
      </c>
      <c r="S498" s="5">
        <v>30</v>
      </c>
      <c r="T498" s="5" t="s">
        <v>4</v>
      </c>
      <c r="U498" s="5" t="s">
        <v>55</v>
      </c>
      <c r="V498" s="5">
        <v>19.2</v>
      </c>
      <c r="W498" s="5" t="s">
        <v>8</v>
      </c>
      <c r="X498" s="5" t="s">
        <v>8</v>
      </c>
      <c r="Y498" s="5">
        <v>4.5</v>
      </c>
      <c r="Z498" s="5" t="s">
        <v>9</v>
      </c>
      <c r="AA498" s="5" t="s">
        <v>123</v>
      </c>
      <c r="AB498" s="6"/>
    </row>
    <row r="499" spans="1:28" ht="16" x14ac:dyDescent="0.2">
      <c r="A499" s="4">
        <v>45874</v>
      </c>
      <c r="B499" s="19">
        <v>25217</v>
      </c>
      <c r="C499" s="5" t="s">
        <v>46</v>
      </c>
      <c r="D499" s="6"/>
      <c r="E499" s="15">
        <v>42.156238888899999</v>
      </c>
      <c r="F499" s="15">
        <v>-75.3791166667</v>
      </c>
      <c r="G499" s="5" t="s">
        <v>78</v>
      </c>
      <c r="H499" s="5">
        <v>68.5</v>
      </c>
      <c r="I499" s="5">
        <v>81.3</v>
      </c>
      <c r="J499" s="5" t="s">
        <v>8</v>
      </c>
      <c r="K499" s="5" t="s">
        <v>8</v>
      </c>
      <c r="L499" s="10">
        <v>0.3611111111111111</v>
      </c>
      <c r="M499" s="10">
        <v>0.52083333333333337</v>
      </c>
      <c r="N499" s="11">
        <f t="shared" ref="N499:P499" si="298">AVERAGE(96,96,96,96)*1.04</f>
        <v>99.84</v>
      </c>
      <c r="O499" s="11">
        <f t="shared" si="298"/>
        <v>99.84</v>
      </c>
      <c r="P499" s="11">
        <f t="shared" si="298"/>
        <v>99.84</v>
      </c>
      <c r="Q499" s="11">
        <f t="shared" si="177"/>
        <v>99.839999999999989</v>
      </c>
      <c r="R499" s="5">
        <v>2</v>
      </c>
      <c r="S499" s="5">
        <v>5.2</v>
      </c>
      <c r="T499" s="5" t="s">
        <v>9</v>
      </c>
      <c r="U499" s="5" t="s">
        <v>64</v>
      </c>
      <c r="V499" s="5">
        <v>19.600000000000001</v>
      </c>
      <c r="W499" s="5" t="s">
        <v>8</v>
      </c>
      <c r="X499" s="5" t="s">
        <v>8</v>
      </c>
      <c r="Y499" s="5">
        <v>4</v>
      </c>
      <c r="Z499" s="5" t="s">
        <v>9</v>
      </c>
      <c r="AA499" s="5" t="s">
        <v>192</v>
      </c>
      <c r="AB499" s="6"/>
    </row>
    <row r="500" spans="1:28" ht="16" x14ac:dyDescent="0.2">
      <c r="A500" s="4">
        <v>45874</v>
      </c>
      <c r="B500" s="19">
        <v>25217</v>
      </c>
      <c r="C500" s="5" t="s">
        <v>46</v>
      </c>
      <c r="D500" s="6"/>
      <c r="E500" s="15">
        <v>42.156238888899999</v>
      </c>
      <c r="F500" s="15">
        <v>-75.3791166667</v>
      </c>
      <c r="G500" s="5" t="s">
        <v>78</v>
      </c>
      <c r="H500" s="5">
        <v>68.5</v>
      </c>
      <c r="I500" s="5">
        <v>81.3</v>
      </c>
      <c r="J500" s="5" t="s">
        <v>8</v>
      </c>
      <c r="K500" s="5" t="s">
        <v>8</v>
      </c>
      <c r="L500" s="10">
        <v>0.3611111111111111</v>
      </c>
      <c r="M500" s="10">
        <v>0.52083333333333337</v>
      </c>
      <c r="N500" s="11">
        <f t="shared" ref="N500:P500" si="299">AVERAGE(96,96,96,96)*1.04</f>
        <v>99.84</v>
      </c>
      <c r="O500" s="11">
        <f t="shared" si="299"/>
        <v>99.84</v>
      </c>
      <c r="P500" s="11">
        <f t="shared" si="299"/>
        <v>99.84</v>
      </c>
      <c r="Q500" s="11">
        <f t="shared" si="177"/>
        <v>99.839999999999989</v>
      </c>
      <c r="R500" s="5">
        <v>2</v>
      </c>
      <c r="S500" s="5">
        <v>14.4</v>
      </c>
      <c r="T500" s="5" t="s">
        <v>4</v>
      </c>
      <c r="U500" s="5" t="s">
        <v>55</v>
      </c>
      <c r="V500" s="5">
        <v>18.5</v>
      </c>
      <c r="W500" s="5" t="s">
        <v>8</v>
      </c>
      <c r="X500" s="5" t="s">
        <v>8</v>
      </c>
      <c r="Y500" s="5">
        <v>2.5</v>
      </c>
      <c r="Z500" s="5" t="s">
        <v>9</v>
      </c>
      <c r="AA500" s="5" t="s">
        <v>123</v>
      </c>
      <c r="AB500" s="6"/>
    </row>
    <row r="501" spans="1:28" ht="16" x14ac:dyDescent="0.2">
      <c r="A501" s="4">
        <v>45874</v>
      </c>
      <c r="B501" s="19">
        <v>25217</v>
      </c>
      <c r="C501" s="5" t="s">
        <v>46</v>
      </c>
      <c r="D501" s="6"/>
      <c r="E501" s="15">
        <v>42.156238888899999</v>
      </c>
      <c r="F501" s="15">
        <v>-75.3791166667</v>
      </c>
      <c r="G501" s="5" t="s">
        <v>78</v>
      </c>
      <c r="H501" s="5">
        <v>68.5</v>
      </c>
      <c r="I501" s="5">
        <v>81.3</v>
      </c>
      <c r="J501" s="5" t="s">
        <v>8</v>
      </c>
      <c r="K501" s="5" t="s">
        <v>8</v>
      </c>
      <c r="L501" s="10">
        <v>0.3611111111111111</v>
      </c>
      <c r="M501" s="10">
        <v>0.52083333333333337</v>
      </c>
      <c r="N501" s="11">
        <f t="shared" ref="N501:P501" si="300">AVERAGE(96,96,96,96)*1.04</f>
        <v>99.84</v>
      </c>
      <c r="O501" s="11">
        <f t="shared" si="300"/>
        <v>99.84</v>
      </c>
      <c r="P501" s="11">
        <f t="shared" si="300"/>
        <v>99.84</v>
      </c>
      <c r="Q501" s="11">
        <f t="shared" si="177"/>
        <v>99.839999999999989</v>
      </c>
      <c r="R501" s="5">
        <v>2</v>
      </c>
      <c r="S501" s="5">
        <v>16.2</v>
      </c>
      <c r="T501" s="5" t="s">
        <v>4</v>
      </c>
      <c r="U501" s="5" t="s">
        <v>193</v>
      </c>
      <c r="V501" s="5">
        <v>18.100000000000001</v>
      </c>
      <c r="W501" s="5" t="s">
        <v>8</v>
      </c>
      <c r="X501" s="5" t="s">
        <v>8</v>
      </c>
      <c r="Y501" s="5">
        <v>3.5</v>
      </c>
      <c r="Z501" s="5" t="s">
        <v>9</v>
      </c>
      <c r="AA501" s="5" t="s">
        <v>123</v>
      </c>
      <c r="AB501" s="6"/>
    </row>
    <row r="502" spans="1:28" ht="16" x14ac:dyDescent="0.2">
      <c r="A502" s="4">
        <v>45874</v>
      </c>
      <c r="B502" s="19">
        <v>25217</v>
      </c>
      <c r="C502" s="5" t="s">
        <v>46</v>
      </c>
      <c r="D502" s="6"/>
      <c r="E502" s="15">
        <v>42.156238888899999</v>
      </c>
      <c r="F502" s="15">
        <v>-75.3791166667</v>
      </c>
      <c r="G502" s="5" t="s">
        <v>78</v>
      </c>
      <c r="H502" s="5">
        <v>68.5</v>
      </c>
      <c r="I502" s="5">
        <v>81.3</v>
      </c>
      <c r="J502" s="5" t="s">
        <v>8</v>
      </c>
      <c r="K502" s="5" t="s">
        <v>8</v>
      </c>
      <c r="L502" s="10">
        <v>0.3611111111111111</v>
      </c>
      <c r="M502" s="10">
        <v>0.52083333333333337</v>
      </c>
      <c r="N502" s="11">
        <f t="shared" ref="N502:P502" si="301">AVERAGE(96,96,96,96)*1.04</f>
        <v>99.84</v>
      </c>
      <c r="O502" s="11">
        <f t="shared" si="301"/>
        <v>99.84</v>
      </c>
      <c r="P502" s="11">
        <f t="shared" si="301"/>
        <v>99.84</v>
      </c>
      <c r="Q502" s="11">
        <f t="shared" si="177"/>
        <v>99.839999999999989</v>
      </c>
      <c r="R502" s="5">
        <v>2</v>
      </c>
      <c r="S502" s="5">
        <v>21</v>
      </c>
      <c r="T502" s="5" t="s">
        <v>9</v>
      </c>
      <c r="U502" s="5" t="s">
        <v>56</v>
      </c>
      <c r="V502" s="5">
        <v>18.899999999999999</v>
      </c>
      <c r="W502" s="5" t="s">
        <v>8</v>
      </c>
      <c r="X502" s="5" t="s">
        <v>8</v>
      </c>
      <c r="Y502" s="5">
        <v>1.5</v>
      </c>
      <c r="Z502" s="5" t="s">
        <v>9</v>
      </c>
      <c r="AA502" s="5" t="s">
        <v>123</v>
      </c>
      <c r="AB502" s="6"/>
    </row>
    <row r="503" spans="1:28" ht="16" x14ac:dyDescent="0.2">
      <c r="A503" s="4">
        <v>45874</v>
      </c>
      <c r="B503" s="19">
        <v>25217</v>
      </c>
      <c r="C503" s="5" t="s">
        <v>46</v>
      </c>
      <c r="D503" s="6"/>
      <c r="E503" s="15">
        <v>42.156238888899999</v>
      </c>
      <c r="F503" s="15">
        <v>-75.3791166667</v>
      </c>
      <c r="G503" s="5" t="s">
        <v>78</v>
      </c>
      <c r="H503" s="5">
        <v>68.5</v>
      </c>
      <c r="I503" s="5">
        <v>81.3</v>
      </c>
      <c r="J503" s="5" t="s">
        <v>8</v>
      </c>
      <c r="K503" s="5" t="s">
        <v>8</v>
      </c>
      <c r="L503" s="10">
        <v>0.3611111111111111</v>
      </c>
      <c r="M503" s="10">
        <v>0.52083333333333337</v>
      </c>
      <c r="N503" s="11">
        <f t="shared" ref="N503:P503" si="302">AVERAGE(96,96,96,96)*1.04</f>
        <v>99.84</v>
      </c>
      <c r="O503" s="11">
        <f t="shared" si="302"/>
        <v>99.84</v>
      </c>
      <c r="P503" s="11">
        <f t="shared" si="302"/>
        <v>99.84</v>
      </c>
      <c r="Q503" s="11">
        <f t="shared" si="177"/>
        <v>99.839999999999989</v>
      </c>
      <c r="R503" s="5">
        <v>2</v>
      </c>
      <c r="S503" s="5">
        <v>28.4</v>
      </c>
      <c r="T503" s="5" t="s">
        <v>9</v>
      </c>
      <c r="U503" s="5" t="s">
        <v>55</v>
      </c>
      <c r="V503" s="5">
        <v>18.2</v>
      </c>
      <c r="W503" s="5" t="s">
        <v>8</v>
      </c>
      <c r="X503" s="5" t="s">
        <v>8</v>
      </c>
      <c r="Y503" s="5">
        <v>3</v>
      </c>
      <c r="Z503" s="5" t="s">
        <v>9</v>
      </c>
      <c r="AA503" s="5" t="s">
        <v>123</v>
      </c>
      <c r="AB503" s="6"/>
    </row>
    <row r="504" spans="1:28" ht="16" x14ac:dyDescent="0.2">
      <c r="A504" s="4">
        <v>45874</v>
      </c>
      <c r="B504" s="19">
        <v>25217</v>
      </c>
      <c r="C504" s="5" t="s">
        <v>46</v>
      </c>
      <c r="D504" s="6"/>
      <c r="E504" s="15">
        <v>42.156238888899999</v>
      </c>
      <c r="F504" s="15">
        <v>-75.3791166667</v>
      </c>
      <c r="G504" s="5" t="s">
        <v>78</v>
      </c>
      <c r="H504" s="5">
        <v>68.5</v>
      </c>
      <c r="I504" s="5">
        <v>81.3</v>
      </c>
      <c r="J504" s="5" t="s">
        <v>8</v>
      </c>
      <c r="K504" s="5" t="s">
        <v>8</v>
      </c>
      <c r="L504" s="10">
        <v>0.3611111111111111</v>
      </c>
      <c r="M504" s="10">
        <v>0.52083333333333337</v>
      </c>
      <c r="N504" s="11">
        <f t="shared" ref="N504:P504" si="303">AVERAGE(96,96,96,96)*1.04</f>
        <v>99.84</v>
      </c>
      <c r="O504" s="11">
        <f t="shared" si="303"/>
        <v>99.84</v>
      </c>
      <c r="P504" s="11">
        <f t="shared" si="303"/>
        <v>99.84</v>
      </c>
      <c r="Q504" s="11">
        <f t="shared" si="177"/>
        <v>99.839999999999989</v>
      </c>
      <c r="R504" s="5">
        <v>2</v>
      </c>
      <c r="S504" s="5">
        <v>14.3</v>
      </c>
      <c r="T504" s="5" t="s">
        <v>4</v>
      </c>
      <c r="U504" s="5" t="s">
        <v>55</v>
      </c>
      <c r="V504" s="5">
        <v>19</v>
      </c>
      <c r="W504" s="5" t="s">
        <v>8</v>
      </c>
      <c r="X504" s="5" t="s">
        <v>8</v>
      </c>
      <c r="Y504" s="5">
        <v>2.5</v>
      </c>
      <c r="Z504" s="5" t="s">
        <v>9</v>
      </c>
      <c r="AA504" s="5" t="s">
        <v>194</v>
      </c>
      <c r="AB504" s="6"/>
    </row>
    <row r="505" spans="1:28" ht="16" x14ac:dyDescent="0.2">
      <c r="A505" s="4">
        <v>45874</v>
      </c>
      <c r="B505" s="19">
        <v>25217</v>
      </c>
      <c r="C505" s="5" t="s">
        <v>46</v>
      </c>
      <c r="D505" s="6"/>
      <c r="E505" s="15">
        <v>42.156238888899999</v>
      </c>
      <c r="F505" s="15">
        <v>-75.3791166667</v>
      </c>
      <c r="G505" s="5" t="s">
        <v>78</v>
      </c>
      <c r="H505" s="5">
        <v>68.5</v>
      </c>
      <c r="I505" s="5">
        <v>81.3</v>
      </c>
      <c r="J505" s="5" t="s">
        <v>8</v>
      </c>
      <c r="K505" s="5" t="s">
        <v>8</v>
      </c>
      <c r="L505" s="10">
        <v>0.3611111111111111</v>
      </c>
      <c r="M505" s="10">
        <v>0.52083333333333337</v>
      </c>
      <c r="N505" s="11">
        <f t="shared" ref="N505:P505" si="304">AVERAGE(96,96,96,96)*1.04</f>
        <v>99.84</v>
      </c>
      <c r="O505" s="11">
        <f t="shared" si="304"/>
        <v>99.84</v>
      </c>
      <c r="P505" s="11">
        <f t="shared" si="304"/>
        <v>99.84</v>
      </c>
      <c r="Q505" s="11">
        <f t="shared" si="177"/>
        <v>99.839999999999989</v>
      </c>
      <c r="R505" s="5">
        <v>2</v>
      </c>
      <c r="S505" s="5">
        <v>13.5</v>
      </c>
      <c r="T505" s="5" t="s">
        <v>4</v>
      </c>
      <c r="U505" s="5" t="s">
        <v>55</v>
      </c>
      <c r="V505" s="5">
        <v>19.399999999999999</v>
      </c>
      <c r="W505" s="5" t="s">
        <v>8</v>
      </c>
      <c r="X505" s="5" t="s">
        <v>8</v>
      </c>
      <c r="Y505" s="5">
        <v>3.5</v>
      </c>
      <c r="Z505" s="5" t="s">
        <v>9</v>
      </c>
      <c r="AA505" s="5" t="s">
        <v>123</v>
      </c>
      <c r="AB505" s="6"/>
    </row>
    <row r="506" spans="1:28" ht="16" x14ac:dyDescent="0.2">
      <c r="A506" s="4">
        <v>45874</v>
      </c>
      <c r="B506" s="19">
        <v>25217</v>
      </c>
      <c r="C506" s="5" t="s">
        <v>46</v>
      </c>
      <c r="D506" s="6"/>
      <c r="E506" s="15">
        <v>42.156238888899999</v>
      </c>
      <c r="F506" s="15">
        <v>-75.3791166667</v>
      </c>
      <c r="G506" s="5" t="s">
        <v>78</v>
      </c>
      <c r="H506" s="5">
        <v>68.5</v>
      </c>
      <c r="I506" s="5">
        <v>81.3</v>
      </c>
      <c r="J506" s="5" t="s">
        <v>8</v>
      </c>
      <c r="K506" s="5" t="s">
        <v>8</v>
      </c>
      <c r="L506" s="10">
        <v>0.3611111111111111</v>
      </c>
      <c r="M506" s="10">
        <v>0.52083333333333337</v>
      </c>
      <c r="N506" s="11">
        <f t="shared" ref="N506:P506" si="305">AVERAGE(96,96,96,96)*1.04</f>
        <v>99.84</v>
      </c>
      <c r="O506" s="11">
        <f t="shared" si="305"/>
        <v>99.84</v>
      </c>
      <c r="P506" s="11">
        <f t="shared" si="305"/>
        <v>99.84</v>
      </c>
      <c r="Q506" s="11">
        <f t="shared" si="177"/>
        <v>99.839999999999989</v>
      </c>
      <c r="R506" s="5">
        <v>2</v>
      </c>
      <c r="S506" s="5">
        <v>29.5</v>
      </c>
      <c r="T506" s="5" t="s">
        <v>4</v>
      </c>
      <c r="U506" s="5" t="s">
        <v>55</v>
      </c>
      <c r="V506" s="5">
        <v>20.8</v>
      </c>
      <c r="W506" s="5" t="s">
        <v>8</v>
      </c>
      <c r="X506" s="5" t="s">
        <v>8</v>
      </c>
      <c r="Y506" s="5">
        <v>5</v>
      </c>
      <c r="Z506" s="5" t="s">
        <v>9</v>
      </c>
      <c r="AA506" s="5" t="s">
        <v>123</v>
      </c>
      <c r="AB506" s="6"/>
    </row>
    <row r="507" spans="1:28" ht="16" x14ac:dyDescent="0.2">
      <c r="A507" s="4">
        <v>45874</v>
      </c>
      <c r="B507" s="19">
        <v>25217</v>
      </c>
      <c r="C507" s="5" t="s">
        <v>46</v>
      </c>
      <c r="D507" s="6"/>
      <c r="E507" s="15">
        <v>42.156238888899999</v>
      </c>
      <c r="F507" s="15">
        <v>-75.3791166667</v>
      </c>
      <c r="G507" s="5" t="s">
        <v>78</v>
      </c>
      <c r="H507" s="5">
        <v>68.5</v>
      </c>
      <c r="I507" s="5">
        <v>81.3</v>
      </c>
      <c r="J507" s="5" t="s">
        <v>8</v>
      </c>
      <c r="K507" s="5" t="s">
        <v>8</v>
      </c>
      <c r="L507" s="10">
        <v>0.3611111111111111</v>
      </c>
      <c r="M507" s="10">
        <v>0.52083333333333337</v>
      </c>
      <c r="N507" s="11">
        <f t="shared" ref="N507:P507" si="306">AVERAGE(96,96,96,96)*1.04</f>
        <v>99.84</v>
      </c>
      <c r="O507" s="11">
        <f t="shared" si="306"/>
        <v>99.84</v>
      </c>
      <c r="P507" s="11">
        <f t="shared" si="306"/>
        <v>99.84</v>
      </c>
      <c r="Q507" s="11">
        <f t="shared" si="177"/>
        <v>99.839999999999989</v>
      </c>
      <c r="R507" s="5">
        <v>3</v>
      </c>
      <c r="S507" s="5">
        <v>4</v>
      </c>
      <c r="T507" s="5" t="s">
        <v>9</v>
      </c>
      <c r="U507" s="5" t="s">
        <v>55</v>
      </c>
      <c r="V507" s="5">
        <v>20.5</v>
      </c>
      <c r="W507" s="5" t="s">
        <v>8</v>
      </c>
      <c r="X507" s="5" t="s">
        <v>8</v>
      </c>
      <c r="Y507" s="5">
        <v>3.5</v>
      </c>
      <c r="Z507" s="5" t="s">
        <v>9</v>
      </c>
      <c r="AA507" s="5" t="s">
        <v>192</v>
      </c>
      <c r="AB507" s="6"/>
    </row>
    <row r="508" spans="1:28" ht="16" x14ac:dyDescent="0.2">
      <c r="A508" s="4">
        <v>45874</v>
      </c>
      <c r="B508" s="19">
        <v>25217</v>
      </c>
      <c r="C508" s="5" t="s">
        <v>46</v>
      </c>
      <c r="D508" s="6"/>
      <c r="E508" s="15">
        <v>42.156238888899999</v>
      </c>
      <c r="F508" s="15">
        <v>-75.3791166667</v>
      </c>
      <c r="G508" s="5" t="s">
        <v>78</v>
      </c>
      <c r="H508" s="5">
        <v>68.5</v>
      </c>
      <c r="I508" s="5">
        <v>81.3</v>
      </c>
      <c r="J508" s="5" t="s">
        <v>8</v>
      </c>
      <c r="K508" s="5" t="s">
        <v>8</v>
      </c>
      <c r="L508" s="10">
        <v>0.3611111111111111</v>
      </c>
      <c r="M508" s="10">
        <v>0.52083333333333337</v>
      </c>
      <c r="N508" s="11">
        <f t="shared" ref="N508:P508" si="307">AVERAGE(96,96,96,96)*1.04</f>
        <v>99.84</v>
      </c>
      <c r="O508" s="11">
        <f t="shared" si="307"/>
        <v>99.84</v>
      </c>
      <c r="P508" s="11">
        <f t="shared" si="307"/>
        <v>99.84</v>
      </c>
      <c r="Q508" s="11">
        <f t="shared" si="177"/>
        <v>99.839999999999989</v>
      </c>
      <c r="R508" s="5">
        <v>3</v>
      </c>
      <c r="S508" s="5">
        <v>22.7</v>
      </c>
      <c r="T508" s="5" t="s">
        <v>9</v>
      </c>
      <c r="U508" s="5" t="s">
        <v>55</v>
      </c>
      <c r="V508" s="5">
        <v>19.899999999999999</v>
      </c>
      <c r="W508" s="5" t="s">
        <v>8</v>
      </c>
      <c r="X508" s="5" t="s">
        <v>8</v>
      </c>
      <c r="Y508" s="5">
        <v>3</v>
      </c>
      <c r="Z508" s="5" t="s">
        <v>9</v>
      </c>
      <c r="AA508" s="5" t="s">
        <v>123</v>
      </c>
      <c r="AB508" s="6"/>
    </row>
    <row r="509" spans="1:28" ht="16" x14ac:dyDescent="0.2">
      <c r="A509" s="4">
        <v>45874</v>
      </c>
      <c r="B509" s="19">
        <v>25217</v>
      </c>
      <c r="C509" s="5" t="s">
        <v>46</v>
      </c>
      <c r="D509" s="6"/>
      <c r="E509" s="15">
        <v>42.156238888899999</v>
      </c>
      <c r="F509" s="15">
        <v>-75.3791166667</v>
      </c>
      <c r="G509" s="5" t="s">
        <v>78</v>
      </c>
      <c r="H509" s="5">
        <v>68.5</v>
      </c>
      <c r="I509" s="5">
        <v>81.3</v>
      </c>
      <c r="J509" s="5" t="s">
        <v>8</v>
      </c>
      <c r="K509" s="5" t="s">
        <v>8</v>
      </c>
      <c r="L509" s="10">
        <v>0.3611111111111111</v>
      </c>
      <c r="M509" s="10">
        <v>0.52083333333333337</v>
      </c>
      <c r="N509" s="11">
        <f t="shared" ref="N509:P509" si="308">AVERAGE(96,96,96,96)*1.04</f>
        <v>99.84</v>
      </c>
      <c r="O509" s="11">
        <f t="shared" si="308"/>
        <v>99.84</v>
      </c>
      <c r="P509" s="11">
        <f t="shared" si="308"/>
        <v>99.84</v>
      </c>
      <c r="Q509" s="11">
        <f t="shared" si="177"/>
        <v>99.839999999999989</v>
      </c>
      <c r="R509" s="5">
        <v>3</v>
      </c>
      <c r="S509" s="5">
        <v>25.89</v>
      </c>
      <c r="T509" s="5" t="s">
        <v>4</v>
      </c>
      <c r="U509" s="5" t="s">
        <v>55</v>
      </c>
      <c r="V509" s="5">
        <v>19.899999999999999</v>
      </c>
      <c r="W509" s="5" t="s">
        <v>8</v>
      </c>
      <c r="X509" s="5" t="s">
        <v>8</v>
      </c>
      <c r="Y509" s="5">
        <v>3.5</v>
      </c>
      <c r="Z509" s="5" t="s">
        <v>9</v>
      </c>
      <c r="AA509" s="5" t="s">
        <v>123</v>
      </c>
      <c r="AB509" s="6"/>
    </row>
    <row r="510" spans="1:28" ht="16" x14ac:dyDescent="0.2">
      <c r="A510" s="4">
        <v>45874</v>
      </c>
      <c r="B510" s="19">
        <v>25217</v>
      </c>
      <c r="C510" s="5" t="s">
        <v>46</v>
      </c>
      <c r="D510" s="6"/>
      <c r="E510" s="15">
        <v>42.156238888899999</v>
      </c>
      <c r="F510" s="15">
        <v>-75.3791166667</v>
      </c>
      <c r="G510" s="5" t="s">
        <v>78</v>
      </c>
      <c r="H510" s="5">
        <v>68.5</v>
      </c>
      <c r="I510" s="5">
        <v>81.3</v>
      </c>
      <c r="J510" s="5" t="s">
        <v>8</v>
      </c>
      <c r="K510" s="5" t="s">
        <v>8</v>
      </c>
      <c r="L510" s="10">
        <v>0.3611111111111111</v>
      </c>
      <c r="M510" s="10">
        <v>0.52083333333333337</v>
      </c>
      <c r="N510" s="11">
        <f t="shared" ref="N510:P510" si="309">AVERAGE(96,96,96,96)*1.04</f>
        <v>99.84</v>
      </c>
      <c r="O510" s="11">
        <f t="shared" si="309"/>
        <v>99.84</v>
      </c>
      <c r="P510" s="11">
        <f t="shared" si="309"/>
        <v>99.84</v>
      </c>
      <c r="Q510" s="11">
        <f t="shared" si="177"/>
        <v>99.839999999999989</v>
      </c>
      <c r="R510" s="5">
        <v>3</v>
      </c>
      <c r="S510" s="5">
        <v>25.64</v>
      </c>
      <c r="T510" s="5" t="s">
        <v>9</v>
      </c>
      <c r="U510" s="5" t="s">
        <v>55</v>
      </c>
      <c r="V510" s="5">
        <v>19</v>
      </c>
      <c r="W510" s="5" t="s">
        <v>8</v>
      </c>
      <c r="X510" s="5" t="s">
        <v>8</v>
      </c>
      <c r="Y510" s="5">
        <v>3.5</v>
      </c>
      <c r="Z510" s="5" t="s">
        <v>9</v>
      </c>
      <c r="AA510" s="5" t="s">
        <v>123</v>
      </c>
      <c r="AB510" s="6"/>
    </row>
    <row r="511" spans="1:28" ht="16" x14ac:dyDescent="0.2">
      <c r="A511" s="4">
        <v>45874</v>
      </c>
      <c r="B511" s="19">
        <v>25217</v>
      </c>
      <c r="C511" s="5" t="s">
        <v>46</v>
      </c>
      <c r="D511" s="6"/>
      <c r="E511" s="15">
        <v>42.156238888899999</v>
      </c>
      <c r="F511" s="15">
        <v>-75.3791166667</v>
      </c>
      <c r="G511" s="5" t="s">
        <v>78</v>
      </c>
      <c r="H511" s="5">
        <v>68.5</v>
      </c>
      <c r="I511" s="5">
        <v>81.3</v>
      </c>
      <c r="J511" s="5" t="s">
        <v>8</v>
      </c>
      <c r="K511" s="5" t="s">
        <v>8</v>
      </c>
      <c r="L511" s="10">
        <v>0.3611111111111111</v>
      </c>
      <c r="M511" s="10">
        <v>0.52083333333333337</v>
      </c>
      <c r="N511" s="11">
        <f t="shared" ref="N511:P511" si="310">AVERAGE(96,96,96,96)*1.04</f>
        <v>99.84</v>
      </c>
      <c r="O511" s="11">
        <f t="shared" si="310"/>
        <v>99.84</v>
      </c>
      <c r="P511" s="11">
        <f t="shared" si="310"/>
        <v>99.84</v>
      </c>
      <c r="Q511" s="11">
        <f t="shared" si="177"/>
        <v>99.839999999999989</v>
      </c>
      <c r="R511" s="5">
        <v>3</v>
      </c>
      <c r="S511" s="5">
        <v>3.3</v>
      </c>
      <c r="T511" s="5" t="s">
        <v>4</v>
      </c>
      <c r="U511" s="5" t="s">
        <v>55</v>
      </c>
      <c r="V511" s="5">
        <v>20.6</v>
      </c>
      <c r="W511" s="5" t="s">
        <v>8</v>
      </c>
      <c r="X511" s="5" t="s">
        <v>8</v>
      </c>
      <c r="Y511" s="5">
        <v>5</v>
      </c>
      <c r="Z511" s="5" t="s">
        <v>9</v>
      </c>
      <c r="AA511" s="5" t="s">
        <v>123</v>
      </c>
      <c r="AB511" s="6"/>
    </row>
    <row r="512" spans="1:28" ht="16" x14ac:dyDescent="0.2">
      <c r="A512" s="4">
        <v>45874</v>
      </c>
      <c r="B512" s="19">
        <v>25217</v>
      </c>
      <c r="C512" s="5" t="s">
        <v>46</v>
      </c>
      <c r="D512" s="6"/>
      <c r="E512" s="15">
        <v>42.156238888899999</v>
      </c>
      <c r="F512" s="15">
        <v>-75.3791166667</v>
      </c>
      <c r="G512" s="5" t="s">
        <v>78</v>
      </c>
      <c r="H512" s="5">
        <v>68.5</v>
      </c>
      <c r="I512" s="5">
        <v>81.3</v>
      </c>
      <c r="J512" s="5" t="s">
        <v>8</v>
      </c>
      <c r="K512" s="5" t="s">
        <v>8</v>
      </c>
      <c r="L512" s="10">
        <v>0.3611111111111111</v>
      </c>
      <c r="M512" s="10">
        <v>0.52083333333333337</v>
      </c>
      <c r="N512" s="11">
        <f t="shared" ref="N512:P512" si="311">AVERAGE(96,96,96,96)*1.04</f>
        <v>99.84</v>
      </c>
      <c r="O512" s="11">
        <f t="shared" si="311"/>
        <v>99.84</v>
      </c>
      <c r="P512" s="11">
        <f t="shared" si="311"/>
        <v>99.84</v>
      </c>
      <c r="Q512" s="11">
        <f t="shared" ref="Q512:Q593" si="312">AVERAGE(N512,O512,P512)</f>
        <v>99.839999999999989</v>
      </c>
      <c r="R512" s="5">
        <v>3</v>
      </c>
      <c r="S512" s="5">
        <v>5.5</v>
      </c>
      <c r="T512" s="5" t="s">
        <v>4</v>
      </c>
      <c r="U512" s="5" t="s">
        <v>55</v>
      </c>
      <c r="V512" s="5">
        <v>20.7</v>
      </c>
      <c r="W512" s="5">
        <v>5.6</v>
      </c>
      <c r="X512" s="5">
        <v>15</v>
      </c>
      <c r="Y512" s="5">
        <v>4</v>
      </c>
      <c r="Z512" s="5" t="s">
        <v>9</v>
      </c>
      <c r="AA512" s="5"/>
      <c r="AB512" s="6"/>
    </row>
    <row r="513" spans="1:28" ht="16" x14ac:dyDescent="0.2">
      <c r="A513" s="4">
        <v>45874</v>
      </c>
      <c r="B513" s="19">
        <v>25217</v>
      </c>
      <c r="C513" s="5" t="s">
        <v>46</v>
      </c>
      <c r="D513" s="6"/>
      <c r="E513" s="15">
        <v>42.156238888899999</v>
      </c>
      <c r="F513" s="15">
        <v>-75.3791166667</v>
      </c>
      <c r="G513" s="5" t="s">
        <v>78</v>
      </c>
      <c r="H513" s="5">
        <v>68.5</v>
      </c>
      <c r="I513" s="5">
        <v>81.3</v>
      </c>
      <c r="J513" s="5" t="s">
        <v>8</v>
      </c>
      <c r="K513" s="5" t="s">
        <v>8</v>
      </c>
      <c r="L513" s="10">
        <v>0.3611111111111111</v>
      </c>
      <c r="M513" s="10">
        <v>0.52083333333333337</v>
      </c>
      <c r="N513" s="11">
        <f t="shared" ref="N513:P513" si="313">AVERAGE(96,96,96,96)*1.04</f>
        <v>99.84</v>
      </c>
      <c r="O513" s="11">
        <f t="shared" si="313"/>
        <v>99.84</v>
      </c>
      <c r="P513" s="11">
        <f t="shared" si="313"/>
        <v>99.84</v>
      </c>
      <c r="Q513" s="11">
        <f t="shared" si="312"/>
        <v>99.839999999999989</v>
      </c>
      <c r="R513" s="5">
        <v>3</v>
      </c>
      <c r="S513" s="5">
        <v>12.3</v>
      </c>
      <c r="T513" s="5" t="s">
        <v>4</v>
      </c>
      <c r="U513" s="5" t="s">
        <v>55</v>
      </c>
      <c r="V513" s="5">
        <v>22.2</v>
      </c>
      <c r="W513" s="5" t="s">
        <v>8</v>
      </c>
      <c r="X513" s="5" t="s">
        <v>8</v>
      </c>
      <c r="Y513" s="5">
        <v>2</v>
      </c>
      <c r="Z513" s="5" t="s">
        <v>9</v>
      </c>
      <c r="AA513" s="5" t="s">
        <v>123</v>
      </c>
      <c r="AB513" s="6"/>
    </row>
    <row r="514" spans="1:28" ht="16" x14ac:dyDescent="0.2">
      <c r="A514" s="4">
        <v>45874</v>
      </c>
      <c r="B514" s="19">
        <v>25217</v>
      </c>
      <c r="C514" s="5" t="s">
        <v>46</v>
      </c>
      <c r="D514" s="6"/>
      <c r="E514" s="15">
        <v>42.156238888899999</v>
      </c>
      <c r="F514" s="15">
        <v>-75.3791166667</v>
      </c>
      <c r="G514" s="5" t="s">
        <v>78</v>
      </c>
      <c r="H514" s="5">
        <v>68.5</v>
      </c>
      <c r="I514" s="5">
        <v>81.3</v>
      </c>
      <c r="J514" s="5" t="s">
        <v>8</v>
      </c>
      <c r="K514" s="5" t="s">
        <v>8</v>
      </c>
      <c r="L514" s="10">
        <v>0.3611111111111111</v>
      </c>
      <c r="M514" s="10">
        <v>0.52083333333333337</v>
      </c>
      <c r="N514" s="11">
        <f t="shared" ref="N514:P514" si="314">AVERAGE(96,96,96,96)*1.04</f>
        <v>99.84</v>
      </c>
      <c r="O514" s="11">
        <f t="shared" si="314"/>
        <v>99.84</v>
      </c>
      <c r="P514" s="11">
        <f t="shared" si="314"/>
        <v>99.84</v>
      </c>
      <c r="Q514" s="11">
        <f t="shared" si="312"/>
        <v>99.839999999999989</v>
      </c>
      <c r="R514" s="5">
        <v>3</v>
      </c>
      <c r="S514" s="5">
        <v>13</v>
      </c>
      <c r="T514" s="5" t="s">
        <v>4</v>
      </c>
      <c r="U514" s="5" t="s">
        <v>55</v>
      </c>
      <c r="V514" s="5">
        <v>21.1</v>
      </c>
      <c r="W514" s="5" t="s">
        <v>8</v>
      </c>
      <c r="X514" s="5" t="s">
        <v>8</v>
      </c>
      <c r="Y514" s="5">
        <v>3.5</v>
      </c>
      <c r="Z514" s="5" t="s">
        <v>9</v>
      </c>
      <c r="AA514" s="5" t="s">
        <v>123</v>
      </c>
      <c r="AB514" s="6"/>
    </row>
    <row r="515" spans="1:28" ht="16" x14ac:dyDescent="0.2">
      <c r="A515" s="4">
        <v>45874</v>
      </c>
      <c r="B515" s="19">
        <v>25217</v>
      </c>
      <c r="C515" s="5" t="s">
        <v>46</v>
      </c>
      <c r="D515" s="6"/>
      <c r="E515" s="15">
        <v>42.156238888899999</v>
      </c>
      <c r="F515" s="15">
        <v>-75.3791166667</v>
      </c>
      <c r="G515" s="5" t="s">
        <v>78</v>
      </c>
      <c r="H515" s="5">
        <v>68.5</v>
      </c>
      <c r="I515" s="5">
        <v>81.3</v>
      </c>
      <c r="J515" s="5" t="s">
        <v>8</v>
      </c>
      <c r="K515" s="5" t="s">
        <v>8</v>
      </c>
      <c r="L515" s="10">
        <v>0.3611111111111111</v>
      </c>
      <c r="M515" s="10">
        <v>0.52083333333333337</v>
      </c>
      <c r="N515" s="11">
        <f t="shared" ref="N515:P515" si="315">AVERAGE(96,96,96,96)*1.04</f>
        <v>99.84</v>
      </c>
      <c r="O515" s="11">
        <f t="shared" si="315"/>
        <v>99.84</v>
      </c>
      <c r="P515" s="11">
        <f t="shared" si="315"/>
        <v>99.84</v>
      </c>
      <c r="Q515" s="11">
        <f t="shared" si="312"/>
        <v>99.839999999999989</v>
      </c>
      <c r="R515" s="5">
        <v>3</v>
      </c>
      <c r="S515" s="5">
        <v>16.600000000000001</v>
      </c>
      <c r="T515" s="5" t="s">
        <v>4</v>
      </c>
      <c r="U515" s="5" t="s">
        <v>55</v>
      </c>
      <c r="V515" s="5">
        <v>20.2</v>
      </c>
      <c r="W515" s="5" t="s">
        <v>8</v>
      </c>
      <c r="X515" s="5" t="s">
        <v>8</v>
      </c>
      <c r="Y515" s="5">
        <v>3.5</v>
      </c>
      <c r="Z515" s="5" t="s">
        <v>9</v>
      </c>
      <c r="AA515" s="5" t="s">
        <v>123</v>
      </c>
      <c r="AB515" s="6"/>
    </row>
    <row r="516" spans="1:28" ht="16" x14ac:dyDescent="0.2">
      <c r="A516" s="4">
        <v>45874</v>
      </c>
      <c r="B516" s="19">
        <v>25217</v>
      </c>
      <c r="C516" s="5" t="s">
        <v>46</v>
      </c>
      <c r="D516" s="6"/>
      <c r="E516" s="15">
        <v>42.156238888899999</v>
      </c>
      <c r="F516" s="15">
        <v>-75.3791166667</v>
      </c>
      <c r="G516" s="5" t="s">
        <v>78</v>
      </c>
      <c r="H516" s="5">
        <v>68.5</v>
      </c>
      <c r="I516" s="5">
        <v>81.3</v>
      </c>
      <c r="J516" s="5" t="s">
        <v>8</v>
      </c>
      <c r="K516" s="5" t="s">
        <v>8</v>
      </c>
      <c r="L516" s="10">
        <v>0.3611111111111111</v>
      </c>
      <c r="M516" s="10">
        <v>0.52083333333333337</v>
      </c>
      <c r="N516" s="11">
        <f t="shared" ref="N516:P516" si="316">AVERAGE(96,96,96,96)*1.04</f>
        <v>99.84</v>
      </c>
      <c r="O516" s="11">
        <f t="shared" si="316"/>
        <v>99.84</v>
      </c>
      <c r="P516" s="11">
        <f t="shared" si="316"/>
        <v>99.84</v>
      </c>
      <c r="Q516" s="11">
        <f t="shared" si="312"/>
        <v>99.839999999999989</v>
      </c>
      <c r="R516" s="5">
        <v>3</v>
      </c>
      <c r="S516" s="5">
        <v>25.8</v>
      </c>
      <c r="T516" s="5" t="s">
        <v>4</v>
      </c>
      <c r="U516" s="5" t="s">
        <v>55</v>
      </c>
      <c r="V516" s="5">
        <v>21.1</v>
      </c>
      <c r="W516" s="5" t="s">
        <v>8</v>
      </c>
      <c r="X516" s="5" t="s">
        <v>8</v>
      </c>
      <c r="Y516" s="5">
        <v>2</v>
      </c>
      <c r="Z516" s="5" t="s">
        <v>9</v>
      </c>
      <c r="AA516" s="5" t="s">
        <v>123</v>
      </c>
      <c r="AB516" s="6"/>
    </row>
    <row r="517" spans="1:28" ht="16" x14ac:dyDescent="0.2">
      <c r="A517" s="4">
        <v>45875</v>
      </c>
      <c r="B517" s="19">
        <v>25218</v>
      </c>
      <c r="C517" s="5" t="s">
        <v>49</v>
      </c>
      <c r="D517" s="6"/>
      <c r="E517" s="15">
        <v>42.441280555600002</v>
      </c>
      <c r="F517" s="15">
        <v>-76.408291666699995</v>
      </c>
      <c r="G517" s="5" t="s">
        <v>137</v>
      </c>
      <c r="H517" s="5">
        <v>70</v>
      </c>
      <c r="I517" s="5">
        <v>81.900000000000006</v>
      </c>
      <c r="J517" s="5">
        <v>76.7</v>
      </c>
      <c r="K517" s="5">
        <v>67.8</v>
      </c>
      <c r="L517" s="10">
        <v>0.37152777777777779</v>
      </c>
      <c r="M517" s="10">
        <v>0.56597222222222221</v>
      </c>
      <c r="N517" s="11">
        <f t="shared" ref="N517:P517" si="317">AVERAGE(96,96,96,96)*1.04</f>
        <v>99.84</v>
      </c>
      <c r="O517" s="11">
        <f t="shared" si="317"/>
        <v>99.84</v>
      </c>
      <c r="P517" s="11">
        <f t="shared" si="317"/>
        <v>99.84</v>
      </c>
      <c r="Q517" s="11">
        <f t="shared" si="312"/>
        <v>99.839999999999989</v>
      </c>
      <c r="R517" s="5">
        <v>1</v>
      </c>
      <c r="S517" s="5">
        <v>4.2</v>
      </c>
      <c r="T517" s="5" t="s">
        <v>4</v>
      </c>
      <c r="U517" s="5" t="s">
        <v>55</v>
      </c>
      <c r="V517" s="5">
        <v>20.2</v>
      </c>
      <c r="W517" s="5" t="s">
        <v>8</v>
      </c>
      <c r="X517" s="5" t="s">
        <v>8</v>
      </c>
      <c r="Y517" s="5">
        <v>2.5</v>
      </c>
      <c r="Z517" s="5" t="s">
        <v>9</v>
      </c>
      <c r="AA517" s="5" t="s">
        <v>340</v>
      </c>
      <c r="AB517" s="6"/>
    </row>
    <row r="518" spans="1:28" ht="16" x14ac:dyDescent="0.2">
      <c r="A518" s="4">
        <v>45875</v>
      </c>
      <c r="B518" s="19">
        <v>25218</v>
      </c>
      <c r="C518" s="5" t="s">
        <v>49</v>
      </c>
      <c r="D518" s="6"/>
      <c r="E518" s="15">
        <v>42.441280555600002</v>
      </c>
      <c r="F518" s="15">
        <v>-76.408291666699995</v>
      </c>
      <c r="G518" s="5" t="s">
        <v>137</v>
      </c>
      <c r="H518" s="5">
        <v>70</v>
      </c>
      <c r="I518" s="5">
        <v>81.900000000000006</v>
      </c>
      <c r="J518" s="5">
        <v>76.7</v>
      </c>
      <c r="K518" s="5">
        <v>67.8</v>
      </c>
      <c r="L518" s="10">
        <v>0.37152777777777779</v>
      </c>
      <c r="M518" s="10">
        <v>0.56597222222222221</v>
      </c>
      <c r="N518" s="11">
        <f t="shared" ref="N518:P518" si="318">AVERAGE(96,96,96,96)*1.04</f>
        <v>99.84</v>
      </c>
      <c r="O518" s="11">
        <f t="shared" si="318"/>
        <v>99.84</v>
      </c>
      <c r="P518" s="11">
        <f t="shared" si="318"/>
        <v>99.84</v>
      </c>
      <c r="Q518" s="11">
        <f t="shared" si="312"/>
        <v>99.839999999999989</v>
      </c>
      <c r="R518" s="5">
        <v>1</v>
      </c>
      <c r="S518" s="5">
        <v>2.2999999999999998</v>
      </c>
      <c r="T518" s="5" t="s">
        <v>9</v>
      </c>
      <c r="U518" s="5" t="s">
        <v>90</v>
      </c>
      <c r="V518" s="5">
        <v>20.5</v>
      </c>
      <c r="W518" s="5" t="s">
        <v>8</v>
      </c>
      <c r="X518" s="5" t="s">
        <v>8</v>
      </c>
      <c r="Y518" s="5">
        <v>3.5</v>
      </c>
      <c r="Z518" s="5" t="s">
        <v>9</v>
      </c>
      <c r="AA518" s="5" t="s">
        <v>123</v>
      </c>
      <c r="AB518" s="6"/>
    </row>
    <row r="519" spans="1:28" ht="16" x14ac:dyDescent="0.2">
      <c r="A519" s="4">
        <v>45875</v>
      </c>
      <c r="B519" s="19">
        <v>25218</v>
      </c>
      <c r="C519" s="5" t="s">
        <v>49</v>
      </c>
      <c r="D519" s="6"/>
      <c r="E519" s="15">
        <v>42.441280555600002</v>
      </c>
      <c r="F519" s="15">
        <v>-76.408291666699995</v>
      </c>
      <c r="G519" s="5" t="s">
        <v>137</v>
      </c>
      <c r="H519" s="5">
        <v>70</v>
      </c>
      <c r="I519" s="5">
        <v>81.900000000000006</v>
      </c>
      <c r="J519" s="5">
        <v>76.7</v>
      </c>
      <c r="K519" s="5">
        <v>67.8</v>
      </c>
      <c r="L519" s="10">
        <v>0.37152777777777779</v>
      </c>
      <c r="M519" s="10">
        <v>0.56597222222222221</v>
      </c>
      <c r="N519" s="11">
        <f t="shared" ref="N519:P519" si="319">AVERAGE(96,96,96,96)*1.04</f>
        <v>99.84</v>
      </c>
      <c r="O519" s="11">
        <f t="shared" si="319"/>
        <v>99.84</v>
      </c>
      <c r="P519" s="11">
        <f t="shared" si="319"/>
        <v>99.84</v>
      </c>
      <c r="Q519" s="11">
        <f t="shared" si="312"/>
        <v>99.839999999999989</v>
      </c>
      <c r="R519" s="5">
        <v>1</v>
      </c>
      <c r="S519" s="5">
        <v>14</v>
      </c>
      <c r="T519" s="5" t="s">
        <v>9</v>
      </c>
      <c r="U519" s="5" t="s">
        <v>55</v>
      </c>
      <c r="V519" s="5">
        <v>19.899999999999999</v>
      </c>
      <c r="W519" s="5" t="s">
        <v>8</v>
      </c>
      <c r="X519" s="5" t="s">
        <v>8</v>
      </c>
      <c r="Y519" s="5">
        <v>4</v>
      </c>
      <c r="Z519" s="5" t="s">
        <v>9</v>
      </c>
      <c r="AA519" s="5" t="s">
        <v>123</v>
      </c>
      <c r="AB519" s="6"/>
    </row>
    <row r="520" spans="1:28" ht="16" x14ac:dyDescent="0.2">
      <c r="A520" s="4">
        <v>45875</v>
      </c>
      <c r="B520" s="19">
        <v>25218</v>
      </c>
      <c r="C520" s="5" t="s">
        <v>49</v>
      </c>
      <c r="D520" s="6"/>
      <c r="E520" s="15">
        <v>42.441280555600002</v>
      </c>
      <c r="F520" s="15">
        <v>-76.408291666699995</v>
      </c>
      <c r="G520" s="5" t="s">
        <v>137</v>
      </c>
      <c r="H520" s="5">
        <v>70</v>
      </c>
      <c r="I520" s="5">
        <v>81.900000000000006</v>
      </c>
      <c r="J520" s="5">
        <v>76.7</v>
      </c>
      <c r="K520" s="5">
        <v>67.8</v>
      </c>
      <c r="L520" s="10">
        <v>0.37152777777777779</v>
      </c>
      <c r="M520" s="10">
        <v>0.56597222222222221</v>
      </c>
      <c r="N520" s="11">
        <f t="shared" ref="N520:P520" si="320">AVERAGE(96,96,96,96)*1.04</f>
        <v>99.84</v>
      </c>
      <c r="O520" s="11">
        <f t="shared" si="320"/>
        <v>99.84</v>
      </c>
      <c r="P520" s="11">
        <f t="shared" si="320"/>
        <v>99.84</v>
      </c>
      <c r="Q520" s="11">
        <f t="shared" si="312"/>
        <v>99.839999999999989</v>
      </c>
      <c r="R520" s="5">
        <v>1</v>
      </c>
      <c r="S520" s="5">
        <v>26.89</v>
      </c>
      <c r="T520" s="5" t="s">
        <v>9</v>
      </c>
      <c r="U520" s="5" t="s">
        <v>56</v>
      </c>
      <c r="V520" s="5">
        <v>19.899999999999999</v>
      </c>
      <c r="W520" s="5" t="s">
        <v>8</v>
      </c>
      <c r="X520" s="5" t="s">
        <v>8</v>
      </c>
      <c r="Y520" s="5">
        <v>2.5</v>
      </c>
      <c r="Z520" s="5" t="s">
        <v>9</v>
      </c>
      <c r="AA520" s="5" t="s">
        <v>123</v>
      </c>
      <c r="AB520" s="6"/>
    </row>
    <row r="521" spans="1:28" ht="16" x14ac:dyDescent="0.2">
      <c r="A521" s="4">
        <v>45875</v>
      </c>
      <c r="B521" s="19">
        <v>25218</v>
      </c>
      <c r="C521" s="5" t="s">
        <v>49</v>
      </c>
      <c r="D521" s="6"/>
      <c r="E521" s="15">
        <v>42.441280555600002</v>
      </c>
      <c r="F521" s="15">
        <v>-76.408291666699995</v>
      </c>
      <c r="G521" s="5" t="s">
        <v>137</v>
      </c>
      <c r="H521" s="5">
        <v>70</v>
      </c>
      <c r="I521" s="5">
        <v>81.900000000000006</v>
      </c>
      <c r="J521" s="5">
        <v>76.7</v>
      </c>
      <c r="K521" s="5">
        <v>67.8</v>
      </c>
      <c r="L521" s="10">
        <v>0.37152777777777779</v>
      </c>
      <c r="M521" s="10">
        <v>0.56597222222222221</v>
      </c>
      <c r="N521" s="11">
        <f t="shared" ref="N521:P521" si="321">AVERAGE(96,96,96,96)*1.04</f>
        <v>99.84</v>
      </c>
      <c r="O521" s="11">
        <f t="shared" si="321"/>
        <v>99.84</v>
      </c>
      <c r="P521" s="11">
        <f t="shared" si="321"/>
        <v>99.84</v>
      </c>
      <c r="Q521" s="11">
        <f t="shared" si="312"/>
        <v>99.839999999999989</v>
      </c>
      <c r="R521" s="5">
        <v>1</v>
      </c>
      <c r="S521" s="5">
        <v>0.74</v>
      </c>
      <c r="T521" s="5" t="s">
        <v>4</v>
      </c>
      <c r="U521" s="5" t="s">
        <v>62</v>
      </c>
      <c r="V521" s="5">
        <v>20.100000000000001</v>
      </c>
      <c r="W521" s="5" t="s">
        <v>8</v>
      </c>
      <c r="X521" s="5" t="s">
        <v>8</v>
      </c>
      <c r="Y521" s="5">
        <v>3.5</v>
      </c>
      <c r="Z521" s="5" t="s">
        <v>195</v>
      </c>
      <c r="AA521" s="5" t="s">
        <v>123</v>
      </c>
      <c r="AB521" s="6"/>
    </row>
    <row r="522" spans="1:28" ht="16" x14ac:dyDescent="0.2">
      <c r="A522" s="4">
        <v>45875</v>
      </c>
      <c r="B522" s="19">
        <v>25218</v>
      </c>
      <c r="C522" s="5" t="s">
        <v>49</v>
      </c>
      <c r="D522" s="6"/>
      <c r="E522" s="15">
        <v>42.441280555600002</v>
      </c>
      <c r="F522" s="15">
        <v>-76.408291666699995</v>
      </c>
      <c r="G522" s="5" t="s">
        <v>137</v>
      </c>
      <c r="H522" s="5">
        <v>70</v>
      </c>
      <c r="I522" s="5">
        <v>81.900000000000006</v>
      </c>
      <c r="J522" s="5">
        <v>76.7</v>
      </c>
      <c r="K522" s="5">
        <v>67.8</v>
      </c>
      <c r="L522" s="10">
        <v>0.37152777777777779</v>
      </c>
      <c r="M522" s="10">
        <v>0.56597222222222221</v>
      </c>
      <c r="N522" s="11">
        <f t="shared" ref="N522:P522" si="322">AVERAGE(96,96,96,96)*1.04</f>
        <v>99.84</v>
      </c>
      <c r="O522" s="11">
        <f t="shared" si="322"/>
        <v>99.84</v>
      </c>
      <c r="P522" s="11">
        <f t="shared" si="322"/>
        <v>99.84</v>
      </c>
      <c r="Q522" s="11">
        <f t="shared" si="312"/>
        <v>99.839999999999989</v>
      </c>
      <c r="R522" s="5">
        <v>1</v>
      </c>
      <c r="S522" s="5">
        <v>8</v>
      </c>
      <c r="T522" s="5" t="s">
        <v>4</v>
      </c>
      <c r="U522" s="5" t="s">
        <v>55</v>
      </c>
      <c r="V522" s="5">
        <v>20</v>
      </c>
      <c r="W522" s="5" t="s">
        <v>8</v>
      </c>
      <c r="X522" s="5" t="s">
        <v>8</v>
      </c>
      <c r="Y522" s="5">
        <v>2.5</v>
      </c>
      <c r="Z522" s="5" t="s">
        <v>9</v>
      </c>
      <c r="AA522" s="5" t="s">
        <v>123</v>
      </c>
      <c r="AB522" s="6"/>
    </row>
    <row r="523" spans="1:28" ht="16" x14ac:dyDescent="0.2">
      <c r="A523" s="4">
        <v>45875</v>
      </c>
      <c r="B523" s="19">
        <v>25218</v>
      </c>
      <c r="C523" s="5" t="s">
        <v>49</v>
      </c>
      <c r="D523" s="6"/>
      <c r="E523" s="15">
        <v>42.441280555600002</v>
      </c>
      <c r="F523" s="15">
        <v>-76.408291666699995</v>
      </c>
      <c r="G523" s="5" t="s">
        <v>137</v>
      </c>
      <c r="H523" s="5">
        <v>70</v>
      </c>
      <c r="I523" s="5">
        <v>81.900000000000006</v>
      </c>
      <c r="J523" s="5">
        <v>76.7</v>
      </c>
      <c r="K523" s="5">
        <v>67.8</v>
      </c>
      <c r="L523" s="10">
        <v>0.37152777777777779</v>
      </c>
      <c r="M523" s="10">
        <v>0.56597222222222221</v>
      </c>
      <c r="N523" s="11">
        <f t="shared" ref="N523:P523" si="323">AVERAGE(96,96,96,96)*1.04</f>
        <v>99.84</v>
      </c>
      <c r="O523" s="11">
        <f t="shared" si="323"/>
        <v>99.84</v>
      </c>
      <c r="P523" s="11">
        <f t="shared" si="323"/>
        <v>99.84</v>
      </c>
      <c r="Q523" s="11">
        <f t="shared" si="312"/>
        <v>99.839999999999989</v>
      </c>
      <c r="R523" s="5">
        <v>1</v>
      </c>
      <c r="S523" s="5">
        <v>6.9</v>
      </c>
      <c r="T523" s="5" t="s">
        <v>4</v>
      </c>
      <c r="U523" s="5" t="s">
        <v>55</v>
      </c>
      <c r="V523" s="5">
        <v>20.399999999999999</v>
      </c>
      <c r="W523" s="5" t="s">
        <v>8</v>
      </c>
      <c r="X523" s="5" t="s">
        <v>8</v>
      </c>
      <c r="Y523" s="5">
        <v>2</v>
      </c>
      <c r="Z523" s="5" t="s">
        <v>196</v>
      </c>
      <c r="AA523" s="5" t="s">
        <v>123</v>
      </c>
      <c r="AB523" s="6"/>
    </row>
    <row r="524" spans="1:28" ht="16" x14ac:dyDescent="0.2">
      <c r="A524" s="4">
        <v>45875</v>
      </c>
      <c r="B524" s="19">
        <v>25218</v>
      </c>
      <c r="C524" s="5" t="s">
        <v>49</v>
      </c>
      <c r="D524" s="6"/>
      <c r="E524" s="15">
        <v>42.441280555600002</v>
      </c>
      <c r="F524" s="15">
        <v>-76.408291666699995</v>
      </c>
      <c r="G524" s="5" t="s">
        <v>137</v>
      </c>
      <c r="H524" s="5">
        <v>70</v>
      </c>
      <c r="I524" s="5">
        <v>81.900000000000006</v>
      </c>
      <c r="J524" s="5">
        <v>76.7</v>
      </c>
      <c r="K524" s="5">
        <v>67.8</v>
      </c>
      <c r="L524" s="10">
        <v>0.37152777777777779</v>
      </c>
      <c r="M524" s="10">
        <v>0.56597222222222221</v>
      </c>
      <c r="N524" s="11">
        <f t="shared" ref="N524:P524" si="324">AVERAGE(96,96,96,96)*1.04</f>
        <v>99.84</v>
      </c>
      <c r="O524" s="11">
        <f t="shared" si="324"/>
        <v>99.84</v>
      </c>
      <c r="P524" s="11">
        <f t="shared" si="324"/>
        <v>99.84</v>
      </c>
      <c r="Q524" s="11">
        <f t="shared" si="312"/>
        <v>99.839999999999989</v>
      </c>
      <c r="R524" s="5">
        <v>1</v>
      </c>
      <c r="S524" s="5">
        <v>6.5</v>
      </c>
      <c r="T524" s="5" t="s">
        <v>4</v>
      </c>
      <c r="U524" s="5" t="s">
        <v>55</v>
      </c>
      <c r="V524" s="5">
        <v>20.3</v>
      </c>
      <c r="W524" s="5" t="s">
        <v>8</v>
      </c>
      <c r="X524" s="5" t="s">
        <v>8</v>
      </c>
      <c r="Y524" s="5">
        <v>2</v>
      </c>
      <c r="Z524" s="5" t="s">
        <v>196</v>
      </c>
      <c r="AA524" s="5" t="s">
        <v>197</v>
      </c>
      <c r="AB524" s="6"/>
    </row>
    <row r="525" spans="1:28" ht="16" x14ac:dyDescent="0.2">
      <c r="A525" s="4">
        <v>45875</v>
      </c>
      <c r="B525" s="19">
        <v>25218</v>
      </c>
      <c r="C525" s="5" t="s">
        <v>49</v>
      </c>
      <c r="D525" s="6"/>
      <c r="E525" s="15">
        <v>42.441280555600002</v>
      </c>
      <c r="F525" s="15">
        <v>-76.408291666699995</v>
      </c>
      <c r="G525" s="5" t="s">
        <v>137</v>
      </c>
      <c r="H525" s="5">
        <v>70</v>
      </c>
      <c r="I525" s="5">
        <v>81.900000000000006</v>
      </c>
      <c r="J525" s="5">
        <v>76.7</v>
      </c>
      <c r="K525" s="5">
        <v>67.8</v>
      </c>
      <c r="L525" s="10">
        <v>0.37152777777777779</v>
      </c>
      <c r="M525" s="10">
        <v>0.56597222222222221</v>
      </c>
      <c r="N525" s="11">
        <f t="shared" ref="N525:P525" si="325">AVERAGE(96,96,96,96)*1.04</f>
        <v>99.84</v>
      </c>
      <c r="O525" s="11">
        <f t="shared" si="325"/>
        <v>99.84</v>
      </c>
      <c r="P525" s="11">
        <f t="shared" si="325"/>
        <v>99.84</v>
      </c>
      <c r="Q525" s="11">
        <f t="shared" si="312"/>
        <v>99.839999999999989</v>
      </c>
      <c r="R525" s="5">
        <v>1</v>
      </c>
      <c r="S525" s="5">
        <v>10.4</v>
      </c>
      <c r="T525" s="5" t="s">
        <v>4</v>
      </c>
      <c r="U525" s="5" t="s">
        <v>55</v>
      </c>
      <c r="V525" s="5">
        <v>20.2</v>
      </c>
      <c r="W525" s="5" t="s">
        <v>8</v>
      </c>
      <c r="X525" s="5" t="s">
        <v>8</v>
      </c>
      <c r="Y525" s="5">
        <v>3.5</v>
      </c>
      <c r="Z525" s="5" t="s">
        <v>9</v>
      </c>
      <c r="AA525" s="5" t="s">
        <v>123</v>
      </c>
      <c r="AB525" s="6"/>
    </row>
    <row r="526" spans="1:28" ht="16" x14ac:dyDescent="0.2">
      <c r="A526" s="4">
        <v>45875</v>
      </c>
      <c r="B526" s="19">
        <v>25218</v>
      </c>
      <c r="C526" s="5" t="s">
        <v>49</v>
      </c>
      <c r="D526" s="6"/>
      <c r="E526" s="15">
        <v>42.441280555600002</v>
      </c>
      <c r="F526" s="15">
        <v>-76.408291666699995</v>
      </c>
      <c r="G526" s="5" t="s">
        <v>137</v>
      </c>
      <c r="H526" s="5">
        <v>70</v>
      </c>
      <c r="I526" s="5">
        <v>81.900000000000006</v>
      </c>
      <c r="J526" s="5">
        <v>76.7</v>
      </c>
      <c r="K526" s="5">
        <v>67.8</v>
      </c>
      <c r="L526" s="10">
        <v>0.37152777777777779</v>
      </c>
      <c r="M526" s="10">
        <v>0.56597222222222221</v>
      </c>
      <c r="N526" s="11">
        <f t="shared" ref="N526:P526" si="326">AVERAGE(96,96,96,96)*1.04</f>
        <v>99.84</v>
      </c>
      <c r="O526" s="11">
        <f t="shared" si="326"/>
        <v>99.84</v>
      </c>
      <c r="P526" s="11">
        <f t="shared" si="326"/>
        <v>99.84</v>
      </c>
      <c r="Q526" s="11">
        <f t="shared" si="312"/>
        <v>99.839999999999989</v>
      </c>
      <c r="R526" s="5">
        <v>1</v>
      </c>
      <c r="S526" s="5">
        <v>12.2</v>
      </c>
      <c r="T526" s="5" t="s">
        <v>4</v>
      </c>
      <c r="U526" s="5" t="s">
        <v>55</v>
      </c>
      <c r="V526" s="5">
        <v>20.2</v>
      </c>
      <c r="W526" s="5" t="s">
        <v>8</v>
      </c>
      <c r="X526" s="5" t="s">
        <v>8</v>
      </c>
      <c r="Y526" s="5">
        <v>3</v>
      </c>
      <c r="Z526" s="5" t="s">
        <v>108</v>
      </c>
      <c r="AA526" s="5" t="s">
        <v>123</v>
      </c>
      <c r="AB526" s="6"/>
    </row>
    <row r="527" spans="1:28" ht="16" x14ac:dyDescent="0.2">
      <c r="A527" s="4">
        <v>45875</v>
      </c>
      <c r="B527" s="19">
        <v>25218</v>
      </c>
      <c r="C527" s="5" t="s">
        <v>49</v>
      </c>
      <c r="D527" s="6"/>
      <c r="E527" s="15">
        <v>42.441280555600002</v>
      </c>
      <c r="F527" s="15">
        <v>-76.408291666699995</v>
      </c>
      <c r="G527" s="5" t="s">
        <v>137</v>
      </c>
      <c r="H527" s="5">
        <v>70</v>
      </c>
      <c r="I527" s="5">
        <v>81.900000000000006</v>
      </c>
      <c r="J527" s="5">
        <v>76.7</v>
      </c>
      <c r="K527" s="5">
        <v>67.8</v>
      </c>
      <c r="L527" s="10">
        <v>0.37152777777777779</v>
      </c>
      <c r="M527" s="10">
        <v>0.56597222222222221</v>
      </c>
      <c r="N527" s="11">
        <f t="shared" ref="N527:P527" si="327">AVERAGE(96,96,96,96)*1.04</f>
        <v>99.84</v>
      </c>
      <c r="O527" s="11">
        <f t="shared" si="327"/>
        <v>99.84</v>
      </c>
      <c r="P527" s="11">
        <f t="shared" si="327"/>
        <v>99.84</v>
      </c>
      <c r="Q527" s="11">
        <f t="shared" si="312"/>
        <v>99.839999999999989</v>
      </c>
      <c r="R527" s="5">
        <v>1</v>
      </c>
      <c r="S527" s="5">
        <v>16.8</v>
      </c>
      <c r="T527" s="5" t="s">
        <v>4</v>
      </c>
      <c r="U527" s="5" t="s">
        <v>55</v>
      </c>
      <c r="V527" s="5">
        <v>21.1</v>
      </c>
      <c r="W527" s="5" t="s">
        <v>8</v>
      </c>
      <c r="X527" s="5" t="s">
        <v>8</v>
      </c>
      <c r="Y527" s="5">
        <v>2.5</v>
      </c>
      <c r="Z527" s="5" t="s">
        <v>9</v>
      </c>
      <c r="AA527" s="5" t="s">
        <v>123</v>
      </c>
      <c r="AB527" s="6"/>
    </row>
    <row r="528" spans="1:28" ht="16" x14ac:dyDescent="0.2">
      <c r="A528" s="4">
        <v>45875</v>
      </c>
      <c r="B528" s="19">
        <v>25218</v>
      </c>
      <c r="C528" s="5" t="s">
        <v>49</v>
      </c>
      <c r="D528" s="6"/>
      <c r="E528" s="15">
        <v>42.441280555600002</v>
      </c>
      <c r="F528" s="15">
        <v>-76.408291666699995</v>
      </c>
      <c r="G528" s="5" t="s">
        <v>137</v>
      </c>
      <c r="H528" s="5">
        <v>70</v>
      </c>
      <c r="I528" s="5">
        <v>81.900000000000006</v>
      </c>
      <c r="J528" s="5">
        <v>76.7</v>
      </c>
      <c r="K528" s="5">
        <v>67.8</v>
      </c>
      <c r="L528" s="10">
        <v>0.37152777777777779</v>
      </c>
      <c r="M528" s="10">
        <v>0.56597222222222221</v>
      </c>
      <c r="N528" s="11">
        <f t="shared" ref="N528:P528" si="328">AVERAGE(96,96,96,96)*1.04</f>
        <v>99.84</v>
      </c>
      <c r="O528" s="11">
        <f t="shared" si="328"/>
        <v>99.84</v>
      </c>
      <c r="P528" s="11">
        <f t="shared" si="328"/>
        <v>99.84</v>
      </c>
      <c r="Q528" s="11">
        <f t="shared" si="312"/>
        <v>99.839999999999989</v>
      </c>
      <c r="R528" s="5">
        <v>1</v>
      </c>
      <c r="S528" s="5">
        <v>21.68</v>
      </c>
      <c r="T528" s="5" t="s">
        <v>4</v>
      </c>
      <c r="U528" s="5" t="s">
        <v>187</v>
      </c>
      <c r="V528" s="5">
        <v>20.9</v>
      </c>
      <c r="W528" s="5" t="s">
        <v>8</v>
      </c>
      <c r="X528" s="5" t="s">
        <v>8</v>
      </c>
      <c r="Y528" s="5">
        <v>2</v>
      </c>
      <c r="Z528" s="5" t="s">
        <v>9</v>
      </c>
      <c r="AA528" s="5" t="s">
        <v>123</v>
      </c>
      <c r="AB528" s="6"/>
    </row>
    <row r="529" spans="1:28" ht="16" x14ac:dyDescent="0.2">
      <c r="A529" s="4">
        <v>45875</v>
      </c>
      <c r="B529" s="19">
        <v>25218</v>
      </c>
      <c r="C529" s="5" t="s">
        <v>49</v>
      </c>
      <c r="D529" s="6"/>
      <c r="E529" s="15">
        <v>42.441280555600002</v>
      </c>
      <c r="F529" s="15">
        <v>-76.408291666699995</v>
      </c>
      <c r="G529" s="5" t="s">
        <v>137</v>
      </c>
      <c r="H529" s="5">
        <v>70</v>
      </c>
      <c r="I529" s="5">
        <v>81.900000000000006</v>
      </c>
      <c r="J529" s="5">
        <v>76.7</v>
      </c>
      <c r="K529" s="5">
        <v>67.8</v>
      </c>
      <c r="L529" s="10">
        <v>0.37152777777777779</v>
      </c>
      <c r="M529" s="10">
        <v>0.56597222222222221</v>
      </c>
      <c r="N529" s="11">
        <f t="shared" ref="N529:P529" si="329">AVERAGE(96,96,96,96)*1.04</f>
        <v>99.84</v>
      </c>
      <c r="O529" s="11">
        <f t="shared" si="329"/>
        <v>99.84</v>
      </c>
      <c r="P529" s="11">
        <f t="shared" si="329"/>
        <v>99.84</v>
      </c>
      <c r="Q529" s="11">
        <f t="shared" si="312"/>
        <v>99.839999999999989</v>
      </c>
      <c r="R529" s="5">
        <v>1</v>
      </c>
      <c r="S529" s="5">
        <v>23.4</v>
      </c>
      <c r="T529" s="5" t="s">
        <v>4</v>
      </c>
      <c r="U529" s="5" t="s">
        <v>56</v>
      </c>
      <c r="V529" s="5">
        <v>20.6</v>
      </c>
      <c r="W529" s="5" t="s">
        <v>8</v>
      </c>
      <c r="X529" s="5" t="s">
        <v>8</v>
      </c>
      <c r="Y529" s="5">
        <v>0</v>
      </c>
      <c r="Z529" s="5" t="s">
        <v>9</v>
      </c>
      <c r="AA529" s="5" t="s">
        <v>123</v>
      </c>
      <c r="AB529" s="6"/>
    </row>
    <row r="530" spans="1:28" ht="16" x14ac:dyDescent="0.2">
      <c r="A530" s="4">
        <v>45875</v>
      </c>
      <c r="B530" s="19">
        <v>25218</v>
      </c>
      <c r="C530" s="5" t="s">
        <v>49</v>
      </c>
      <c r="D530" s="6"/>
      <c r="E530" s="15">
        <v>42.441280555600002</v>
      </c>
      <c r="F530" s="15">
        <v>-76.408291666699995</v>
      </c>
      <c r="G530" s="5" t="s">
        <v>137</v>
      </c>
      <c r="H530" s="5">
        <v>70</v>
      </c>
      <c r="I530" s="5">
        <v>81.900000000000006</v>
      </c>
      <c r="J530" s="5">
        <v>76.7</v>
      </c>
      <c r="K530" s="5">
        <v>67.8</v>
      </c>
      <c r="L530" s="10">
        <v>0.37152777777777779</v>
      </c>
      <c r="M530" s="10">
        <v>0.56597222222222221</v>
      </c>
      <c r="N530" s="11">
        <f t="shared" ref="N530:P530" si="330">AVERAGE(96,96,96,96)*1.04</f>
        <v>99.84</v>
      </c>
      <c r="O530" s="11">
        <f t="shared" si="330"/>
        <v>99.84</v>
      </c>
      <c r="P530" s="11">
        <f t="shared" si="330"/>
        <v>99.84</v>
      </c>
      <c r="Q530" s="11">
        <f t="shared" si="312"/>
        <v>99.839999999999989</v>
      </c>
      <c r="R530" s="5">
        <v>2</v>
      </c>
      <c r="S530" s="5">
        <v>4.3</v>
      </c>
      <c r="T530" s="5" t="s">
        <v>9</v>
      </c>
      <c r="U530" s="5" t="s">
        <v>55</v>
      </c>
      <c r="V530" s="5">
        <v>21.1</v>
      </c>
      <c r="W530" s="5" t="s">
        <v>8</v>
      </c>
      <c r="X530" s="5" t="s">
        <v>8</v>
      </c>
      <c r="Y530" s="5">
        <v>2.5</v>
      </c>
      <c r="Z530" s="5" t="s">
        <v>9</v>
      </c>
      <c r="AA530" s="5" t="s">
        <v>123</v>
      </c>
      <c r="AB530" s="6"/>
    </row>
    <row r="531" spans="1:28" ht="16" x14ac:dyDescent="0.2">
      <c r="A531" s="4">
        <v>45875</v>
      </c>
      <c r="B531" s="19">
        <v>25218</v>
      </c>
      <c r="C531" s="5" t="s">
        <v>49</v>
      </c>
      <c r="D531" s="6"/>
      <c r="E531" s="15">
        <v>42.441280555600002</v>
      </c>
      <c r="F531" s="15">
        <v>-76.408291666699995</v>
      </c>
      <c r="G531" s="5" t="s">
        <v>137</v>
      </c>
      <c r="H531" s="5">
        <v>70</v>
      </c>
      <c r="I531" s="5">
        <v>81.900000000000006</v>
      </c>
      <c r="J531" s="5">
        <v>76.7</v>
      </c>
      <c r="K531" s="5">
        <v>67.8</v>
      </c>
      <c r="L531" s="10">
        <v>0.37152777777777779</v>
      </c>
      <c r="M531" s="10">
        <v>0.56597222222222221</v>
      </c>
      <c r="N531" s="11">
        <f t="shared" ref="N531:P531" si="331">AVERAGE(96,96,96,96)*1.04</f>
        <v>99.84</v>
      </c>
      <c r="O531" s="11">
        <f t="shared" si="331"/>
        <v>99.84</v>
      </c>
      <c r="P531" s="11">
        <f t="shared" si="331"/>
        <v>99.84</v>
      </c>
      <c r="Q531" s="11">
        <f t="shared" si="312"/>
        <v>99.839999999999989</v>
      </c>
      <c r="R531" s="5">
        <v>2</v>
      </c>
      <c r="S531" s="5">
        <v>14</v>
      </c>
      <c r="T531" s="5" t="s">
        <v>4</v>
      </c>
      <c r="U531" s="5" t="s">
        <v>55</v>
      </c>
      <c r="V531" s="5">
        <v>20.100000000000001</v>
      </c>
      <c r="W531" s="5" t="s">
        <v>8</v>
      </c>
      <c r="X531" s="5" t="s">
        <v>8</v>
      </c>
      <c r="Y531" s="5">
        <v>3.5</v>
      </c>
      <c r="Z531" s="5" t="s">
        <v>67</v>
      </c>
      <c r="AA531" s="5" t="s">
        <v>197</v>
      </c>
      <c r="AB531" s="6"/>
    </row>
    <row r="532" spans="1:28" ht="16" x14ac:dyDescent="0.2">
      <c r="A532" s="4">
        <v>45875</v>
      </c>
      <c r="B532" s="19">
        <v>25218</v>
      </c>
      <c r="C532" s="5" t="s">
        <v>49</v>
      </c>
      <c r="D532" s="6"/>
      <c r="E532" s="15">
        <v>42.441280555600002</v>
      </c>
      <c r="F532" s="15">
        <v>-76.408291666699995</v>
      </c>
      <c r="G532" s="5" t="s">
        <v>137</v>
      </c>
      <c r="H532" s="5">
        <v>70</v>
      </c>
      <c r="I532" s="5">
        <v>81.900000000000006</v>
      </c>
      <c r="J532" s="5">
        <v>76.7</v>
      </c>
      <c r="K532" s="5">
        <v>67.8</v>
      </c>
      <c r="L532" s="10">
        <v>0.37152777777777779</v>
      </c>
      <c r="M532" s="10">
        <v>0.56597222222222221</v>
      </c>
      <c r="N532" s="11">
        <f t="shared" ref="N532:P532" si="332">AVERAGE(96,96,96,96)*1.04</f>
        <v>99.84</v>
      </c>
      <c r="O532" s="11">
        <f t="shared" si="332"/>
        <v>99.84</v>
      </c>
      <c r="P532" s="11">
        <f t="shared" si="332"/>
        <v>99.84</v>
      </c>
      <c r="Q532" s="11">
        <f t="shared" si="312"/>
        <v>99.839999999999989</v>
      </c>
      <c r="R532" s="5">
        <v>2</v>
      </c>
      <c r="S532" s="5">
        <v>15</v>
      </c>
      <c r="T532" s="5" t="s">
        <v>9</v>
      </c>
      <c r="U532" s="5" t="s">
        <v>55</v>
      </c>
      <c r="V532" s="5">
        <v>21.1</v>
      </c>
      <c r="W532" s="5" t="s">
        <v>8</v>
      </c>
      <c r="X532" s="5" t="s">
        <v>8</v>
      </c>
      <c r="Y532" s="5">
        <v>3</v>
      </c>
      <c r="Z532" s="5" t="s">
        <v>108</v>
      </c>
      <c r="AA532" s="5" t="s">
        <v>123</v>
      </c>
      <c r="AB532" s="6"/>
    </row>
    <row r="533" spans="1:28" ht="16" x14ac:dyDescent="0.2">
      <c r="A533" s="4">
        <v>45875</v>
      </c>
      <c r="B533" s="19">
        <v>25218</v>
      </c>
      <c r="C533" s="5" t="s">
        <v>49</v>
      </c>
      <c r="D533" s="6"/>
      <c r="E533" s="15">
        <v>42.441280555600002</v>
      </c>
      <c r="F533" s="15">
        <v>-76.408291666699995</v>
      </c>
      <c r="G533" s="5" t="s">
        <v>137</v>
      </c>
      <c r="H533" s="5">
        <v>70</v>
      </c>
      <c r="I533" s="5">
        <v>81.900000000000006</v>
      </c>
      <c r="J533" s="5">
        <v>76.7</v>
      </c>
      <c r="K533" s="5">
        <v>67.8</v>
      </c>
      <c r="L533" s="10">
        <v>0.37152777777777779</v>
      </c>
      <c r="M533" s="10">
        <v>0.56597222222222221</v>
      </c>
      <c r="N533" s="11">
        <f t="shared" ref="N533:P533" si="333">AVERAGE(96,96,96,96)*1.04</f>
        <v>99.84</v>
      </c>
      <c r="O533" s="11">
        <f t="shared" si="333"/>
        <v>99.84</v>
      </c>
      <c r="P533" s="11">
        <f t="shared" si="333"/>
        <v>99.84</v>
      </c>
      <c r="Q533" s="11">
        <f t="shared" si="312"/>
        <v>99.839999999999989</v>
      </c>
      <c r="R533" s="5">
        <v>2</v>
      </c>
      <c r="S533" s="5">
        <v>28.9</v>
      </c>
      <c r="T533" s="5" t="s">
        <v>9</v>
      </c>
      <c r="U533" s="5" t="s">
        <v>55</v>
      </c>
      <c r="V533" s="5">
        <v>21.5</v>
      </c>
      <c r="W533" s="5" t="s">
        <v>8</v>
      </c>
      <c r="X533" s="5" t="s">
        <v>8</v>
      </c>
      <c r="Y533" s="5">
        <v>3.5</v>
      </c>
      <c r="Z533" s="5" t="s">
        <v>9</v>
      </c>
      <c r="AA533" s="5" t="s">
        <v>198</v>
      </c>
      <c r="AB533" s="6"/>
    </row>
    <row r="534" spans="1:28" ht="16" x14ac:dyDescent="0.2">
      <c r="A534" s="4">
        <v>45875</v>
      </c>
      <c r="B534" s="19">
        <v>25218</v>
      </c>
      <c r="C534" s="5" t="s">
        <v>49</v>
      </c>
      <c r="D534" s="6"/>
      <c r="E534" s="15">
        <v>42.441280555600002</v>
      </c>
      <c r="F534" s="15">
        <v>-76.408291666699995</v>
      </c>
      <c r="G534" s="5" t="s">
        <v>137</v>
      </c>
      <c r="H534" s="5">
        <v>70</v>
      </c>
      <c r="I534" s="5">
        <v>81.900000000000006</v>
      </c>
      <c r="J534" s="5">
        <v>76.7</v>
      </c>
      <c r="K534" s="5">
        <v>67.8</v>
      </c>
      <c r="L534" s="10">
        <v>0.37152777777777779</v>
      </c>
      <c r="M534" s="10">
        <v>0.56597222222222221</v>
      </c>
      <c r="N534" s="11">
        <f t="shared" ref="N534:P534" si="334">AVERAGE(96,96,96,96)*1.04</f>
        <v>99.84</v>
      </c>
      <c r="O534" s="11">
        <f t="shared" si="334"/>
        <v>99.84</v>
      </c>
      <c r="P534" s="11">
        <f t="shared" si="334"/>
        <v>99.84</v>
      </c>
      <c r="Q534" s="11">
        <f t="shared" si="312"/>
        <v>99.839999999999989</v>
      </c>
      <c r="R534" s="5">
        <v>2</v>
      </c>
      <c r="S534" s="5">
        <v>7</v>
      </c>
      <c r="T534" s="5" t="s">
        <v>4</v>
      </c>
      <c r="U534" s="5" t="s">
        <v>55</v>
      </c>
      <c r="V534" s="5">
        <v>20.399999999999999</v>
      </c>
      <c r="W534" s="5" t="s">
        <v>8</v>
      </c>
      <c r="X534" s="5" t="s">
        <v>8</v>
      </c>
      <c r="Y534" s="5">
        <v>2</v>
      </c>
      <c r="Z534" s="5" t="s">
        <v>199</v>
      </c>
      <c r="AA534" s="5" t="s">
        <v>123</v>
      </c>
      <c r="AB534" s="6"/>
    </row>
    <row r="535" spans="1:28" ht="16" x14ac:dyDescent="0.2">
      <c r="A535" s="4">
        <v>45875</v>
      </c>
      <c r="B535" s="19">
        <v>25218</v>
      </c>
      <c r="C535" s="5" t="s">
        <v>49</v>
      </c>
      <c r="D535" s="6"/>
      <c r="E535" s="15">
        <v>42.441280555600002</v>
      </c>
      <c r="F535" s="15">
        <v>-76.408291666699995</v>
      </c>
      <c r="G535" s="5" t="s">
        <v>137</v>
      </c>
      <c r="H535" s="5">
        <v>70</v>
      </c>
      <c r="I535" s="5">
        <v>81.900000000000006</v>
      </c>
      <c r="J535" s="5">
        <v>76.7</v>
      </c>
      <c r="K535" s="5">
        <v>67.8</v>
      </c>
      <c r="L535" s="10">
        <v>0.37152777777777779</v>
      </c>
      <c r="M535" s="10">
        <v>0.56597222222222221</v>
      </c>
      <c r="N535" s="11">
        <f t="shared" ref="N535:P535" si="335">AVERAGE(96,96,96,96)*1.04</f>
        <v>99.84</v>
      </c>
      <c r="O535" s="11">
        <f t="shared" si="335"/>
        <v>99.84</v>
      </c>
      <c r="P535" s="11">
        <f t="shared" si="335"/>
        <v>99.84</v>
      </c>
      <c r="Q535" s="11">
        <f t="shared" si="312"/>
        <v>99.839999999999989</v>
      </c>
      <c r="R535" s="5">
        <v>2</v>
      </c>
      <c r="S535" s="5">
        <v>12.1</v>
      </c>
      <c r="T535" s="5" t="s">
        <v>4</v>
      </c>
      <c r="U535" s="5" t="s">
        <v>187</v>
      </c>
      <c r="V535" s="5">
        <v>21.2</v>
      </c>
      <c r="W535" s="5" t="s">
        <v>8</v>
      </c>
      <c r="X535" s="5" t="s">
        <v>8</v>
      </c>
      <c r="Y535" s="5">
        <v>2.5</v>
      </c>
      <c r="Z535" s="5" t="s">
        <v>9</v>
      </c>
      <c r="AA535" s="5" t="s">
        <v>123</v>
      </c>
      <c r="AB535" s="6"/>
    </row>
    <row r="536" spans="1:28" ht="16" x14ac:dyDescent="0.2">
      <c r="A536" s="4">
        <v>45875</v>
      </c>
      <c r="B536" s="19">
        <v>25218</v>
      </c>
      <c r="C536" s="5" t="s">
        <v>49</v>
      </c>
      <c r="D536" s="6"/>
      <c r="E536" s="15">
        <v>42.441280555600002</v>
      </c>
      <c r="F536" s="15">
        <v>-76.408291666699995</v>
      </c>
      <c r="G536" s="5" t="s">
        <v>137</v>
      </c>
      <c r="H536" s="5">
        <v>70</v>
      </c>
      <c r="I536" s="5">
        <v>81.900000000000006</v>
      </c>
      <c r="J536" s="5">
        <v>76.7</v>
      </c>
      <c r="K536" s="5">
        <v>67.8</v>
      </c>
      <c r="L536" s="10">
        <v>0.37152777777777779</v>
      </c>
      <c r="M536" s="10">
        <v>0.56597222222222221</v>
      </c>
      <c r="N536" s="11">
        <f t="shared" ref="N536:P536" si="336">AVERAGE(96,96,96,96)*1.04</f>
        <v>99.84</v>
      </c>
      <c r="O536" s="11">
        <f t="shared" si="336"/>
        <v>99.84</v>
      </c>
      <c r="P536" s="11">
        <f t="shared" si="336"/>
        <v>99.84</v>
      </c>
      <c r="Q536" s="11">
        <f t="shared" si="312"/>
        <v>99.839999999999989</v>
      </c>
      <c r="R536" s="5">
        <v>2</v>
      </c>
      <c r="S536" s="5">
        <v>19.3</v>
      </c>
      <c r="T536" s="5" t="s">
        <v>4</v>
      </c>
      <c r="U536" s="5" t="s">
        <v>187</v>
      </c>
      <c r="V536" s="5">
        <v>22</v>
      </c>
      <c r="W536" s="5" t="s">
        <v>8</v>
      </c>
      <c r="X536" s="5" t="s">
        <v>8</v>
      </c>
      <c r="Y536" s="5">
        <v>1.5</v>
      </c>
      <c r="Z536" s="5" t="s">
        <v>167</v>
      </c>
      <c r="AA536" s="5" t="s">
        <v>123</v>
      </c>
      <c r="AB536" s="6"/>
    </row>
    <row r="537" spans="1:28" ht="16" x14ac:dyDescent="0.2">
      <c r="A537" s="4">
        <v>45875</v>
      </c>
      <c r="B537" s="19">
        <v>25218</v>
      </c>
      <c r="C537" s="5" t="s">
        <v>49</v>
      </c>
      <c r="D537" s="6"/>
      <c r="E537" s="15">
        <v>42.441280555600002</v>
      </c>
      <c r="F537" s="15">
        <v>-76.408291666699995</v>
      </c>
      <c r="G537" s="5" t="s">
        <v>137</v>
      </c>
      <c r="H537" s="5">
        <v>70</v>
      </c>
      <c r="I537" s="5">
        <v>81.900000000000006</v>
      </c>
      <c r="J537" s="5">
        <v>76.7</v>
      </c>
      <c r="K537" s="5">
        <v>67.8</v>
      </c>
      <c r="L537" s="10">
        <v>0.37152777777777779</v>
      </c>
      <c r="M537" s="10">
        <v>0.56597222222222221</v>
      </c>
      <c r="N537" s="11">
        <f t="shared" ref="N537:P537" si="337">AVERAGE(96,96,96,96)*1.04</f>
        <v>99.84</v>
      </c>
      <c r="O537" s="11">
        <f t="shared" si="337"/>
        <v>99.84</v>
      </c>
      <c r="P537" s="11">
        <f t="shared" si="337"/>
        <v>99.84</v>
      </c>
      <c r="Q537" s="11">
        <f t="shared" si="312"/>
        <v>99.839999999999989</v>
      </c>
      <c r="R537" s="5">
        <v>2</v>
      </c>
      <c r="S537" s="5">
        <v>25.5</v>
      </c>
      <c r="T537" s="5" t="s">
        <v>4</v>
      </c>
      <c r="U537" s="5" t="s">
        <v>55</v>
      </c>
      <c r="V537" s="5">
        <v>21.1</v>
      </c>
      <c r="W537" s="5" t="s">
        <v>8</v>
      </c>
      <c r="X537" s="5" t="s">
        <v>8</v>
      </c>
      <c r="Y537" s="5">
        <v>2.5</v>
      </c>
      <c r="Z537" s="5" t="s">
        <v>67</v>
      </c>
      <c r="AA537" s="5" t="s">
        <v>123</v>
      </c>
      <c r="AB537" s="6"/>
    </row>
    <row r="538" spans="1:28" ht="16" x14ac:dyDescent="0.2">
      <c r="A538" s="4">
        <v>45875</v>
      </c>
      <c r="B538" s="19">
        <v>25218</v>
      </c>
      <c r="C538" s="5" t="s">
        <v>49</v>
      </c>
      <c r="D538" s="6"/>
      <c r="E538" s="15">
        <v>42.441280555600002</v>
      </c>
      <c r="F538" s="15">
        <v>-76.408291666699995</v>
      </c>
      <c r="G538" s="5" t="s">
        <v>137</v>
      </c>
      <c r="H538" s="5">
        <v>70</v>
      </c>
      <c r="I538" s="5">
        <v>81.900000000000006</v>
      </c>
      <c r="J538" s="5">
        <v>76.7</v>
      </c>
      <c r="K538" s="5">
        <v>67.8</v>
      </c>
      <c r="L538" s="10">
        <v>0.37152777777777779</v>
      </c>
      <c r="M538" s="10">
        <v>0.56597222222222221</v>
      </c>
      <c r="N538" s="11">
        <f t="shared" ref="N538:P538" si="338">AVERAGE(96,96,96,96)*1.04</f>
        <v>99.84</v>
      </c>
      <c r="O538" s="11">
        <f t="shared" si="338"/>
        <v>99.84</v>
      </c>
      <c r="P538" s="11">
        <f t="shared" si="338"/>
        <v>99.84</v>
      </c>
      <c r="Q538" s="11">
        <f t="shared" si="312"/>
        <v>99.839999999999989</v>
      </c>
      <c r="R538" s="5">
        <v>2</v>
      </c>
      <c r="S538" s="5">
        <v>29.4</v>
      </c>
      <c r="T538" s="5" t="s">
        <v>4</v>
      </c>
      <c r="U538" s="5" t="s">
        <v>55</v>
      </c>
      <c r="V538" s="5" t="s">
        <v>8</v>
      </c>
      <c r="W538" s="5" t="s">
        <v>8</v>
      </c>
      <c r="X538" s="5" t="s">
        <v>8</v>
      </c>
      <c r="Y538" s="5" t="s">
        <v>8</v>
      </c>
      <c r="Z538" s="5" t="s">
        <v>195</v>
      </c>
      <c r="AA538" s="6"/>
      <c r="AB538" s="6"/>
    </row>
    <row r="539" spans="1:28" ht="16" x14ac:dyDescent="0.2">
      <c r="A539" s="4">
        <v>45875</v>
      </c>
      <c r="B539" s="19">
        <v>25218</v>
      </c>
      <c r="C539" s="5" t="s">
        <v>49</v>
      </c>
      <c r="D539" s="6"/>
      <c r="E539" s="15">
        <v>42.441280555600002</v>
      </c>
      <c r="F539" s="15">
        <v>-76.408291666699995</v>
      </c>
      <c r="G539" s="5" t="s">
        <v>137</v>
      </c>
      <c r="H539" s="5">
        <v>70</v>
      </c>
      <c r="I539" s="5">
        <v>81.900000000000006</v>
      </c>
      <c r="J539" s="5">
        <v>76.7</v>
      </c>
      <c r="K539" s="5">
        <v>67.8</v>
      </c>
      <c r="L539" s="10">
        <v>0.37152777777777779</v>
      </c>
      <c r="M539" s="10">
        <v>0.56597222222222221</v>
      </c>
      <c r="N539" s="11">
        <f t="shared" ref="N539:P539" si="339">AVERAGE(96,96,96,96)*1.04</f>
        <v>99.84</v>
      </c>
      <c r="O539" s="11">
        <f t="shared" si="339"/>
        <v>99.84</v>
      </c>
      <c r="P539" s="11">
        <f t="shared" si="339"/>
        <v>99.84</v>
      </c>
      <c r="Q539" s="11">
        <f t="shared" si="312"/>
        <v>99.839999999999989</v>
      </c>
      <c r="R539" s="5">
        <v>3</v>
      </c>
      <c r="S539" s="5">
        <v>4.5599999999999996</v>
      </c>
      <c r="T539" s="5" t="s">
        <v>9</v>
      </c>
      <c r="U539" s="5" t="s">
        <v>55</v>
      </c>
      <c r="V539" s="5">
        <v>21.3</v>
      </c>
      <c r="W539" s="5" t="s">
        <v>8</v>
      </c>
      <c r="X539" s="5" t="s">
        <v>8</v>
      </c>
      <c r="Y539" s="5">
        <v>2.5</v>
      </c>
      <c r="Z539" s="5" t="s">
        <v>67</v>
      </c>
      <c r="AA539" s="5" t="s">
        <v>123</v>
      </c>
      <c r="AB539" s="6"/>
    </row>
    <row r="540" spans="1:28" ht="16" x14ac:dyDescent="0.2">
      <c r="A540" s="4">
        <v>45875</v>
      </c>
      <c r="B540" s="19">
        <v>25218</v>
      </c>
      <c r="C540" s="5" t="s">
        <v>49</v>
      </c>
      <c r="D540" s="6"/>
      <c r="E540" s="15">
        <v>42.441280555600002</v>
      </c>
      <c r="F540" s="15">
        <v>-76.408291666699995</v>
      </c>
      <c r="G540" s="5" t="s">
        <v>137</v>
      </c>
      <c r="H540" s="5">
        <v>70</v>
      </c>
      <c r="I540" s="5">
        <v>81.900000000000006</v>
      </c>
      <c r="J540" s="5">
        <v>76.7</v>
      </c>
      <c r="K540" s="5">
        <v>67.8</v>
      </c>
      <c r="L540" s="10">
        <v>0.37152777777777779</v>
      </c>
      <c r="M540" s="10">
        <v>0.56597222222222221</v>
      </c>
      <c r="N540" s="11">
        <f t="shared" ref="N540:P540" si="340">AVERAGE(96,96,96,96)*1.04</f>
        <v>99.84</v>
      </c>
      <c r="O540" s="11">
        <f t="shared" si="340"/>
        <v>99.84</v>
      </c>
      <c r="P540" s="11">
        <f t="shared" si="340"/>
        <v>99.84</v>
      </c>
      <c r="Q540" s="11">
        <f t="shared" si="312"/>
        <v>99.839999999999989</v>
      </c>
      <c r="R540" s="5">
        <v>3</v>
      </c>
      <c r="S540" s="5">
        <v>14.86</v>
      </c>
      <c r="T540" s="5" t="s">
        <v>9</v>
      </c>
      <c r="U540" s="5" t="s">
        <v>55</v>
      </c>
      <c r="V540" s="5">
        <v>21.5</v>
      </c>
      <c r="W540" s="5" t="s">
        <v>8</v>
      </c>
      <c r="X540" s="5" t="s">
        <v>8</v>
      </c>
      <c r="Y540" s="5">
        <v>5.5</v>
      </c>
      <c r="Z540" s="5" t="s">
        <v>9</v>
      </c>
      <c r="AA540" s="5" t="s">
        <v>123</v>
      </c>
      <c r="AB540" s="6"/>
    </row>
    <row r="541" spans="1:28" ht="16" x14ac:dyDescent="0.2">
      <c r="A541" s="4">
        <v>45875</v>
      </c>
      <c r="B541" s="19">
        <v>25218</v>
      </c>
      <c r="C541" s="5" t="s">
        <v>49</v>
      </c>
      <c r="D541" s="6"/>
      <c r="E541" s="15">
        <v>42.441280555600002</v>
      </c>
      <c r="F541" s="15">
        <v>-76.408291666699995</v>
      </c>
      <c r="G541" s="5" t="s">
        <v>137</v>
      </c>
      <c r="H541" s="5">
        <v>70</v>
      </c>
      <c r="I541" s="5">
        <v>81.900000000000006</v>
      </c>
      <c r="J541" s="5">
        <v>76.7</v>
      </c>
      <c r="K541" s="5">
        <v>67.8</v>
      </c>
      <c r="L541" s="10">
        <v>0.37152777777777779</v>
      </c>
      <c r="M541" s="10">
        <v>0.56597222222222221</v>
      </c>
      <c r="N541" s="11">
        <f t="shared" ref="N541:P541" si="341">AVERAGE(96,96,96,96)*1.04</f>
        <v>99.84</v>
      </c>
      <c r="O541" s="11">
        <f t="shared" si="341"/>
        <v>99.84</v>
      </c>
      <c r="P541" s="11">
        <f t="shared" si="341"/>
        <v>99.84</v>
      </c>
      <c r="Q541" s="11">
        <f t="shared" si="312"/>
        <v>99.839999999999989</v>
      </c>
      <c r="R541" s="5">
        <v>3</v>
      </c>
      <c r="S541" s="5">
        <v>27.9</v>
      </c>
      <c r="T541" s="5" t="s">
        <v>9</v>
      </c>
      <c r="U541" s="5" t="s">
        <v>187</v>
      </c>
      <c r="V541" s="5">
        <v>22.2</v>
      </c>
      <c r="W541" s="5" t="s">
        <v>8</v>
      </c>
      <c r="X541" s="5" t="s">
        <v>8</v>
      </c>
      <c r="Y541" s="5">
        <v>3</v>
      </c>
      <c r="Z541" s="5" t="s">
        <v>9</v>
      </c>
      <c r="AA541" s="5" t="s">
        <v>123</v>
      </c>
      <c r="AB541" s="6"/>
    </row>
    <row r="542" spans="1:28" ht="16" x14ac:dyDescent="0.2">
      <c r="A542" s="4">
        <v>45875</v>
      </c>
      <c r="B542" s="19">
        <v>25218</v>
      </c>
      <c r="C542" s="5" t="s">
        <v>49</v>
      </c>
      <c r="D542" s="6"/>
      <c r="E542" s="15">
        <v>42.441280555600002</v>
      </c>
      <c r="F542" s="15">
        <v>-76.408291666699995</v>
      </c>
      <c r="G542" s="5" t="s">
        <v>137</v>
      </c>
      <c r="H542" s="5">
        <v>70</v>
      </c>
      <c r="I542" s="5">
        <v>81.900000000000006</v>
      </c>
      <c r="J542" s="5">
        <v>76.7</v>
      </c>
      <c r="K542" s="5">
        <v>67.8</v>
      </c>
      <c r="L542" s="10">
        <v>0.37152777777777779</v>
      </c>
      <c r="M542" s="10">
        <v>0.56597222222222221</v>
      </c>
      <c r="N542" s="11">
        <f t="shared" ref="N542:P542" si="342">AVERAGE(96,96,96,96)*1.04</f>
        <v>99.84</v>
      </c>
      <c r="O542" s="11">
        <f t="shared" si="342"/>
        <v>99.84</v>
      </c>
      <c r="P542" s="11">
        <f t="shared" si="342"/>
        <v>99.84</v>
      </c>
      <c r="Q542" s="11">
        <f t="shared" si="312"/>
        <v>99.839999999999989</v>
      </c>
      <c r="R542" s="5">
        <v>3</v>
      </c>
      <c r="S542" s="5">
        <v>0</v>
      </c>
      <c r="T542" s="5" t="s">
        <v>4</v>
      </c>
      <c r="U542" s="5" t="s">
        <v>187</v>
      </c>
      <c r="V542" s="5" t="s">
        <v>8</v>
      </c>
      <c r="W542" s="5" t="s">
        <v>8</v>
      </c>
      <c r="X542" s="5" t="s">
        <v>8</v>
      </c>
      <c r="Y542" s="5" t="s">
        <v>8</v>
      </c>
      <c r="Z542" s="5" t="s">
        <v>67</v>
      </c>
      <c r="AA542" s="6"/>
      <c r="AB542" s="6"/>
    </row>
    <row r="543" spans="1:28" ht="16" x14ac:dyDescent="0.2">
      <c r="A543" s="4">
        <v>45875</v>
      </c>
      <c r="B543" s="19">
        <v>25218</v>
      </c>
      <c r="C543" s="5" t="s">
        <v>49</v>
      </c>
      <c r="D543" s="6"/>
      <c r="E543" s="15">
        <v>42.441280555600002</v>
      </c>
      <c r="F543" s="15">
        <v>-76.408291666699995</v>
      </c>
      <c r="G543" s="5" t="s">
        <v>137</v>
      </c>
      <c r="H543" s="5">
        <v>70</v>
      </c>
      <c r="I543" s="5">
        <v>81.900000000000006</v>
      </c>
      <c r="J543" s="5">
        <v>76.7</v>
      </c>
      <c r="K543" s="5">
        <v>67.8</v>
      </c>
      <c r="L543" s="10">
        <v>0.37152777777777779</v>
      </c>
      <c r="M543" s="10">
        <v>0.56597222222222221</v>
      </c>
      <c r="N543" s="11">
        <f t="shared" ref="N543:P543" si="343">AVERAGE(96,96,96,96)*1.04</f>
        <v>99.84</v>
      </c>
      <c r="O543" s="11">
        <f t="shared" si="343"/>
        <v>99.84</v>
      </c>
      <c r="P543" s="11">
        <f t="shared" si="343"/>
        <v>99.84</v>
      </c>
      <c r="Q543" s="11">
        <f t="shared" si="312"/>
        <v>99.839999999999989</v>
      </c>
      <c r="R543" s="5">
        <v>3</v>
      </c>
      <c r="S543" s="5">
        <v>1</v>
      </c>
      <c r="T543" s="5" t="s">
        <v>4</v>
      </c>
      <c r="U543" s="5" t="s">
        <v>200</v>
      </c>
      <c r="V543" s="5" t="s">
        <v>8</v>
      </c>
      <c r="W543" s="5" t="s">
        <v>8</v>
      </c>
      <c r="X543" s="5" t="s">
        <v>8</v>
      </c>
      <c r="Y543" s="5" t="s">
        <v>8</v>
      </c>
      <c r="Z543" s="5" t="s">
        <v>195</v>
      </c>
      <c r="AA543" s="6"/>
      <c r="AB543" s="6"/>
    </row>
    <row r="544" spans="1:28" ht="16" x14ac:dyDescent="0.2">
      <c r="A544" s="4">
        <v>45875</v>
      </c>
      <c r="B544" s="19">
        <v>25218</v>
      </c>
      <c r="C544" s="5" t="s">
        <v>49</v>
      </c>
      <c r="D544" s="6"/>
      <c r="E544" s="15">
        <v>42.441280555600002</v>
      </c>
      <c r="F544" s="15">
        <v>-76.408291666699995</v>
      </c>
      <c r="G544" s="5" t="s">
        <v>137</v>
      </c>
      <c r="H544" s="5">
        <v>70</v>
      </c>
      <c r="I544" s="5">
        <v>81.900000000000006</v>
      </c>
      <c r="J544" s="5">
        <v>76.7</v>
      </c>
      <c r="K544" s="5">
        <v>67.8</v>
      </c>
      <c r="L544" s="10">
        <v>0.37152777777777779</v>
      </c>
      <c r="M544" s="10">
        <v>0.56597222222222221</v>
      </c>
      <c r="N544" s="11">
        <f t="shared" ref="N544:P544" si="344">AVERAGE(96,96,96,96)*1.04</f>
        <v>99.84</v>
      </c>
      <c r="O544" s="11">
        <f t="shared" si="344"/>
        <v>99.84</v>
      </c>
      <c r="P544" s="11">
        <f t="shared" si="344"/>
        <v>99.84</v>
      </c>
      <c r="Q544" s="11">
        <f t="shared" si="312"/>
        <v>99.839999999999989</v>
      </c>
      <c r="R544" s="5">
        <v>3</v>
      </c>
      <c r="S544" s="5">
        <v>16.8</v>
      </c>
      <c r="T544" s="5" t="s">
        <v>4</v>
      </c>
      <c r="U544" s="5" t="s">
        <v>200</v>
      </c>
      <c r="V544" s="5" t="s">
        <v>8</v>
      </c>
      <c r="W544" s="5" t="s">
        <v>8</v>
      </c>
      <c r="X544" s="5" t="s">
        <v>8</v>
      </c>
      <c r="Y544" s="5" t="s">
        <v>8</v>
      </c>
      <c r="Z544" s="5" t="s">
        <v>9</v>
      </c>
      <c r="AA544" s="6"/>
      <c r="AB544" s="6"/>
    </row>
    <row r="545" spans="1:28" ht="16" x14ac:dyDescent="0.2">
      <c r="A545" s="4">
        <v>45875</v>
      </c>
      <c r="B545" s="19">
        <v>25218</v>
      </c>
      <c r="C545" s="5" t="s">
        <v>49</v>
      </c>
      <c r="D545" s="6"/>
      <c r="E545" s="15">
        <v>42.441280555600002</v>
      </c>
      <c r="F545" s="15">
        <v>-76.408291666699995</v>
      </c>
      <c r="G545" s="5" t="s">
        <v>137</v>
      </c>
      <c r="H545" s="5">
        <v>70</v>
      </c>
      <c r="I545" s="5">
        <v>81.900000000000006</v>
      </c>
      <c r="J545" s="5">
        <v>76.7</v>
      </c>
      <c r="K545" s="5">
        <v>67.8</v>
      </c>
      <c r="L545" s="10">
        <v>0.37152777777777779</v>
      </c>
      <c r="M545" s="10">
        <v>0.56597222222222221</v>
      </c>
      <c r="N545" s="11">
        <f t="shared" ref="N545:P545" si="345">AVERAGE(96,96,96,96)*1.04</f>
        <v>99.84</v>
      </c>
      <c r="O545" s="11">
        <f t="shared" si="345"/>
        <v>99.84</v>
      </c>
      <c r="P545" s="11">
        <f t="shared" si="345"/>
        <v>99.84</v>
      </c>
      <c r="Q545" s="11">
        <f t="shared" si="312"/>
        <v>99.839999999999989</v>
      </c>
      <c r="R545" s="5">
        <v>3</v>
      </c>
      <c r="S545" s="5">
        <v>18.3</v>
      </c>
      <c r="T545" s="5" t="s">
        <v>4</v>
      </c>
      <c r="U545" s="5" t="s">
        <v>55</v>
      </c>
      <c r="V545" s="5" t="s">
        <v>8</v>
      </c>
      <c r="W545" s="5" t="s">
        <v>8</v>
      </c>
      <c r="X545" s="5" t="s">
        <v>8</v>
      </c>
      <c r="Y545" s="5" t="s">
        <v>8</v>
      </c>
      <c r="Z545" s="5" t="s">
        <v>67</v>
      </c>
      <c r="AA545" s="6"/>
      <c r="AB545" s="6"/>
    </row>
    <row r="546" spans="1:28" ht="16" x14ac:dyDescent="0.2">
      <c r="A546" s="4">
        <v>45875</v>
      </c>
      <c r="B546" s="19">
        <v>25218</v>
      </c>
      <c r="C546" s="5" t="s">
        <v>49</v>
      </c>
      <c r="D546" s="6"/>
      <c r="E546" s="15">
        <v>42.441280555600002</v>
      </c>
      <c r="F546" s="15">
        <v>-76.408291666699995</v>
      </c>
      <c r="G546" s="5" t="s">
        <v>137</v>
      </c>
      <c r="H546" s="5">
        <v>70</v>
      </c>
      <c r="I546" s="5">
        <v>81.900000000000006</v>
      </c>
      <c r="J546" s="5">
        <v>76.7</v>
      </c>
      <c r="K546" s="5">
        <v>67.8</v>
      </c>
      <c r="L546" s="10">
        <v>0.37152777777777779</v>
      </c>
      <c r="M546" s="10">
        <v>0.56597222222222221</v>
      </c>
      <c r="N546" s="11">
        <f t="shared" ref="N546:P546" si="346">AVERAGE(96,96,96,96)*1.04</f>
        <v>99.84</v>
      </c>
      <c r="O546" s="11">
        <f t="shared" si="346"/>
        <v>99.84</v>
      </c>
      <c r="P546" s="11">
        <f t="shared" si="346"/>
        <v>99.84</v>
      </c>
      <c r="Q546" s="11">
        <f t="shared" si="312"/>
        <v>99.839999999999989</v>
      </c>
      <c r="R546" s="5">
        <v>3</v>
      </c>
      <c r="S546" s="5">
        <v>16.760000000000002</v>
      </c>
      <c r="T546" s="5" t="s">
        <v>4</v>
      </c>
      <c r="U546" s="5" t="s">
        <v>55</v>
      </c>
      <c r="V546" s="5" t="s">
        <v>8</v>
      </c>
      <c r="W546" s="5" t="s">
        <v>8</v>
      </c>
      <c r="X546" s="5" t="s">
        <v>8</v>
      </c>
      <c r="Y546" s="5" t="s">
        <v>8</v>
      </c>
      <c r="Z546" s="5" t="s">
        <v>9</v>
      </c>
      <c r="AA546" s="6"/>
      <c r="AB546" s="6"/>
    </row>
    <row r="547" spans="1:28" ht="16" x14ac:dyDescent="0.2">
      <c r="A547" s="4">
        <v>45875</v>
      </c>
      <c r="B547" s="19">
        <v>25218</v>
      </c>
      <c r="C547" s="5" t="s">
        <v>49</v>
      </c>
      <c r="D547" s="6"/>
      <c r="E547" s="15">
        <v>42.441280555600002</v>
      </c>
      <c r="F547" s="15">
        <v>-76.408291666699995</v>
      </c>
      <c r="G547" s="5" t="s">
        <v>137</v>
      </c>
      <c r="H547" s="5">
        <v>70</v>
      </c>
      <c r="I547" s="5">
        <v>81.900000000000006</v>
      </c>
      <c r="J547" s="5">
        <v>76.7</v>
      </c>
      <c r="K547" s="5">
        <v>67.8</v>
      </c>
      <c r="L547" s="10">
        <v>0.37152777777777779</v>
      </c>
      <c r="M547" s="10">
        <v>0.56597222222222221</v>
      </c>
      <c r="N547" s="11">
        <f t="shared" ref="N547:P547" si="347">AVERAGE(96,96,96,96)*1.04</f>
        <v>99.84</v>
      </c>
      <c r="O547" s="11">
        <f t="shared" si="347"/>
        <v>99.84</v>
      </c>
      <c r="P547" s="11">
        <f t="shared" si="347"/>
        <v>99.84</v>
      </c>
      <c r="Q547" s="11">
        <f t="shared" si="312"/>
        <v>99.839999999999989</v>
      </c>
      <c r="R547" s="5">
        <v>3</v>
      </c>
      <c r="S547" s="5">
        <v>29.5</v>
      </c>
      <c r="T547" s="5" t="s">
        <v>4</v>
      </c>
      <c r="U547" s="5" t="s">
        <v>55</v>
      </c>
      <c r="V547" s="5" t="s">
        <v>8</v>
      </c>
      <c r="W547" s="5" t="s">
        <v>8</v>
      </c>
      <c r="X547" s="5" t="s">
        <v>8</v>
      </c>
      <c r="Y547" s="5" t="s">
        <v>8</v>
      </c>
      <c r="Z547" s="5" t="s">
        <v>67</v>
      </c>
      <c r="AA547" s="6"/>
      <c r="AB547" s="6"/>
    </row>
    <row r="548" spans="1:28" ht="16" x14ac:dyDescent="0.2">
      <c r="A548" s="4">
        <v>45875</v>
      </c>
      <c r="B548" s="19">
        <v>25218</v>
      </c>
      <c r="C548" s="5" t="s">
        <v>49</v>
      </c>
      <c r="D548" s="6"/>
      <c r="E548" s="15">
        <v>42.441280555600002</v>
      </c>
      <c r="F548" s="15">
        <v>-76.408291666699995</v>
      </c>
      <c r="G548" s="5" t="s">
        <v>137</v>
      </c>
      <c r="H548" s="5">
        <v>70</v>
      </c>
      <c r="I548" s="5">
        <v>81.900000000000006</v>
      </c>
      <c r="J548" s="5">
        <v>76.7</v>
      </c>
      <c r="K548" s="5">
        <v>67.8</v>
      </c>
      <c r="L548" s="10">
        <v>0.37152777777777779</v>
      </c>
      <c r="M548" s="10">
        <v>0.56597222222222221</v>
      </c>
      <c r="N548" s="11">
        <f t="shared" ref="N548:P548" si="348">AVERAGE(96,96,96,96)*1.04</f>
        <v>99.84</v>
      </c>
      <c r="O548" s="11">
        <f t="shared" si="348"/>
        <v>99.84</v>
      </c>
      <c r="P548" s="11">
        <f t="shared" si="348"/>
        <v>99.84</v>
      </c>
      <c r="Q548" s="11">
        <f t="shared" si="312"/>
        <v>99.839999999999989</v>
      </c>
      <c r="R548" s="5">
        <v>3</v>
      </c>
      <c r="S548" s="5">
        <v>28.14</v>
      </c>
      <c r="T548" s="5" t="s">
        <v>4</v>
      </c>
      <c r="U548" s="5" t="s">
        <v>55</v>
      </c>
      <c r="V548" s="5" t="s">
        <v>8</v>
      </c>
      <c r="W548" s="5" t="s">
        <v>8</v>
      </c>
      <c r="X548" s="5" t="s">
        <v>8</v>
      </c>
      <c r="Y548" s="5" t="s">
        <v>8</v>
      </c>
      <c r="Z548" s="5" t="s">
        <v>9</v>
      </c>
      <c r="AA548" s="6"/>
      <c r="AB548" s="6"/>
    </row>
    <row r="549" spans="1:28" ht="16" x14ac:dyDescent="0.2">
      <c r="A549" s="4">
        <v>45875</v>
      </c>
      <c r="B549" s="19">
        <v>25218</v>
      </c>
      <c r="C549" s="5" t="s">
        <v>49</v>
      </c>
      <c r="D549" s="6"/>
      <c r="E549" s="15">
        <v>42.441280555600002</v>
      </c>
      <c r="F549" s="15">
        <v>-76.408291666699995</v>
      </c>
      <c r="G549" s="5" t="s">
        <v>137</v>
      </c>
      <c r="H549" s="5">
        <v>70</v>
      </c>
      <c r="I549" s="5">
        <v>81.900000000000006</v>
      </c>
      <c r="J549" s="5">
        <v>76.7</v>
      </c>
      <c r="K549" s="5">
        <v>67.8</v>
      </c>
      <c r="L549" s="10">
        <v>0.37152777777777779</v>
      </c>
      <c r="M549" s="10">
        <v>0.56597222222222221</v>
      </c>
      <c r="N549" s="11">
        <f t="shared" ref="N549:P549" si="349">AVERAGE(96,96,96,96)*1.04</f>
        <v>99.84</v>
      </c>
      <c r="O549" s="11">
        <f t="shared" si="349"/>
        <v>99.84</v>
      </c>
      <c r="P549" s="11">
        <f t="shared" si="349"/>
        <v>99.84</v>
      </c>
      <c r="Q549" s="11">
        <f t="shared" si="312"/>
        <v>99.839999999999989</v>
      </c>
      <c r="R549" s="5">
        <v>3</v>
      </c>
      <c r="S549" s="5">
        <v>29</v>
      </c>
      <c r="T549" s="5" t="s">
        <v>4</v>
      </c>
      <c r="U549" s="5" t="s">
        <v>187</v>
      </c>
      <c r="V549" s="5" t="s">
        <v>8</v>
      </c>
      <c r="W549" s="5" t="s">
        <v>8</v>
      </c>
      <c r="X549" s="5" t="s">
        <v>8</v>
      </c>
      <c r="Y549" s="5" t="s">
        <v>8</v>
      </c>
      <c r="Z549" s="5" t="s">
        <v>67</v>
      </c>
      <c r="AA549" s="6"/>
      <c r="AB549" s="6"/>
    </row>
    <row r="550" spans="1:28" ht="16" x14ac:dyDescent="0.2">
      <c r="A550" s="4">
        <v>45880</v>
      </c>
      <c r="B550" s="20">
        <v>25223</v>
      </c>
      <c r="C550" s="5" t="s">
        <v>52</v>
      </c>
      <c r="D550" s="5" t="s">
        <v>201</v>
      </c>
      <c r="E550" s="15">
        <v>42.446078</v>
      </c>
      <c r="F550" s="15">
        <v>-75.703182999999996</v>
      </c>
      <c r="G550" s="5" t="s">
        <v>96</v>
      </c>
      <c r="H550" s="5">
        <v>64.099999999999994</v>
      </c>
      <c r="I550" s="5">
        <v>82.2</v>
      </c>
      <c r="J550" s="5">
        <v>79.8</v>
      </c>
      <c r="K550" s="5">
        <v>45.4</v>
      </c>
      <c r="L550" s="10">
        <v>0.36875000000000002</v>
      </c>
      <c r="M550" s="10">
        <v>0.53472222222222221</v>
      </c>
      <c r="N550" s="11">
        <f t="shared" ref="N550:P550" si="350">AVERAGE(96,96,96,96)*1.04</f>
        <v>99.84</v>
      </c>
      <c r="O550" s="11">
        <f t="shared" si="350"/>
        <v>99.84</v>
      </c>
      <c r="P550" s="11">
        <f t="shared" si="350"/>
        <v>99.84</v>
      </c>
      <c r="Q550" s="11">
        <f t="shared" si="312"/>
        <v>99.839999999999989</v>
      </c>
      <c r="R550" s="5">
        <v>1</v>
      </c>
      <c r="S550" s="5">
        <v>3.53</v>
      </c>
      <c r="T550" s="5" t="s">
        <v>4</v>
      </c>
      <c r="U550" s="5" t="s">
        <v>187</v>
      </c>
      <c r="V550" s="5">
        <v>16.600000000000001</v>
      </c>
      <c r="W550" s="5">
        <v>6.4</v>
      </c>
      <c r="X550" s="5">
        <v>43</v>
      </c>
      <c r="Y550" s="5">
        <v>4</v>
      </c>
      <c r="Z550" s="5" t="s">
        <v>9</v>
      </c>
      <c r="AA550" s="6" t="s">
        <v>337</v>
      </c>
      <c r="AB550" s="6"/>
    </row>
    <row r="551" spans="1:28" ht="16" x14ac:dyDescent="0.2">
      <c r="A551" s="4">
        <v>45880</v>
      </c>
      <c r="B551" s="20">
        <v>25223</v>
      </c>
      <c r="C551" s="5" t="s">
        <v>52</v>
      </c>
      <c r="D551" s="6"/>
      <c r="E551" s="15">
        <v>42.446078</v>
      </c>
      <c r="F551" s="15">
        <v>-75.703182999999996</v>
      </c>
      <c r="G551" s="5" t="s">
        <v>202</v>
      </c>
      <c r="H551" s="5">
        <v>64.099999999999994</v>
      </c>
      <c r="I551" s="5">
        <v>82.2</v>
      </c>
      <c r="J551" s="5">
        <v>79.8</v>
      </c>
      <c r="K551" s="5">
        <v>45.4</v>
      </c>
      <c r="L551" s="10">
        <v>0.36875000000000002</v>
      </c>
      <c r="M551" s="10">
        <v>0.53472222222222221</v>
      </c>
      <c r="N551" s="11">
        <f t="shared" ref="N551:P551" si="351">AVERAGE(96,96,96,96)*1.04</f>
        <v>99.84</v>
      </c>
      <c r="O551" s="11">
        <f t="shared" si="351"/>
        <v>99.84</v>
      </c>
      <c r="P551" s="11">
        <f t="shared" si="351"/>
        <v>99.84</v>
      </c>
      <c r="Q551" s="11">
        <f t="shared" si="312"/>
        <v>99.839999999999989</v>
      </c>
      <c r="R551" s="5">
        <v>1</v>
      </c>
      <c r="S551" s="5">
        <v>5</v>
      </c>
      <c r="T551" s="5" t="s">
        <v>9</v>
      </c>
      <c r="U551" s="5" t="s">
        <v>203</v>
      </c>
      <c r="V551" s="5">
        <v>17.2</v>
      </c>
      <c r="W551" s="5">
        <v>5.9</v>
      </c>
      <c r="X551" s="5">
        <v>53</v>
      </c>
      <c r="Y551" s="5">
        <v>4</v>
      </c>
      <c r="Z551" s="5" t="s">
        <v>9</v>
      </c>
      <c r="AA551" s="6"/>
      <c r="AB551" s="6"/>
    </row>
    <row r="552" spans="1:28" ht="16" x14ac:dyDescent="0.2">
      <c r="A552" s="4">
        <v>45880</v>
      </c>
      <c r="B552" s="20">
        <v>25223</v>
      </c>
      <c r="C552" s="5" t="s">
        <v>52</v>
      </c>
      <c r="D552" s="6"/>
      <c r="E552" s="15">
        <v>42.446078</v>
      </c>
      <c r="F552" s="15">
        <v>-75.703182999999996</v>
      </c>
      <c r="G552" s="5" t="s">
        <v>96</v>
      </c>
      <c r="H552" s="5">
        <v>64.099999999999994</v>
      </c>
      <c r="I552" s="5">
        <v>82.2</v>
      </c>
      <c r="J552" s="5">
        <v>79.8</v>
      </c>
      <c r="K552" s="5">
        <v>45.4</v>
      </c>
      <c r="L552" s="10">
        <v>0.36875000000000002</v>
      </c>
      <c r="M552" s="10">
        <v>0.53472222222222221</v>
      </c>
      <c r="N552" s="11">
        <f t="shared" ref="N552:P552" si="352">AVERAGE(96,96,96,96)*1.04</f>
        <v>99.84</v>
      </c>
      <c r="O552" s="11">
        <f t="shared" si="352"/>
        <v>99.84</v>
      </c>
      <c r="P552" s="11">
        <f t="shared" si="352"/>
        <v>99.84</v>
      </c>
      <c r="Q552" s="11">
        <f t="shared" si="312"/>
        <v>99.839999999999989</v>
      </c>
      <c r="R552" s="5">
        <v>1</v>
      </c>
      <c r="S552" s="5">
        <v>14.5</v>
      </c>
      <c r="T552" s="5" t="s">
        <v>9</v>
      </c>
      <c r="U552" s="5" t="s">
        <v>55</v>
      </c>
      <c r="V552" s="5">
        <v>16.899999999999999</v>
      </c>
      <c r="W552" s="5">
        <v>6.6</v>
      </c>
      <c r="X552" s="5">
        <v>15</v>
      </c>
      <c r="Y552" s="5">
        <v>4.5</v>
      </c>
      <c r="Z552" s="5" t="s">
        <v>9</v>
      </c>
      <c r="AA552" s="6"/>
      <c r="AB552" s="6"/>
    </row>
    <row r="553" spans="1:28" ht="16" x14ac:dyDescent="0.2">
      <c r="A553" s="4">
        <v>45880</v>
      </c>
      <c r="B553" s="20">
        <v>25223</v>
      </c>
      <c r="C553" s="5" t="s">
        <v>52</v>
      </c>
      <c r="D553" s="6"/>
      <c r="E553" s="15">
        <v>42.446078</v>
      </c>
      <c r="F553" s="15">
        <v>-75.703182999999996</v>
      </c>
      <c r="G553" s="5" t="s">
        <v>96</v>
      </c>
      <c r="H553" s="5">
        <v>64.099999999999994</v>
      </c>
      <c r="I553" s="5">
        <v>82.2</v>
      </c>
      <c r="J553" s="5">
        <v>79.8</v>
      </c>
      <c r="K553" s="5">
        <v>45.4</v>
      </c>
      <c r="L553" s="10">
        <v>0.36875000000000002</v>
      </c>
      <c r="M553" s="10">
        <v>0.53472222222222221</v>
      </c>
      <c r="N553" s="11">
        <f t="shared" ref="N553:P553" si="353">AVERAGE(96,96,96,96)*1.04</f>
        <v>99.84</v>
      </c>
      <c r="O553" s="11">
        <f t="shared" si="353"/>
        <v>99.84</v>
      </c>
      <c r="P553" s="11">
        <f t="shared" si="353"/>
        <v>99.84</v>
      </c>
      <c r="Q553" s="11">
        <f t="shared" si="312"/>
        <v>99.839999999999989</v>
      </c>
      <c r="R553" s="5">
        <v>1</v>
      </c>
      <c r="S553" s="5">
        <v>26.7</v>
      </c>
      <c r="T553" s="5" t="s">
        <v>9</v>
      </c>
      <c r="U553" s="5" t="s">
        <v>204</v>
      </c>
      <c r="V553" s="5">
        <v>16.899999999999999</v>
      </c>
      <c r="W553" s="5" t="s">
        <v>8</v>
      </c>
      <c r="X553" s="5" t="s">
        <v>8</v>
      </c>
      <c r="Y553" s="5">
        <v>2.5</v>
      </c>
      <c r="Z553" s="5" t="s">
        <v>9</v>
      </c>
      <c r="AA553" s="5" t="s">
        <v>123</v>
      </c>
      <c r="AB553" s="6"/>
    </row>
    <row r="554" spans="1:28" ht="16" x14ac:dyDescent="0.2">
      <c r="A554" s="4">
        <v>45880</v>
      </c>
      <c r="B554" s="20">
        <v>25223</v>
      </c>
      <c r="C554" s="5" t="s">
        <v>52</v>
      </c>
      <c r="D554" s="6"/>
      <c r="E554" s="15">
        <v>42.446078</v>
      </c>
      <c r="F554" s="15">
        <v>-75.703182999999996</v>
      </c>
      <c r="G554" s="5" t="s">
        <v>96</v>
      </c>
      <c r="H554" s="5">
        <v>64.099999999999994</v>
      </c>
      <c r="I554" s="5">
        <v>82.2</v>
      </c>
      <c r="J554" s="5">
        <v>79.8</v>
      </c>
      <c r="K554" s="5">
        <v>45.4</v>
      </c>
      <c r="L554" s="10">
        <v>0.36875000000000002</v>
      </c>
      <c r="M554" s="10">
        <v>0.53472222222222221</v>
      </c>
      <c r="N554" s="11">
        <f t="shared" ref="N554:P554" si="354">AVERAGE(96,96,96,96)*1.04</f>
        <v>99.84</v>
      </c>
      <c r="O554" s="11">
        <f t="shared" si="354"/>
        <v>99.84</v>
      </c>
      <c r="P554" s="11">
        <f t="shared" si="354"/>
        <v>99.84</v>
      </c>
      <c r="Q554" s="11">
        <f t="shared" si="312"/>
        <v>99.839999999999989</v>
      </c>
      <c r="R554" s="5">
        <v>1</v>
      </c>
      <c r="S554" s="5">
        <v>0</v>
      </c>
      <c r="T554" s="5" t="s">
        <v>4</v>
      </c>
      <c r="U554" s="5" t="s">
        <v>55</v>
      </c>
      <c r="V554" s="5">
        <v>16.8</v>
      </c>
      <c r="W554" s="5">
        <v>5.9</v>
      </c>
      <c r="X554" s="5">
        <v>30</v>
      </c>
      <c r="Y554" s="5">
        <v>3.5</v>
      </c>
      <c r="Z554" s="5" t="s">
        <v>9</v>
      </c>
      <c r="AA554" s="6"/>
      <c r="AB554" s="6"/>
    </row>
    <row r="555" spans="1:28" ht="16" x14ac:dyDescent="0.2">
      <c r="A555" s="4">
        <v>45880</v>
      </c>
      <c r="B555" s="20">
        <v>25223</v>
      </c>
      <c r="C555" s="5" t="s">
        <v>52</v>
      </c>
      <c r="D555" s="6"/>
      <c r="E555" s="15">
        <v>42.446078</v>
      </c>
      <c r="F555" s="15">
        <v>-75.703182999999996</v>
      </c>
      <c r="G555" s="5" t="s">
        <v>96</v>
      </c>
      <c r="H555" s="5">
        <v>64.099999999999994</v>
      </c>
      <c r="I555" s="5">
        <v>82.2</v>
      </c>
      <c r="J555" s="5">
        <v>79.8</v>
      </c>
      <c r="K555" s="5">
        <v>45.4</v>
      </c>
      <c r="L555" s="10">
        <v>0.36875000000000002</v>
      </c>
      <c r="M555" s="10">
        <v>0.53472222222222221</v>
      </c>
      <c r="N555" s="11">
        <f t="shared" ref="N555:P555" si="355">AVERAGE(96,96,96,96)*1.04</f>
        <v>99.84</v>
      </c>
      <c r="O555" s="11">
        <f t="shared" si="355"/>
        <v>99.84</v>
      </c>
      <c r="P555" s="11">
        <f t="shared" si="355"/>
        <v>99.84</v>
      </c>
      <c r="Q555" s="11">
        <f t="shared" si="312"/>
        <v>99.839999999999989</v>
      </c>
      <c r="R555" s="5">
        <v>1</v>
      </c>
      <c r="S555" s="5">
        <v>20.3</v>
      </c>
      <c r="T555" s="5" t="s">
        <v>4</v>
      </c>
      <c r="U555" s="5" t="s">
        <v>55</v>
      </c>
      <c r="V555" s="5">
        <v>16.8</v>
      </c>
      <c r="W555" s="5">
        <v>6.1</v>
      </c>
      <c r="X555" s="5">
        <v>22</v>
      </c>
      <c r="Y555" s="5">
        <v>3</v>
      </c>
      <c r="Z555" s="5" t="s">
        <v>9</v>
      </c>
      <c r="AA555" s="6"/>
      <c r="AB555" s="6"/>
    </row>
    <row r="556" spans="1:28" ht="16" x14ac:dyDescent="0.2">
      <c r="A556" s="4">
        <v>45880</v>
      </c>
      <c r="B556" s="20">
        <v>25223</v>
      </c>
      <c r="C556" s="5" t="s">
        <v>52</v>
      </c>
      <c r="D556" s="6"/>
      <c r="E556" s="15">
        <v>42.446078</v>
      </c>
      <c r="F556" s="15">
        <v>-75.703182999999996</v>
      </c>
      <c r="G556" s="5" t="s">
        <v>96</v>
      </c>
      <c r="H556" s="5">
        <v>64.099999999999994</v>
      </c>
      <c r="I556" s="5">
        <v>82.2</v>
      </c>
      <c r="J556" s="5">
        <v>79.8</v>
      </c>
      <c r="K556" s="5">
        <v>45.4</v>
      </c>
      <c r="L556" s="10">
        <v>0.36875000000000002</v>
      </c>
      <c r="M556" s="10">
        <v>0.53472222222222221</v>
      </c>
      <c r="N556" s="11">
        <f t="shared" ref="N556:P556" si="356">AVERAGE(96,96,96,96)*1.04</f>
        <v>99.84</v>
      </c>
      <c r="O556" s="11">
        <f t="shared" si="356"/>
        <v>99.84</v>
      </c>
      <c r="P556" s="11">
        <f t="shared" si="356"/>
        <v>99.84</v>
      </c>
      <c r="Q556" s="11">
        <f t="shared" si="312"/>
        <v>99.839999999999989</v>
      </c>
      <c r="R556" s="5">
        <v>1</v>
      </c>
      <c r="S556" s="5">
        <v>28.2</v>
      </c>
      <c r="T556" s="5" t="s">
        <v>4</v>
      </c>
      <c r="U556" s="5" t="s">
        <v>55</v>
      </c>
      <c r="V556" s="5">
        <v>17.8</v>
      </c>
      <c r="W556" s="5">
        <v>6.5</v>
      </c>
      <c r="X556" s="5">
        <v>42</v>
      </c>
      <c r="Y556" s="5">
        <v>4</v>
      </c>
      <c r="Z556" s="5" t="s">
        <v>9</v>
      </c>
      <c r="AA556" s="6"/>
      <c r="AB556" s="6"/>
    </row>
    <row r="557" spans="1:28" ht="16" x14ac:dyDescent="0.2">
      <c r="A557" s="4">
        <v>45880</v>
      </c>
      <c r="B557" s="20">
        <v>25223</v>
      </c>
      <c r="C557" s="5" t="s">
        <v>52</v>
      </c>
      <c r="D557" s="6"/>
      <c r="E557" s="15">
        <v>42.446078</v>
      </c>
      <c r="F557" s="15">
        <v>-75.703182999999996</v>
      </c>
      <c r="G557" s="5" t="s">
        <v>96</v>
      </c>
      <c r="H557" s="5">
        <v>64.099999999999994</v>
      </c>
      <c r="I557" s="5">
        <v>82.2</v>
      </c>
      <c r="J557" s="5">
        <v>79.8</v>
      </c>
      <c r="K557" s="5">
        <v>45.4</v>
      </c>
      <c r="L557" s="10">
        <v>0.36875000000000002</v>
      </c>
      <c r="M557" s="10">
        <v>0.53472222222222221</v>
      </c>
      <c r="N557" s="11">
        <f t="shared" ref="N557:P557" si="357">AVERAGE(96,96,96,96)*1.04</f>
        <v>99.84</v>
      </c>
      <c r="O557" s="11">
        <f t="shared" si="357"/>
        <v>99.84</v>
      </c>
      <c r="P557" s="11">
        <f t="shared" si="357"/>
        <v>99.84</v>
      </c>
      <c r="Q557" s="11">
        <f t="shared" si="312"/>
        <v>99.839999999999989</v>
      </c>
      <c r="R557" s="5">
        <v>2</v>
      </c>
      <c r="S557" s="5">
        <v>5</v>
      </c>
      <c r="T557" s="5" t="s">
        <v>4</v>
      </c>
      <c r="U557" s="5" t="s">
        <v>55</v>
      </c>
      <c r="V557" s="5">
        <v>18.7</v>
      </c>
      <c r="W557" s="5" t="s">
        <v>8</v>
      </c>
      <c r="X557" s="5" t="s">
        <v>8</v>
      </c>
      <c r="Y557" s="5">
        <v>4</v>
      </c>
      <c r="Z557" s="5" t="s">
        <v>9</v>
      </c>
      <c r="AA557" s="5" t="s">
        <v>123</v>
      </c>
      <c r="AB557" s="6"/>
    </row>
    <row r="558" spans="1:28" ht="16" x14ac:dyDescent="0.2">
      <c r="A558" s="4">
        <v>45880</v>
      </c>
      <c r="B558" s="20">
        <v>25223</v>
      </c>
      <c r="C558" s="5" t="s">
        <v>52</v>
      </c>
      <c r="D558" s="6"/>
      <c r="E558" s="15">
        <v>42.446078</v>
      </c>
      <c r="F558" s="15">
        <v>-75.703182999999996</v>
      </c>
      <c r="G558" s="5" t="s">
        <v>96</v>
      </c>
      <c r="H558" s="5">
        <v>64.099999999999994</v>
      </c>
      <c r="I558" s="5">
        <v>82.2</v>
      </c>
      <c r="J558" s="5">
        <v>79.8</v>
      </c>
      <c r="K558" s="5">
        <v>45.4</v>
      </c>
      <c r="L558" s="10">
        <v>0.36875000000000002</v>
      </c>
      <c r="M558" s="10">
        <v>0.53472222222222221</v>
      </c>
      <c r="N558" s="11">
        <f t="shared" ref="N558:P558" si="358">AVERAGE(96,96,96,96)*1.04</f>
        <v>99.84</v>
      </c>
      <c r="O558" s="11">
        <f t="shared" si="358"/>
        <v>99.84</v>
      </c>
      <c r="P558" s="11">
        <f t="shared" si="358"/>
        <v>99.84</v>
      </c>
      <c r="Q558" s="11">
        <f t="shared" si="312"/>
        <v>99.839999999999989</v>
      </c>
      <c r="R558" s="5">
        <v>2</v>
      </c>
      <c r="S558" s="5">
        <v>5</v>
      </c>
      <c r="T558" s="5" t="s">
        <v>4</v>
      </c>
      <c r="U558" s="5" t="s">
        <v>55</v>
      </c>
      <c r="V558" s="5">
        <v>17.899999999999999</v>
      </c>
      <c r="W558" s="5" t="s">
        <v>8</v>
      </c>
      <c r="X558" s="5" t="s">
        <v>8</v>
      </c>
      <c r="Y558" s="5">
        <v>2.5</v>
      </c>
      <c r="Z558" s="5" t="s">
        <v>9</v>
      </c>
      <c r="AA558" s="5" t="s">
        <v>123</v>
      </c>
      <c r="AB558" s="6"/>
    </row>
    <row r="559" spans="1:28" ht="16" x14ac:dyDescent="0.2">
      <c r="A559" s="4">
        <v>45880</v>
      </c>
      <c r="B559" s="20">
        <v>25223</v>
      </c>
      <c r="C559" s="5" t="s">
        <v>52</v>
      </c>
      <c r="D559" s="6"/>
      <c r="E559" s="15">
        <v>42.446078</v>
      </c>
      <c r="F559" s="15">
        <v>-75.703182999999996</v>
      </c>
      <c r="G559" s="5" t="s">
        <v>96</v>
      </c>
      <c r="H559" s="5">
        <v>64.099999999999994</v>
      </c>
      <c r="I559" s="5">
        <v>82.2</v>
      </c>
      <c r="J559" s="5">
        <v>79.8</v>
      </c>
      <c r="K559" s="5">
        <v>45.4</v>
      </c>
      <c r="L559" s="10">
        <v>0.36875000000000002</v>
      </c>
      <c r="M559" s="10">
        <v>0.53472222222222221</v>
      </c>
      <c r="N559" s="11">
        <f t="shared" ref="N559:P559" si="359">AVERAGE(96,96,96,96)*1.04</f>
        <v>99.84</v>
      </c>
      <c r="O559" s="11">
        <f t="shared" si="359"/>
        <v>99.84</v>
      </c>
      <c r="P559" s="11">
        <f t="shared" si="359"/>
        <v>99.84</v>
      </c>
      <c r="Q559" s="11">
        <f t="shared" si="312"/>
        <v>99.839999999999989</v>
      </c>
      <c r="R559" s="5">
        <v>2</v>
      </c>
      <c r="S559" s="5">
        <v>4.3499999999999996</v>
      </c>
      <c r="T559" s="5" t="s">
        <v>9</v>
      </c>
      <c r="U559" s="5" t="s">
        <v>187</v>
      </c>
      <c r="V559" s="5">
        <v>17.8</v>
      </c>
      <c r="W559" s="5" t="s">
        <v>8</v>
      </c>
      <c r="X559" s="5" t="s">
        <v>8</v>
      </c>
      <c r="Y559" s="5">
        <v>2.5</v>
      </c>
      <c r="Z559" s="5" t="s">
        <v>9</v>
      </c>
      <c r="AA559" s="5" t="s">
        <v>123</v>
      </c>
      <c r="AB559" s="6"/>
    </row>
    <row r="560" spans="1:28" ht="16" x14ac:dyDescent="0.2">
      <c r="A560" s="4">
        <v>45880</v>
      </c>
      <c r="B560" s="20">
        <v>25223</v>
      </c>
      <c r="C560" s="5" t="s">
        <v>52</v>
      </c>
      <c r="D560" s="6"/>
      <c r="E560" s="15">
        <v>42.446078</v>
      </c>
      <c r="F560" s="15">
        <v>-75.703182999999996</v>
      </c>
      <c r="G560" s="5" t="s">
        <v>96</v>
      </c>
      <c r="H560" s="5">
        <v>64.099999999999994</v>
      </c>
      <c r="I560" s="5">
        <v>82.2</v>
      </c>
      <c r="J560" s="5">
        <v>79.8</v>
      </c>
      <c r="K560" s="5">
        <v>45.4</v>
      </c>
      <c r="L560" s="10">
        <v>0.36875000000000002</v>
      </c>
      <c r="M560" s="10">
        <v>0.53472222222222221</v>
      </c>
      <c r="N560" s="11">
        <f t="shared" ref="N560:P560" si="360">AVERAGE(96,96,96,96)*1.04</f>
        <v>99.84</v>
      </c>
      <c r="O560" s="11">
        <f t="shared" si="360"/>
        <v>99.84</v>
      </c>
      <c r="P560" s="11">
        <f t="shared" si="360"/>
        <v>99.84</v>
      </c>
      <c r="Q560" s="11">
        <f t="shared" si="312"/>
        <v>99.839999999999989</v>
      </c>
      <c r="R560" s="5">
        <v>2</v>
      </c>
      <c r="S560" s="5">
        <v>11.35</v>
      </c>
      <c r="T560" s="5" t="s">
        <v>9</v>
      </c>
      <c r="U560" s="5" t="s">
        <v>55</v>
      </c>
      <c r="V560" s="5">
        <v>19.5</v>
      </c>
      <c r="W560" s="5">
        <v>6.2</v>
      </c>
      <c r="X560" s="5">
        <v>38</v>
      </c>
      <c r="Y560" s="5">
        <v>4.5</v>
      </c>
      <c r="Z560" s="5" t="s">
        <v>9</v>
      </c>
      <c r="AA560" s="5" t="s">
        <v>205</v>
      </c>
      <c r="AB560" s="6"/>
    </row>
    <row r="561" spans="1:28" ht="16" x14ac:dyDescent="0.2">
      <c r="A561" s="4">
        <v>45880</v>
      </c>
      <c r="B561" s="20">
        <v>25223</v>
      </c>
      <c r="C561" s="5" t="s">
        <v>52</v>
      </c>
      <c r="D561" s="6"/>
      <c r="E561" s="15">
        <v>42.446078</v>
      </c>
      <c r="F561" s="15">
        <v>-75.703182999999996</v>
      </c>
      <c r="G561" s="5" t="s">
        <v>96</v>
      </c>
      <c r="H561" s="5">
        <v>64.099999999999994</v>
      </c>
      <c r="I561" s="5">
        <v>82.2</v>
      </c>
      <c r="J561" s="5">
        <v>79.8</v>
      </c>
      <c r="K561" s="5">
        <v>45.4</v>
      </c>
      <c r="L561" s="10">
        <v>0.36875000000000002</v>
      </c>
      <c r="M561" s="10">
        <v>0.53472222222222221</v>
      </c>
      <c r="N561" s="11">
        <f t="shared" ref="N561:P561" si="361">AVERAGE(96,96,96,96)*1.04</f>
        <v>99.84</v>
      </c>
      <c r="O561" s="11">
        <f t="shared" si="361"/>
        <v>99.84</v>
      </c>
      <c r="P561" s="11">
        <f t="shared" si="361"/>
        <v>99.84</v>
      </c>
      <c r="Q561" s="11">
        <f t="shared" si="312"/>
        <v>99.839999999999989</v>
      </c>
      <c r="R561" s="5">
        <v>2</v>
      </c>
      <c r="S561" s="5">
        <v>30</v>
      </c>
      <c r="T561" s="5" t="s">
        <v>4</v>
      </c>
      <c r="U561" s="5" t="s">
        <v>55</v>
      </c>
      <c r="V561" s="5">
        <v>19.7</v>
      </c>
      <c r="W561" s="5" t="s">
        <v>8</v>
      </c>
      <c r="X561" s="5" t="s">
        <v>8</v>
      </c>
      <c r="Y561" s="5">
        <v>4</v>
      </c>
      <c r="Z561" s="5" t="s">
        <v>9</v>
      </c>
      <c r="AA561" s="5" t="s">
        <v>206</v>
      </c>
      <c r="AB561" s="6"/>
    </row>
    <row r="562" spans="1:28" ht="16" x14ac:dyDescent="0.2">
      <c r="A562" s="4">
        <v>45880</v>
      </c>
      <c r="B562" s="20">
        <v>25223</v>
      </c>
      <c r="C562" s="5" t="s">
        <v>52</v>
      </c>
      <c r="D562" s="6"/>
      <c r="E562" s="15">
        <v>42.446078</v>
      </c>
      <c r="F562" s="15">
        <v>-75.703182999999996</v>
      </c>
      <c r="G562" s="5" t="s">
        <v>96</v>
      </c>
      <c r="H562" s="5">
        <v>64.099999999999994</v>
      </c>
      <c r="I562" s="5">
        <v>82.2</v>
      </c>
      <c r="J562" s="5">
        <v>79.8</v>
      </c>
      <c r="K562" s="5">
        <v>45.4</v>
      </c>
      <c r="L562" s="10">
        <v>0.36875000000000002</v>
      </c>
      <c r="M562" s="10">
        <v>0.53472222222222221</v>
      </c>
      <c r="N562" s="11">
        <f t="shared" ref="N562:P562" si="362">AVERAGE(96,96,96,96)*1.04</f>
        <v>99.84</v>
      </c>
      <c r="O562" s="11">
        <f t="shared" si="362"/>
        <v>99.84</v>
      </c>
      <c r="P562" s="11">
        <f t="shared" si="362"/>
        <v>99.84</v>
      </c>
      <c r="Q562" s="11">
        <f t="shared" si="312"/>
        <v>99.839999999999989</v>
      </c>
      <c r="R562" s="5">
        <v>2</v>
      </c>
      <c r="S562" s="5">
        <v>29</v>
      </c>
      <c r="T562" s="5" t="s">
        <v>9</v>
      </c>
      <c r="U562" s="5" t="s">
        <v>55</v>
      </c>
      <c r="V562" s="5">
        <v>19</v>
      </c>
      <c r="W562" s="5" t="s">
        <v>8</v>
      </c>
      <c r="X562" s="5" t="s">
        <v>8</v>
      </c>
      <c r="Y562" s="5">
        <v>4</v>
      </c>
      <c r="Z562" s="5" t="s">
        <v>9</v>
      </c>
      <c r="AA562" s="5" t="s">
        <v>123</v>
      </c>
      <c r="AB562" s="6"/>
    </row>
    <row r="563" spans="1:28" ht="16" x14ac:dyDescent="0.2">
      <c r="A563" s="4">
        <v>45880</v>
      </c>
      <c r="B563" s="20">
        <v>25223</v>
      </c>
      <c r="C563" s="5" t="s">
        <v>52</v>
      </c>
      <c r="D563" s="6"/>
      <c r="E563" s="15">
        <v>42.446078</v>
      </c>
      <c r="F563" s="15">
        <v>-75.703182999999996</v>
      </c>
      <c r="G563" s="5" t="s">
        <v>96</v>
      </c>
      <c r="H563" s="5">
        <v>64.099999999999994</v>
      </c>
      <c r="I563" s="5">
        <v>82.2</v>
      </c>
      <c r="J563" s="5">
        <v>79.8</v>
      </c>
      <c r="K563" s="5">
        <v>45.4</v>
      </c>
      <c r="L563" s="10">
        <v>0.36875000000000002</v>
      </c>
      <c r="M563" s="10">
        <v>0.53472222222222221</v>
      </c>
      <c r="N563" s="11">
        <f t="shared" ref="N563:P563" si="363">AVERAGE(96,96,96,96)*1.04</f>
        <v>99.84</v>
      </c>
      <c r="O563" s="11">
        <f t="shared" si="363"/>
        <v>99.84</v>
      </c>
      <c r="P563" s="11">
        <f t="shared" si="363"/>
        <v>99.84</v>
      </c>
      <c r="Q563" s="11">
        <f t="shared" si="312"/>
        <v>99.839999999999989</v>
      </c>
      <c r="R563" s="5">
        <v>2</v>
      </c>
      <c r="S563" s="5">
        <v>2.15</v>
      </c>
      <c r="T563" s="5" t="s">
        <v>4</v>
      </c>
      <c r="U563" s="5" t="s">
        <v>55</v>
      </c>
      <c r="V563" s="5">
        <v>19.399999999999999</v>
      </c>
      <c r="W563" s="5" t="s">
        <v>8</v>
      </c>
      <c r="X563" s="5" t="s">
        <v>8</v>
      </c>
      <c r="Y563" s="5">
        <v>3</v>
      </c>
      <c r="Z563" s="5" t="s">
        <v>9</v>
      </c>
      <c r="AA563" s="5" t="s">
        <v>123</v>
      </c>
      <c r="AB563" s="6"/>
    </row>
    <row r="564" spans="1:28" ht="16" x14ac:dyDescent="0.2">
      <c r="A564" s="4">
        <v>45880</v>
      </c>
      <c r="B564" s="20">
        <v>25223</v>
      </c>
      <c r="C564" s="5" t="s">
        <v>52</v>
      </c>
      <c r="D564" s="6"/>
      <c r="E564" s="15">
        <v>42.446078</v>
      </c>
      <c r="F564" s="15">
        <v>-75.703182999999996</v>
      </c>
      <c r="G564" s="5" t="s">
        <v>96</v>
      </c>
      <c r="H564" s="5">
        <v>64.099999999999994</v>
      </c>
      <c r="I564" s="5">
        <v>82.2</v>
      </c>
      <c r="J564" s="5">
        <v>79.8</v>
      </c>
      <c r="K564" s="5">
        <v>45.4</v>
      </c>
      <c r="L564" s="10">
        <v>0.36875000000000002</v>
      </c>
      <c r="M564" s="10">
        <v>0.53472222222222221</v>
      </c>
      <c r="N564" s="11">
        <f t="shared" ref="N564:P564" si="364">AVERAGE(96,96,96,96)*1.04</f>
        <v>99.84</v>
      </c>
      <c r="O564" s="11">
        <f t="shared" si="364"/>
        <v>99.84</v>
      </c>
      <c r="P564" s="11">
        <f t="shared" si="364"/>
        <v>99.84</v>
      </c>
      <c r="Q564" s="11">
        <f t="shared" si="312"/>
        <v>99.839999999999989</v>
      </c>
      <c r="R564" s="5">
        <v>2</v>
      </c>
      <c r="S564" s="5">
        <v>10.9</v>
      </c>
      <c r="T564" s="5" t="s">
        <v>4</v>
      </c>
      <c r="U564" s="5" t="s">
        <v>55</v>
      </c>
      <c r="V564" s="5">
        <v>18.8</v>
      </c>
      <c r="W564" s="5">
        <v>5.8</v>
      </c>
      <c r="X564" s="5">
        <v>61</v>
      </c>
      <c r="Y564" s="5">
        <v>2.5</v>
      </c>
      <c r="Z564" s="5" t="s">
        <v>9</v>
      </c>
      <c r="AA564" s="6"/>
      <c r="AB564" s="6"/>
    </row>
    <row r="565" spans="1:28" ht="16" x14ac:dyDescent="0.2">
      <c r="A565" s="4">
        <v>45880</v>
      </c>
      <c r="B565" s="20">
        <v>25223</v>
      </c>
      <c r="C565" s="5" t="s">
        <v>52</v>
      </c>
      <c r="D565" s="6"/>
      <c r="E565" s="15">
        <v>42.446078</v>
      </c>
      <c r="F565" s="15">
        <v>-75.703182999999996</v>
      </c>
      <c r="G565" s="5" t="s">
        <v>96</v>
      </c>
      <c r="H565" s="5">
        <v>64.099999999999994</v>
      </c>
      <c r="I565" s="5">
        <v>82.2</v>
      </c>
      <c r="J565" s="5">
        <v>79.8</v>
      </c>
      <c r="K565" s="5">
        <v>45.4</v>
      </c>
      <c r="L565" s="10">
        <v>0.36875000000000002</v>
      </c>
      <c r="M565" s="10">
        <v>0.53472222222222221</v>
      </c>
      <c r="N565" s="11">
        <f t="shared" ref="N565:P565" si="365">AVERAGE(96,96,96,96)*1.04</f>
        <v>99.84</v>
      </c>
      <c r="O565" s="11">
        <f t="shared" si="365"/>
        <v>99.84</v>
      </c>
      <c r="P565" s="11">
        <f t="shared" si="365"/>
        <v>99.84</v>
      </c>
      <c r="Q565" s="11">
        <f t="shared" si="312"/>
        <v>99.839999999999989</v>
      </c>
      <c r="R565" s="5">
        <v>2</v>
      </c>
      <c r="S565" s="5">
        <v>12</v>
      </c>
      <c r="T565" s="5" t="s">
        <v>4</v>
      </c>
      <c r="U565" s="5" t="s">
        <v>55</v>
      </c>
      <c r="V565" s="5">
        <v>19</v>
      </c>
      <c r="W565" s="5">
        <v>6.6</v>
      </c>
      <c r="X565" s="5">
        <v>20</v>
      </c>
      <c r="Y565" s="5">
        <v>6.5</v>
      </c>
      <c r="Z565" s="5" t="s">
        <v>9</v>
      </c>
      <c r="AA565" s="6"/>
      <c r="AB565" s="6"/>
    </row>
    <row r="566" spans="1:28" ht="16" x14ac:dyDescent="0.2">
      <c r="A566" s="4">
        <v>45880</v>
      </c>
      <c r="B566" s="20">
        <v>25223</v>
      </c>
      <c r="C566" s="5" t="s">
        <v>52</v>
      </c>
      <c r="D566" s="6"/>
      <c r="E566" s="15">
        <v>42.446078</v>
      </c>
      <c r="F566" s="15">
        <v>-75.703182999999996</v>
      </c>
      <c r="G566" s="5" t="s">
        <v>96</v>
      </c>
      <c r="H566" s="5">
        <v>64.099999999999994</v>
      </c>
      <c r="I566" s="5">
        <v>82.2</v>
      </c>
      <c r="J566" s="5">
        <v>79.8</v>
      </c>
      <c r="K566" s="5">
        <v>45.4</v>
      </c>
      <c r="L566" s="10">
        <v>0.36875000000000002</v>
      </c>
      <c r="M566" s="10">
        <v>0.53472222222222221</v>
      </c>
      <c r="N566" s="11">
        <f t="shared" ref="N566:P566" si="366">AVERAGE(96,96,96,96)*1.04</f>
        <v>99.84</v>
      </c>
      <c r="O566" s="11">
        <f t="shared" si="366"/>
        <v>99.84</v>
      </c>
      <c r="P566" s="11">
        <f t="shared" si="366"/>
        <v>99.84</v>
      </c>
      <c r="Q566" s="11">
        <f t="shared" si="312"/>
        <v>99.839999999999989</v>
      </c>
      <c r="R566" s="5">
        <v>2</v>
      </c>
      <c r="S566" s="5">
        <v>20.9</v>
      </c>
      <c r="T566" s="5" t="s">
        <v>4</v>
      </c>
      <c r="U566" s="5" t="s">
        <v>55</v>
      </c>
      <c r="V566" s="5">
        <v>19</v>
      </c>
      <c r="W566" s="5" t="s">
        <v>8</v>
      </c>
      <c r="X566" s="5" t="s">
        <v>8</v>
      </c>
      <c r="Y566" s="5">
        <v>3</v>
      </c>
      <c r="Z566" s="5" t="s">
        <v>9</v>
      </c>
      <c r="AA566" s="5" t="s">
        <v>123</v>
      </c>
      <c r="AB566" s="6"/>
    </row>
    <row r="567" spans="1:28" ht="16" x14ac:dyDescent="0.2">
      <c r="A567" s="4">
        <v>45880</v>
      </c>
      <c r="B567" s="20">
        <v>25223</v>
      </c>
      <c r="C567" s="5" t="s">
        <v>52</v>
      </c>
      <c r="D567" s="6"/>
      <c r="E567" s="15">
        <v>42.446078</v>
      </c>
      <c r="F567" s="15">
        <v>-75.703182999999996</v>
      </c>
      <c r="G567" s="5" t="s">
        <v>96</v>
      </c>
      <c r="H567" s="5">
        <v>64.099999999999994</v>
      </c>
      <c r="I567" s="5">
        <v>82.2</v>
      </c>
      <c r="J567" s="5">
        <v>79.8</v>
      </c>
      <c r="K567" s="5">
        <v>45.4</v>
      </c>
      <c r="L567" s="10">
        <v>0.36875000000000002</v>
      </c>
      <c r="M567" s="10">
        <v>0.53472222222222221</v>
      </c>
      <c r="N567" s="11">
        <f t="shared" ref="N567:P567" si="367">AVERAGE(96,96,96,96)*1.04</f>
        <v>99.84</v>
      </c>
      <c r="O567" s="11">
        <f t="shared" si="367"/>
        <v>99.84</v>
      </c>
      <c r="P567" s="11">
        <f t="shared" si="367"/>
        <v>99.84</v>
      </c>
      <c r="Q567" s="11">
        <f t="shared" si="312"/>
        <v>99.839999999999989</v>
      </c>
      <c r="R567" s="5">
        <v>2</v>
      </c>
      <c r="S567" s="5">
        <v>33</v>
      </c>
      <c r="T567" s="5" t="s">
        <v>4</v>
      </c>
      <c r="U567" s="5" t="s">
        <v>207</v>
      </c>
      <c r="V567" s="5">
        <v>19.5</v>
      </c>
      <c r="W567" s="5" t="s">
        <v>8</v>
      </c>
      <c r="X567" s="5" t="s">
        <v>8</v>
      </c>
      <c r="Y567" s="5">
        <v>2.5</v>
      </c>
      <c r="Z567" s="5" t="s">
        <v>9</v>
      </c>
      <c r="AA567" s="5" t="s">
        <v>123</v>
      </c>
      <c r="AB567" s="6"/>
    </row>
    <row r="568" spans="1:28" ht="16" x14ac:dyDescent="0.2">
      <c r="A568" s="4">
        <v>45880</v>
      </c>
      <c r="B568" s="20">
        <v>25223</v>
      </c>
      <c r="C568" s="5" t="s">
        <v>52</v>
      </c>
      <c r="D568" s="6"/>
      <c r="E568" s="15">
        <v>42.446078</v>
      </c>
      <c r="F568" s="15">
        <v>-75.703182999999996</v>
      </c>
      <c r="G568" s="5" t="s">
        <v>96</v>
      </c>
      <c r="H568" s="5">
        <v>64.099999999999994</v>
      </c>
      <c r="I568" s="5">
        <v>82.2</v>
      </c>
      <c r="J568" s="5">
        <v>79.8</v>
      </c>
      <c r="K568" s="5">
        <v>45.4</v>
      </c>
      <c r="L568" s="10">
        <v>0.36875000000000002</v>
      </c>
      <c r="M568" s="10">
        <v>0.53472222222222221</v>
      </c>
      <c r="N568" s="11">
        <f t="shared" ref="N568:P568" si="368">AVERAGE(96,96,96,96)*1.04</f>
        <v>99.84</v>
      </c>
      <c r="O568" s="11">
        <f t="shared" si="368"/>
        <v>99.84</v>
      </c>
      <c r="P568" s="11">
        <f t="shared" si="368"/>
        <v>99.84</v>
      </c>
      <c r="Q568" s="11">
        <f t="shared" si="312"/>
        <v>99.839999999999989</v>
      </c>
      <c r="R568" s="5">
        <v>3</v>
      </c>
      <c r="S568" s="5">
        <v>5</v>
      </c>
      <c r="T568" s="5" t="s">
        <v>9</v>
      </c>
      <c r="U568" s="5" t="s">
        <v>55</v>
      </c>
      <c r="V568" s="5">
        <v>20.9</v>
      </c>
      <c r="W568" s="5" t="s">
        <v>8</v>
      </c>
      <c r="X568" s="5" t="s">
        <v>8</v>
      </c>
      <c r="Y568" s="5">
        <v>2.5</v>
      </c>
      <c r="Z568" s="5" t="s">
        <v>9</v>
      </c>
      <c r="AA568" s="5" t="s">
        <v>123</v>
      </c>
      <c r="AB568" s="6"/>
    </row>
    <row r="569" spans="1:28" ht="16" x14ac:dyDescent="0.2">
      <c r="A569" s="4">
        <v>45880</v>
      </c>
      <c r="B569" s="20">
        <v>25223</v>
      </c>
      <c r="C569" s="5" t="s">
        <v>52</v>
      </c>
      <c r="D569" s="6"/>
      <c r="E569" s="15">
        <v>42.446078</v>
      </c>
      <c r="F569" s="15">
        <v>-75.703182999999996</v>
      </c>
      <c r="G569" s="5" t="s">
        <v>96</v>
      </c>
      <c r="H569" s="5">
        <v>64.099999999999994</v>
      </c>
      <c r="I569" s="5">
        <v>82.2</v>
      </c>
      <c r="J569" s="5">
        <v>79.8</v>
      </c>
      <c r="K569" s="5">
        <v>45.4</v>
      </c>
      <c r="L569" s="10">
        <v>0.36875000000000002</v>
      </c>
      <c r="M569" s="10">
        <v>0.53472222222222221</v>
      </c>
      <c r="N569" s="11">
        <f t="shared" ref="N569:P569" si="369">AVERAGE(96,96,96,96)*1.04</f>
        <v>99.84</v>
      </c>
      <c r="O569" s="11">
        <f t="shared" si="369"/>
        <v>99.84</v>
      </c>
      <c r="P569" s="11">
        <f t="shared" si="369"/>
        <v>99.84</v>
      </c>
      <c r="Q569" s="11">
        <f t="shared" si="312"/>
        <v>99.839999999999989</v>
      </c>
      <c r="R569" s="5">
        <v>3</v>
      </c>
      <c r="S569" s="5">
        <v>16.7</v>
      </c>
      <c r="T569" s="5" t="s">
        <v>9</v>
      </c>
      <c r="U569" s="5" t="s">
        <v>55</v>
      </c>
      <c r="V569" s="5">
        <v>21.8</v>
      </c>
      <c r="W569" s="5" t="s">
        <v>8</v>
      </c>
      <c r="X569" s="5" t="s">
        <v>8</v>
      </c>
      <c r="Y569" s="5">
        <v>1.5</v>
      </c>
      <c r="Z569" s="5" t="s">
        <v>9</v>
      </c>
      <c r="AA569" s="5" t="s">
        <v>123</v>
      </c>
      <c r="AB569" s="6"/>
    </row>
    <row r="570" spans="1:28" ht="16" x14ac:dyDescent="0.2">
      <c r="A570" s="4">
        <v>45880</v>
      </c>
      <c r="B570" s="20">
        <v>25223</v>
      </c>
      <c r="C570" s="5" t="s">
        <v>52</v>
      </c>
      <c r="D570" s="6"/>
      <c r="E570" s="15">
        <v>42.446078</v>
      </c>
      <c r="F570" s="15">
        <v>-75.703182999999996</v>
      </c>
      <c r="G570" s="5" t="s">
        <v>96</v>
      </c>
      <c r="H570" s="5">
        <v>64.099999999999994</v>
      </c>
      <c r="I570" s="5">
        <v>82.2</v>
      </c>
      <c r="J570" s="5">
        <v>79.8</v>
      </c>
      <c r="K570" s="5">
        <v>45.4</v>
      </c>
      <c r="L570" s="10">
        <v>0.36875000000000002</v>
      </c>
      <c r="M570" s="10">
        <v>0.53472222222222221</v>
      </c>
      <c r="N570" s="11">
        <f t="shared" ref="N570:P570" si="370">AVERAGE(96,96,96,96)*1.04</f>
        <v>99.84</v>
      </c>
      <c r="O570" s="11">
        <f t="shared" si="370"/>
        <v>99.84</v>
      </c>
      <c r="P570" s="11">
        <f t="shared" si="370"/>
        <v>99.84</v>
      </c>
      <c r="Q570" s="11">
        <f t="shared" si="312"/>
        <v>99.839999999999989</v>
      </c>
      <c r="R570" s="5">
        <v>3</v>
      </c>
      <c r="S570" s="5">
        <v>29.2</v>
      </c>
      <c r="T570" s="5" t="s">
        <v>9</v>
      </c>
      <c r="U570" s="5" t="s">
        <v>55</v>
      </c>
      <c r="V570" s="5">
        <v>19.7</v>
      </c>
      <c r="W570" s="5" t="s">
        <v>8</v>
      </c>
      <c r="X570" s="5" t="s">
        <v>8</v>
      </c>
      <c r="Y570" s="5">
        <v>1.5</v>
      </c>
      <c r="Z570" s="5" t="s">
        <v>9</v>
      </c>
      <c r="AA570" s="5" t="s">
        <v>123</v>
      </c>
      <c r="AB570" s="6"/>
    </row>
    <row r="571" spans="1:28" ht="16" x14ac:dyDescent="0.2">
      <c r="A571" s="4">
        <v>45880</v>
      </c>
      <c r="B571" s="20">
        <v>25223</v>
      </c>
      <c r="C571" s="5" t="s">
        <v>52</v>
      </c>
      <c r="D571" s="6"/>
      <c r="E571" s="15">
        <v>42.446078</v>
      </c>
      <c r="F571" s="15">
        <v>-75.703182999999996</v>
      </c>
      <c r="G571" s="5" t="s">
        <v>96</v>
      </c>
      <c r="H571" s="5">
        <v>64.099999999999994</v>
      </c>
      <c r="I571" s="5">
        <v>82.2</v>
      </c>
      <c r="J571" s="5">
        <v>79.8</v>
      </c>
      <c r="K571" s="5">
        <v>45.4</v>
      </c>
      <c r="L571" s="10">
        <v>0.36875000000000002</v>
      </c>
      <c r="M571" s="10">
        <v>0.53472222222222221</v>
      </c>
      <c r="N571" s="11">
        <f t="shared" ref="N571:P571" si="371">AVERAGE(96,96,96,96)*1.04</f>
        <v>99.84</v>
      </c>
      <c r="O571" s="11">
        <f t="shared" si="371"/>
        <v>99.84</v>
      </c>
      <c r="P571" s="11">
        <f t="shared" si="371"/>
        <v>99.84</v>
      </c>
      <c r="Q571" s="11">
        <f t="shared" si="312"/>
        <v>99.839999999999989</v>
      </c>
      <c r="R571" s="5">
        <v>3</v>
      </c>
      <c r="S571" s="5">
        <v>30</v>
      </c>
      <c r="T571" s="5" t="s">
        <v>4</v>
      </c>
      <c r="U571" s="5" t="s">
        <v>208</v>
      </c>
      <c r="V571" s="5">
        <v>20.100000000000001</v>
      </c>
      <c r="W571" s="5" t="s">
        <v>8</v>
      </c>
      <c r="X571" s="5" t="s">
        <v>8</v>
      </c>
      <c r="Y571" s="5">
        <v>2.5</v>
      </c>
      <c r="Z571" s="5" t="s">
        <v>9</v>
      </c>
      <c r="AA571" s="5" t="s">
        <v>123</v>
      </c>
      <c r="AB571" s="6"/>
    </row>
    <row r="572" spans="1:28" ht="16" x14ac:dyDescent="0.2">
      <c r="A572" s="4">
        <v>45881</v>
      </c>
      <c r="B572" s="20">
        <v>25224</v>
      </c>
      <c r="C572" s="5" t="s">
        <v>53</v>
      </c>
      <c r="D572" s="5" t="s">
        <v>209</v>
      </c>
      <c r="E572" s="5">
        <v>42.756692000000001</v>
      </c>
      <c r="F572" s="5">
        <v>-75.365778000000006</v>
      </c>
      <c r="G572" s="5" t="s">
        <v>96</v>
      </c>
      <c r="H572" s="5">
        <v>71.5</v>
      </c>
      <c r="I572" s="5">
        <v>77</v>
      </c>
      <c r="J572" s="5">
        <v>81.900000000000006</v>
      </c>
      <c r="K572" s="5">
        <v>57.1</v>
      </c>
      <c r="L572" s="10">
        <v>0.39305555555555555</v>
      </c>
      <c r="M572" s="10">
        <v>0.59027777777777779</v>
      </c>
      <c r="N572" s="11">
        <f t="shared" ref="N572:P572" si="372">AVERAGE(96,96,96,96)*1.04</f>
        <v>99.84</v>
      </c>
      <c r="O572" s="11">
        <f t="shared" si="372"/>
        <v>99.84</v>
      </c>
      <c r="P572" s="11">
        <f t="shared" si="372"/>
        <v>99.84</v>
      </c>
      <c r="Q572" s="11">
        <f t="shared" si="312"/>
        <v>99.839999999999989</v>
      </c>
      <c r="R572" s="5">
        <v>1</v>
      </c>
      <c r="S572" s="5">
        <v>5.5</v>
      </c>
      <c r="T572" s="5" t="s">
        <v>9</v>
      </c>
      <c r="U572" s="5" t="s">
        <v>55</v>
      </c>
      <c r="V572" s="5">
        <v>19.3</v>
      </c>
      <c r="W572" s="5">
        <v>6.4</v>
      </c>
      <c r="X572" s="5">
        <v>50</v>
      </c>
      <c r="Y572" s="5">
        <v>2</v>
      </c>
      <c r="Z572" s="5" t="s">
        <v>9</v>
      </c>
      <c r="AA572" s="6" t="s">
        <v>337</v>
      </c>
      <c r="AB572" s="6"/>
    </row>
    <row r="573" spans="1:28" ht="16" x14ac:dyDescent="0.2">
      <c r="A573" s="4">
        <v>45881</v>
      </c>
      <c r="B573" s="20">
        <v>25224</v>
      </c>
      <c r="C573" s="5" t="s">
        <v>53</v>
      </c>
      <c r="D573" s="6"/>
      <c r="E573" s="5">
        <v>42.756692000000001</v>
      </c>
      <c r="F573" s="5">
        <v>-75.365778000000006</v>
      </c>
      <c r="G573" s="5" t="s">
        <v>96</v>
      </c>
      <c r="H573" s="5">
        <v>71.5</v>
      </c>
      <c r="I573" s="5">
        <v>77</v>
      </c>
      <c r="J573" s="5">
        <v>81.900000000000006</v>
      </c>
      <c r="K573" s="5">
        <v>57.1</v>
      </c>
      <c r="L573" s="10">
        <v>0.39305555555555555</v>
      </c>
      <c r="M573" s="10">
        <v>0.59027777777777779</v>
      </c>
      <c r="N573" s="11">
        <f t="shared" ref="N573:P573" si="373">AVERAGE(96,96,96,96)*1.04</f>
        <v>99.84</v>
      </c>
      <c r="O573" s="11">
        <f t="shared" si="373"/>
        <v>99.84</v>
      </c>
      <c r="P573" s="11">
        <f t="shared" si="373"/>
        <v>99.84</v>
      </c>
      <c r="Q573" s="11">
        <f t="shared" si="312"/>
        <v>99.839999999999989</v>
      </c>
      <c r="R573" s="5">
        <v>1</v>
      </c>
      <c r="S573" s="5">
        <v>14</v>
      </c>
      <c r="T573" s="5" t="s">
        <v>9</v>
      </c>
      <c r="U573" s="5" t="s">
        <v>55</v>
      </c>
      <c r="V573" s="5">
        <v>19.600000000000001</v>
      </c>
      <c r="W573" s="5">
        <v>6.6</v>
      </c>
      <c r="X573" s="5">
        <v>15</v>
      </c>
      <c r="Y573" s="5">
        <v>3</v>
      </c>
      <c r="Z573" s="5" t="s">
        <v>9</v>
      </c>
      <c r="AA573" s="6"/>
      <c r="AB573" s="6"/>
    </row>
    <row r="574" spans="1:28" ht="16" x14ac:dyDescent="0.2">
      <c r="A574" s="4">
        <v>45881</v>
      </c>
      <c r="B574" s="20">
        <v>25224</v>
      </c>
      <c r="C574" s="5" t="s">
        <v>53</v>
      </c>
      <c r="D574" s="6"/>
      <c r="E574" s="5">
        <v>42.756692000000001</v>
      </c>
      <c r="F574" s="5">
        <v>-75.365778000000006</v>
      </c>
      <c r="G574" s="5" t="s">
        <v>202</v>
      </c>
      <c r="H574" s="5">
        <v>71.5</v>
      </c>
      <c r="I574" s="5">
        <v>77</v>
      </c>
      <c r="J574" s="5">
        <v>81.900000000000006</v>
      </c>
      <c r="K574" s="5">
        <v>57.1</v>
      </c>
      <c r="L574" s="10">
        <v>0.39305555555555555</v>
      </c>
      <c r="M574" s="10">
        <v>0.59027777777777779</v>
      </c>
      <c r="N574" s="11">
        <f t="shared" ref="N574:P574" si="374">AVERAGE(96,96,96,96)*1.04</f>
        <v>99.84</v>
      </c>
      <c r="O574" s="11">
        <f t="shared" si="374"/>
        <v>99.84</v>
      </c>
      <c r="P574" s="11">
        <f t="shared" si="374"/>
        <v>99.84</v>
      </c>
      <c r="Q574" s="11">
        <f t="shared" si="312"/>
        <v>99.839999999999989</v>
      </c>
      <c r="R574" s="5">
        <v>1</v>
      </c>
      <c r="S574" s="5">
        <v>26</v>
      </c>
      <c r="T574" s="5" t="s">
        <v>9</v>
      </c>
      <c r="U574" s="5" t="s">
        <v>55</v>
      </c>
      <c r="V574" s="5">
        <v>21.2</v>
      </c>
      <c r="W574" s="5">
        <v>6.6</v>
      </c>
      <c r="X574" s="5">
        <v>19</v>
      </c>
      <c r="Y574" s="5">
        <v>5</v>
      </c>
      <c r="Z574" s="5" t="s">
        <v>9</v>
      </c>
      <c r="AA574" s="6"/>
      <c r="AB574" s="6"/>
    </row>
    <row r="575" spans="1:28" ht="16" x14ac:dyDescent="0.2">
      <c r="A575" s="4">
        <v>45881</v>
      </c>
      <c r="B575" s="20">
        <v>25224</v>
      </c>
      <c r="C575" s="5" t="s">
        <v>53</v>
      </c>
      <c r="D575" s="6"/>
      <c r="E575" s="5">
        <v>42.756692000000001</v>
      </c>
      <c r="F575" s="5">
        <v>-75.365778000000006</v>
      </c>
      <c r="G575" s="5" t="s">
        <v>96</v>
      </c>
      <c r="H575" s="5">
        <v>71.5</v>
      </c>
      <c r="I575" s="5">
        <v>77</v>
      </c>
      <c r="J575" s="5">
        <v>81.900000000000006</v>
      </c>
      <c r="K575" s="5">
        <v>57.1</v>
      </c>
      <c r="L575" s="10">
        <v>0.39305555555555555</v>
      </c>
      <c r="M575" s="10">
        <v>0.59027777777777779</v>
      </c>
      <c r="N575" s="11">
        <f t="shared" ref="N575:P575" si="375">AVERAGE(96,96,96,96)*1.04</f>
        <v>99.84</v>
      </c>
      <c r="O575" s="11">
        <f t="shared" si="375"/>
        <v>99.84</v>
      </c>
      <c r="P575" s="11">
        <f t="shared" si="375"/>
        <v>99.84</v>
      </c>
      <c r="Q575" s="11">
        <f t="shared" si="312"/>
        <v>99.839999999999989</v>
      </c>
      <c r="R575" s="5">
        <v>1</v>
      </c>
      <c r="S575" s="5">
        <v>6.7</v>
      </c>
      <c r="T575" s="5" t="s">
        <v>4</v>
      </c>
      <c r="U575" s="5" t="s">
        <v>55</v>
      </c>
      <c r="V575" s="5">
        <v>20</v>
      </c>
      <c r="W575" s="5">
        <v>6.1</v>
      </c>
      <c r="X575" s="5">
        <v>55</v>
      </c>
      <c r="Y575" s="5">
        <v>3.5</v>
      </c>
      <c r="Z575" s="5" t="s">
        <v>9</v>
      </c>
      <c r="AA575" s="6"/>
      <c r="AB575" s="6"/>
    </row>
    <row r="576" spans="1:28" ht="16" x14ac:dyDescent="0.2">
      <c r="A576" s="4">
        <v>45881</v>
      </c>
      <c r="B576" s="20">
        <v>25224</v>
      </c>
      <c r="C576" s="5" t="s">
        <v>53</v>
      </c>
      <c r="D576" s="6"/>
      <c r="E576" s="5">
        <v>42.756692000000001</v>
      </c>
      <c r="F576" s="5">
        <v>-75.365778000000006</v>
      </c>
      <c r="G576" s="5" t="s">
        <v>96</v>
      </c>
      <c r="H576" s="5">
        <v>71.5</v>
      </c>
      <c r="I576" s="5">
        <v>77</v>
      </c>
      <c r="J576" s="5">
        <v>81.900000000000006</v>
      </c>
      <c r="K576" s="5">
        <v>57.1</v>
      </c>
      <c r="L576" s="10">
        <v>0.39305555555555555</v>
      </c>
      <c r="M576" s="10">
        <v>0.59027777777777779</v>
      </c>
      <c r="N576" s="11">
        <f t="shared" ref="N576:P576" si="376">AVERAGE(96,96,96,96)*1.04</f>
        <v>99.84</v>
      </c>
      <c r="O576" s="11">
        <f t="shared" si="376"/>
        <v>99.84</v>
      </c>
      <c r="P576" s="11">
        <f t="shared" si="376"/>
        <v>99.84</v>
      </c>
      <c r="Q576" s="11">
        <f t="shared" si="312"/>
        <v>99.839999999999989</v>
      </c>
      <c r="R576" s="5">
        <v>1</v>
      </c>
      <c r="S576" s="5">
        <v>13.2</v>
      </c>
      <c r="T576" s="5" t="s">
        <v>4</v>
      </c>
      <c r="U576" s="5" t="s">
        <v>55</v>
      </c>
      <c r="V576" s="5">
        <v>20</v>
      </c>
      <c r="W576" s="5">
        <v>6.4</v>
      </c>
      <c r="X576" s="5">
        <v>25</v>
      </c>
      <c r="Y576" s="5">
        <v>3</v>
      </c>
      <c r="Z576" s="5" t="s">
        <v>9</v>
      </c>
      <c r="AA576" s="6"/>
      <c r="AB576" s="6"/>
    </row>
    <row r="577" spans="1:28" ht="16" x14ac:dyDescent="0.2">
      <c r="A577" s="4">
        <v>45881</v>
      </c>
      <c r="B577" s="20">
        <v>25224</v>
      </c>
      <c r="C577" s="5" t="s">
        <v>53</v>
      </c>
      <c r="D577" s="6"/>
      <c r="E577" s="5">
        <v>42.756692000000001</v>
      </c>
      <c r="F577" s="5">
        <v>-75.365778000000006</v>
      </c>
      <c r="G577" s="5" t="s">
        <v>96</v>
      </c>
      <c r="H577" s="5">
        <v>71.5</v>
      </c>
      <c r="I577" s="5">
        <v>77</v>
      </c>
      <c r="J577" s="5">
        <v>81.900000000000006</v>
      </c>
      <c r="K577" s="5">
        <v>57.1</v>
      </c>
      <c r="L577" s="10">
        <v>0.39305555555555555</v>
      </c>
      <c r="M577" s="10">
        <v>0.59027777777777779</v>
      </c>
      <c r="N577" s="11">
        <f t="shared" ref="N577:P577" si="377">AVERAGE(96,96,96,96)*1.04</f>
        <v>99.84</v>
      </c>
      <c r="O577" s="11">
        <f t="shared" si="377"/>
        <v>99.84</v>
      </c>
      <c r="P577" s="11">
        <f t="shared" si="377"/>
        <v>99.84</v>
      </c>
      <c r="Q577" s="11">
        <f t="shared" si="312"/>
        <v>99.839999999999989</v>
      </c>
      <c r="R577" s="5">
        <v>1</v>
      </c>
      <c r="S577" s="5">
        <v>17.399999999999999</v>
      </c>
      <c r="T577" s="5" t="s">
        <v>4</v>
      </c>
      <c r="U577" s="5" t="s">
        <v>55</v>
      </c>
      <c r="V577" s="5">
        <v>21</v>
      </c>
      <c r="W577" s="5">
        <v>5.7</v>
      </c>
      <c r="X577" s="5">
        <v>30</v>
      </c>
      <c r="Y577" s="5">
        <v>6</v>
      </c>
      <c r="Z577" s="5" t="s">
        <v>9</v>
      </c>
      <c r="AA577" s="6"/>
      <c r="AB577" s="6"/>
    </row>
    <row r="578" spans="1:28" ht="16" x14ac:dyDescent="0.2">
      <c r="A578" s="4">
        <v>45881</v>
      </c>
      <c r="B578" s="20">
        <v>25224</v>
      </c>
      <c r="C578" s="5" t="s">
        <v>53</v>
      </c>
      <c r="D578" s="6"/>
      <c r="E578" s="5">
        <v>42.756692000000001</v>
      </c>
      <c r="F578" s="5">
        <v>-75.365778000000006</v>
      </c>
      <c r="G578" s="5" t="s">
        <v>96</v>
      </c>
      <c r="H578" s="5">
        <v>71.5</v>
      </c>
      <c r="I578" s="5">
        <v>77</v>
      </c>
      <c r="J578" s="5">
        <v>81.900000000000006</v>
      </c>
      <c r="K578" s="5">
        <v>57.1</v>
      </c>
      <c r="L578" s="10">
        <v>0.39305555555555555</v>
      </c>
      <c r="M578" s="10">
        <v>0.59027777777777779</v>
      </c>
      <c r="N578" s="11">
        <f t="shared" ref="N578:P578" si="378">AVERAGE(96,96,96,96)*1.04</f>
        <v>99.84</v>
      </c>
      <c r="O578" s="11">
        <f t="shared" si="378"/>
        <v>99.84</v>
      </c>
      <c r="P578" s="11">
        <f t="shared" si="378"/>
        <v>99.84</v>
      </c>
      <c r="Q578" s="11">
        <f t="shared" si="312"/>
        <v>99.839999999999989</v>
      </c>
      <c r="R578" s="5">
        <v>2</v>
      </c>
      <c r="S578" s="5">
        <v>3.2</v>
      </c>
      <c r="T578" s="5" t="s">
        <v>9</v>
      </c>
      <c r="U578" s="5" t="s">
        <v>55</v>
      </c>
      <c r="V578" s="5">
        <v>19.399999999999999</v>
      </c>
      <c r="W578" s="5">
        <v>6.6</v>
      </c>
      <c r="X578" s="5">
        <v>35</v>
      </c>
      <c r="Y578" s="5">
        <v>2</v>
      </c>
      <c r="Z578" s="5" t="s">
        <v>9</v>
      </c>
      <c r="AA578" s="6"/>
      <c r="AB578" s="6"/>
    </row>
    <row r="579" spans="1:28" ht="16" x14ac:dyDescent="0.2">
      <c r="A579" s="4">
        <v>45881</v>
      </c>
      <c r="B579" s="20">
        <v>25224</v>
      </c>
      <c r="C579" s="5" t="s">
        <v>53</v>
      </c>
      <c r="D579" s="6"/>
      <c r="E579" s="5">
        <v>42.756692000000001</v>
      </c>
      <c r="F579" s="5">
        <v>-75.365778000000006</v>
      </c>
      <c r="G579" s="5" t="s">
        <v>96</v>
      </c>
      <c r="H579" s="5">
        <v>71.5</v>
      </c>
      <c r="I579" s="5">
        <v>77</v>
      </c>
      <c r="J579" s="5">
        <v>81.900000000000006</v>
      </c>
      <c r="K579" s="5">
        <v>57.1</v>
      </c>
      <c r="L579" s="10">
        <v>0.39305555555555555</v>
      </c>
      <c r="M579" s="10">
        <v>0.59027777777777779</v>
      </c>
      <c r="N579" s="11">
        <f t="shared" ref="N579:P579" si="379">AVERAGE(96,96,96,96)*1.04</f>
        <v>99.84</v>
      </c>
      <c r="O579" s="11">
        <f t="shared" si="379"/>
        <v>99.84</v>
      </c>
      <c r="P579" s="11">
        <f t="shared" si="379"/>
        <v>99.84</v>
      </c>
      <c r="Q579" s="11">
        <f t="shared" si="312"/>
        <v>99.839999999999989</v>
      </c>
      <c r="R579" s="5">
        <v>2</v>
      </c>
      <c r="S579" s="5">
        <v>17.600000000000001</v>
      </c>
      <c r="T579" s="5" t="s">
        <v>9</v>
      </c>
      <c r="U579" s="5" t="s">
        <v>55</v>
      </c>
      <c r="V579" s="5">
        <v>21.7</v>
      </c>
      <c r="W579" s="5" t="s">
        <v>8</v>
      </c>
      <c r="X579" s="5" t="s">
        <v>8</v>
      </c>
      <c r="Y579" s="5">
        <v>2.5</v>
      </c>
      <c r="Z579" s="5" t="s">
        <v>9</v>
      </c>
      <c r="AA579" s="5" t="s">
        <v>123</v>
      </c>
      <c r="AB579" s="6"/>
    </row>
    <row r="580" spans="1:28" ht="16" x14ac:dyDescent="0.2">
      <c r="A580" s="4">
        <v>45881</v>
      </c>
      <c r="B580" s="20">
        <v>25224</v>
      </c>
      <c r="C580" s="5" t="s">
        <v>53</v>
      </c>
      <c r="D580" s="6"/>
      <c r="E580" s="5">
        <v>42.756692000000001</v>
      </c>
      <c r="F580" s="5">
        <v>-75.365778000000006</v>
      </c>
      <c r="G580" s="5" t="s">
        <v>96</v>
      </c>
      <c r="H580" s="5">
        <v>71.5</v>
      </c>
      <c r="I580" s="5">
        <v>77</v>
      </c>
      <c r="J580" s="5">
        <v>81.900000000000006</v>
      </c>
      <c r="K580" s="5">
        <v>57.1</v>
      </c>
      <c r="L580" s="10">
        <v>0.39305555555555555</v>
      </c>
      <c r="M580" s="10">
        <v>0.59027777777777779</v>
      </c>
      <c r="N580" s="11">
        <f t="shared" ref="N580:P580" si="380">AVERAGE(96,96,96,96)*1.04</f>
        <v>99.84</v>
      </c>
      <c r="O580" s="11">
        <f t="shared" si="380"/>
        <v>99.84</v>
      </c>
      <c r="P580" s="11">
        <f t="shared" si="380"/>
        <v>99.84</v>
      </c>
      <c r="Q580" s="11">
        <f t="shared" si="312"/>
        <v>99.839999999999989</v>
      </c>
      <c r="R580" s="5">
        <v>2</v>
      </c>
      <c r="S580" s="5">
        <v>28.6</v>
      </c>
      <c r="T580" s="5" t="s">
        <v>9</v>
      </c>
      <c r="U580" s="5" t="s">
        <v>55</v>
      </c>
      <c r="V580" s="5">
        <v>21.3</v>
      </c>
      <c r="W580" s="5" t="s">
        <v>8</v>
      </c>
      <c r="X580" s="5" t="s">
        <v>8</v>
      </c>
      <c r="Y580" s="5">
        <v>3</v>
      </c>
      <c r="Z580" s="5" t="s">
        <v>9</v>
      </c>
      <c r="AA580" s="5" t="s">
        <v>123</v>
      </c>
      <c r="AB580" s="6"/>
    </row>
    <row r="581" spans="1:28" ht="16" x14ac:dyDescent="0.2">
      <c r="A581" s="4">
        <v>45881</v>
      </c>
      <c r="B581" s="20">
        <v>25224</v>
      </c>
      <c r="C581" s="5" t="s">
        <v>53</v>
      </c>
      <c r="D581" s="6"/>
      <c r="E581" s="5">
        <v>42.756692000000001</v>
      </c>
      <c r="F581" s="5">
        <v>-75.365778000000006</v>
      </c>
      <c r="G581" s="5" t="s">
        <v>96</v>
      </c>
      <c r="H581" s="5">
        <v>71.5</v>
      </c>
      <c r="I581" s="5">
        <v>77</v>
      </c>
      <c r="J581" s="5">
        <v>81.900000000000006</v>
      </c>
      <c r="K581" s="5">
        <v>57.1</v>
      </c>
      <c r="L581" s="10">
        <v>0.39305555555555555</v>
      </c>
      <c r="M581" s="10">
        <v>0.59027777777777779</v>
      </c>
      <c r="N581" s="11">
        <f t="shared" ref="N581:P581" si="381">AVERAGE(96,96,96,96)*1.04</f>
        <v>99.84</v>
      </c>
      <c r="O581" s="11">
        <f t="shared" si="381"/>
        <v>99.84</v>
      </c>
      <c r="P581" s="11">
        <f t="shared" si="381"/>
        <v>99.84</v>
      </c>
      <c r="Q581" s="11">
        <f t="shared" si="312"/>
        <v>99.839999999999989</v>
      </c>
      <c r="R581" s="5">
        <v>2</v>
      </c>
      <c r="S581" s="5">
        <v>1.7</v>
      </c>
      <c r="T581" s="5" t="s">
        <v>4</v>
      </c>
      <c r="U581" s="5" t="s">
        <v>55</v>
      </c>
      <c r="V581" s="5">
        <v>20.6</v>
      </c>
      <c r="W581" s="5">
        <v>5.9</v>
      </c>
      <c r="X581" s="5">
        <v>50</v>
      </c>
      <c r="Y581" s="5">
        <v>2.5</v>
      </c>
      <c r="Z581" s="5" t="s">
        <v>9</v>
      </c>
      <c r="AA581" s="6"/>
      <c r="AB581" s="6"/>
    </row>
    <row r="582" spans="1:28" ht="16" x14ac:dyDescent="0.2">
      <c r="A582" s="4">
        <v>45881</v>
      </c>
      <c r="B582" s="20">
        <v>25224</v>
      </c>
      <c r="C582" s="5" t="s">
        <v>53</v>
      </c>
      <c r="D582" s="6"/>
      <c r="E582" s="5">
        <v>42.756692000000001</v>
      </c>
      <c r="F582" s="5">
        <v>-75.365778000000006</v>
      </c>
      <c r="G582" s="5" t="s">
        <v>96</v>
      </c>
      <c r="H582" s="5">
        <v>71.5</v>
      </c>
      <c r="I582" s="5">
        <v>77</v>
      </c>
      <c r="J582" s="5">
        <v>81.900000000000006</v>
      </c>
      <c r="K582" s="5">
        <v>57.1</v>
      </c>
      <c r="L582" s="10">
        <v>0.39305555555555555</v>
      </c>
      <c r="M582" s="10">
        <v>0.59027777777777779</v>
      </c>
      <c r="N582" s="11">
        <f t="shared" ref="N582:P582" si="382">AVERAGE(96,96,96,96)*1.04</f>
        <v>99.84</v>
      </c>
      <c r="O582" s="11">
        <f t="shared" si="382"/>
        <v>99.84</v>
      </c>
      <c r="P582" s="11">
        <f t="shared" si="382"/>
        <v>99.84</v>
      </c>
      <c r="Q582" s="11">
        <f t="shared" si="312"/>
        <v>99.839999999999989</v>
      </c>
      <c r="R582" s="5">
        <v>2</v>
      </c>
      <c r="S582" s="5">
        <v>9.3699999999999992</v>
      </c>
      <c r="T582" s="5" t="s">
        <v>4</v>
      </c>
      <c r="U582" s="5" t="s">
        <v>55</v>
      </c>
      <c r="V582" s="5">
        <v>19.399999999999999</v>
      </c>
      <c r="W582" s="5" t="s">
        <v>8</v>
      </c>
      <c r="X582" s="5" t="s">
        <v>8</v>
      </c>
      <c r="Y582" s="5">
        <v>2.5</v>
      </c>
      <c r="Z582" s="5" t="s">
        <v>9</v>
      </c>
      <c r="AA582" s="5" t="s">
        <v>123</v>
      </c>
      <c r="AB582" s="6"/>
    </row>
    <row r="583" spans="1:28" ht="16" x14ac:dyDescent="0.2">
      <c r="A583" s="4">
        <v>45881</v>
      </c>
      <c r="B583" s="20">
        <v>25224</v>
      </c>
      <c r="C583" s="5" t="s">
        <v>53</v>
      </c>
      <c r="D583" s="6"/>
      <c r="E583" s="5">
        <v>42.756692000000001</v>
      </c>
      <c r="F583" s="5">
        <v>-75.365778000000006</v>
      </c>
      <c r="G583" s="5" t="s">
        <v>96</v>
      </c>
      <c r="H583" s="5">
        <v>71.5</v>
      </c>
      <c r="I583" s="5">
        <v>77</v>
      </c>
      <c r="J583" s="5">
        <v>81.900000000000006</v>
      </c>
      <c r="K583" s="5">
        <v>57.1</v>
      </c>
      <c r="L583" s="10">
        <v>0.39305555555555555</v>
      </c>
      <c r="M583" s="10">
        <v>0.59027777777777779</v>
      </c>
      <c r="N583" s="11">
        <f t="shared" ref="N583:P583" si="383">AVERAGE(96,96,96,96)*1.04</f>
        <v>99.84</v>
      </c>
      <c r="O583" s="11">
        <f t="shared" si="383"/>
        <v>99.84</v>
      </c>
      <c r="P583" s="11">
        <f t="shared" si="383"/>
        <v>99.84</v>
      </c>
      <c r="Q583" s="11">
        <f t="shared" si="312"/>
        <v>99.839999999999989</v>
      </c>
      <c r="R583" s="5">
        <v>2</v>
      </c>
      <c r="S583" s="5">
        <v>29.6</v>
      </c>
      <c r="T583" s="5" t="s">
        <v>4</v>
      </c>
      <c r="U583" s="5" t="s">
        <v>55</v>
      </c>
      <c r="V583" s="5">
        <v>23.3</v>
      </c>
      <c r="W583" s="5" t="s">
        <v>8</v>
      </c>
      <c r="X583" s="5" t="s">
        <v>8</v>
      </c>
      <c r="Y583" s="5">
        <v>2.5</v>
      </c>
      <c r="Z583" s="5" t="s">
        <v>9</v>
      </c>
      <c r="AA583" s="5" t="s">
        <v>123</v>
      </c>
      <c r="AB583" s="6"/>
    </row>
    <row r="584" spans="1:28" ht="16" x14ac:dyDescent="0.2">
      <c r="A584" s="4">
        <v>45881</v>
      </c>
      <c r="B584" s="20">
        <v>25224</v>
      </c>
      <c r="C584" s="5" t="s">
        <v>53</v>
      </c>
      <c r="D584" s="6"/>
      <c r="E584" s="5">
        <v>42.756692000000001</v>
      </c>
      <c r="F584" s="5">
        <v>-75.365778000000006</v>
      </c>
      <c r="G584" s="5" t="s">
        <v>96</v>
      </c>
      <c r="H584" s="5">
        <v>71.5</v>
      </c>
      <c r="I584" s="5">
        <v>77</v>
      </c>
      <c r="J584" s="5">
        <v>81.900000000000006</v>
      </c>
      <c r="K584" s="5">
        <v>57.1</v>
      </c>
      <c r="L584" s="10">
        <v>0.39305555555555555</v>
      </c>
      <c r="M584" s="10">
        <v>0.59027777777777779</v>
      </c>
      <c r="N584" s="11">
        <f t="shared" ref="N584:P584" si="384">AVERAGE(96,96,96,96)*1.04</f>
        <v>99.84</v>
      </c>
      <c r="O584" s="11">
        <f t="shared" si="384"/>
        <v>99.84</v>
      </c>
      <c r="P584" s="11">
        <f t="shared" si="384"/>
        <v>99.84</v>
      </c>
      <c r="Q584" s="11">
        <f t="shared" si="312"/>
        <v>99.839999999999989</v>
      </c>
      <c r="R584" s="5">
        <v>3</v>
      </c>
      <c r="S584" s="5">
        <v>2.9</v>
      </c>
      <c r="T584" s="5" t="s">
        <v>4</v>
      </c>
      <c r="U584" s="5" t="s">
        <v>62</v>
      </c>
      <c r="V584" s="5">
        <v>20.3</v>
      </c>
      <c r="W584" s="5">
        <v>6.6</v>
      </c>
      <c r="X584" s="5">
        <v>55</v>
      </c>
      <c r="Y584" s="5">
        <v>4</v>
      </c>
      <c r="Z584" s="5" t="s">
        <v>9</v>
      </c>
      <c r="AA584" s="6"/>
      <c r="AB584" s="6"/>
    </row>
    <row r="585" spans="1:28" ht="16" x14ac:dyDescent="0.2">
      <c r="A585" s="4">
        <v>45881</v>
      </c>
      <c r="B585" s="20">
        <v>25224</v>
      </c>
      <c r="C585" s="5" t="s">
        <v>53</v>
      </c>
      <c r="D585" s="6"/>
      <c r="E585" s="5">
        <v>42.756692000000001</v>
      </c>
      <c r="F585" s="5">
        <v>-75.365778000000006</v>
      </c>
      <c r="G585" s="5" t="s">
        <v>96</v>
      </c>
      <c r="H585" s="5">
        <v>71.5</v>
      </c>
      <c r="I585" s="5">
        <v>77</v>
      </c>
      <c r="J585" s="5">
        <v>81.900000000000006</v>
      </c>
      <c r="K585" s="5">
        <v>57.1</v>
      </c>
      <c r="L585" s="10">
        <v>0.39305555555555555</v>
      </c>
      <c r="M585" s="10">
        <v>0.59027777777777779</v>
      </c>
      <c r="N585" s="11">
        <f t="shared" ref="N585:P585" si="385">AVERAGE(96,96,96,96)*1.04</f>
        <v>99.84</v>
      </c>
      <c r="O585" s="11">
        <f t="shared" si="385"/>
        <v>99.84</v>
      </c>
      <c r="P585" s="11">
        <f t="shared" si="385"/>
        <v>99.84</v>
      </c>
      <c r="Q585" s="11">
        <f t="shared" si="312"/>
        <v>99.839999999999989</v>
      </c>
      <c r="R585" s="5">
        <v>3</v>
      </c>
      <c r="S585" s="5">
        <v>3</v>
      </c>
      <c r="T585" s="5" t="s">
        <v>9</v>
      </c>
      <c r="U585" s="5" t="s">
        <v>64</v>
      </c>
      <c r="V585" s="5">
        <v>23.6</v>
      </c>
      <c r="W585" s="5" t="s">
        <v>8</v>
      </c>
      <c r="X585" s="5" t="s">
        <v>8</v>
      </c>
      <c r="Y585" s="5">
        <v>4</v>
      </c>
      <c r="Z585" s="5" t="s">
        <v>9</v>
      </c>
      <c r="AA585" s="5" t="s">
        <v>210</v>
      </c>
      <c r="AB585" s="6"/>
    </row>
    <row r="586" spans="1:28" ht="16" x14ac:dyDescent="0.2">
      <c r="A586" s="4">
        <v>45881</v>
      </c>
      <c r="B586" s="20">
        <v>25224</v>
      </c>
      <c r="C586" s="5" t="s">
        <v>53</v>
      </c>
      <c r="D586" s="6"/>
      <c r="E586" s="5">
        <v>42.756692000000001</v>
      </c>
      <c r="F586" s="5">
        <v>-75.365778000000006</v>
      </c>
      <c r="G586" s="5" t="s">
        <v>96</v>
      </c>
      <c r="H586" s="5">
        <v>71.5</v>
      </c>
      <c r="I586" s="5">
        <v>77</v>
      </c>
      <c r="J586" s="5">
        <v>81.900000000000006</v>
      </c>
      <c r="K586" s="5">
        <v>57.1</v>
      </c>
      <c r="L586" s="10">
        <v>0.39305555555555555</v>
      </c>
      <c r="M586" s="10">
        <v>0.59027777777777779</v>
      </c>
      <c r="N586" s="11">
        <f t="shared" ref="N586:P586" si="386">AVERAGE(96,96,96,96)*1.04</f>
        <v>99.84</v>
      </c>
      <c r="O586" s="11">
        <f t="shared" si="386"/>
        <v>99.84</v>
      </c>
      <c r="P586" s="11">
        <f t="shared" si="386"/>
        <v>99.84</v>
      </c>
      <c r="Q586" s="11">
        <f t="shared" si="312"/>
        <v>99.839999999999989</v>
      </c>
      <c r="R586" s="5">
        <v>3</v>
      </c>
      <c r="S586" s="5">
        <v>14</v>
      </c>
      <c r="T586" s="5" t="s">
        <v>9</v>
      </c>
      <c r="U586" s="5" t="s">
        <v>55</v>
      </c>
      <c r="V586" s="5">
        <v>22.4</v>
      </c>
      <c r="W586" s="5" t="s">
        <v>8</v>
      </c>
      <c r="X586" s="5" t="s">
        <v>8</v>
      </c>
      <c r="Y586" s="5">
        <v>2</v>
      </c>
      <c r="Z586" s="5" t="s">
        <v>9</v>
      </c>
      <c r="AA586" s="5" t="s">
        <v>123</v>
      </c>
      <c r="AB586" s="6"/>
    </row>
    <row r="587" spans="1:28" ht="16" x14ac:dyDescent="0.2">
      <c r="A587" s="4">
        <v>45881</v>
      </c>
      <c r="B587" s="20">
        <v>25224</v>
      </c>
      <c r="C587" s="5" t="s">
        <v>53</v>
      </c>
      <c r="D587" s="6"/>
      <c r="E587" s="5">
        <v>42.756692000000001</v>
      </c>
      <c r="F587" s="5">
        <v>-75.365778000000006</v>
      </c>
      <c r="G587" s="5" t="s">
        <v>96</v>
      </c>
      <c r="H587" s="5">
        <v>71.5</v>
      </c>
      <c r="I587" s="5">
        <v>77</v>
      </c>
      <c r="J587" s="5">
        <v>81.900000000000006</v>
      </c>
      <c r="K587" s="5">
        <v>57.1</v>
      </c>
      <c r="L587" s="10">
        <v>0.39305555555555555</v>
      </c>
      <c r="M587" s="10">
        <v>0.59027777777777779</v>
      </c>
      <c r="N587" s="11">
        <f t="shared" ref="N587:P587" si="387">AVERAGE(96,96,96,96)*1.04</f>
        <v>99.84</v>
      </c>
      <c r="O587" s="11">
        <f t="shared" si="387"/>
        <v>99.84</v>
      </c>
      <c r="P587" s="11">
        <f t="shared" si="387"/>
        <v>99.84</v>
      </c>
      <c r="Q587" s="11">
        <f t="shared" si="312"/>
        <v>99.839999999999989</v>
      </c>
      <c r="R587" s="5">
        <v>3</v>
      </c>
      <c r="S587" s="5">
        <v>28</v>
      </c>
      <c r="T587" s="5" t="s">
        <v>9</v>
      </c>
      <c r="U587" s="5" t="s">
        <v>55</v>
      </c>
      <c r="V587" s="5">
        <v>23.8</v>
      </c>
      <c r="W587" s="5" t="s">
        <v>8</v>
      </c>
      <c r="X587" s="5" t="s">
        <v>8</v>
      </c>
      <c r="Y587" s="5">
        <v>3</v>
      </c>
      <c r="Z587" s="5" t="s">
        <v>9</v>
      </c>
      <c r="AA587" s="5" t="s">
        <v>123</v>
      </c>
      <c r="AB587" s="6"/>
    </row>
    <row r="588" spans="1:28" ht="16" x14ac:dyDescent="0.2">
      <c r="A588" s="4">
        <v>45881</v>
      </c>
      <c r="B588" s="20">
        <v>25224</v>
      </c>
      <c r="C588" s="5" t="s">
        <v>53</v>
      </c>
      <c r="D588" s="6"/>
      <c r="E588" s="5">
        <v>42.756692000000001</v>
      </c>
      <c r="F588" s="5">
        <v>-75.365778000000006</v>
      </c>
      <c r="G588" s="5" t="s">
        <v>96</v>
      </c>
      <c r="H588" s="5">
        <v>71.5</v>
      </c>
      <c r="I588" s="5">
        <v>77</v>
      </c>
      <c r="J588" s="5">
        <v>81.900000000000006</v>
      </c>
      <c r="K588" s="5">
        <v>57.1</v>
      </c>
      <c r="L588" s="10">
        <v>0.39305555555555555</v>
      </c>
      <c r="M588" s="10">
        <v>0.59027777777777779</v>
      </c>
      <c r="N588" s="11">
        <f t="shared" ref="N588:P588" si="388">AVERAGE(96,96,96,96)*1.04</f>
        <v>99.84</v>
      </c>
      <c r="O588" s="11">
        <f t="shared" si="388"/>
        <v>99.84</v>
      </c>
      <c r="P588" s="11">
        <f t="shared" si="388"/>
        <v>99.84</v>
      </c>
      <c r="Q588" s="11">
        <f t="shared" si="312"/>
        <v>99.839999999999989</v>
      </c>
      <c r="R588" s="5">
        <v>3</v>
      </c>
      <c r="S588" s="5">
        <v>9.1999999999999993</v>
      </c>
      <c r="T588" s="5" t="s">
        <v>4</v>
      </c>
      <c r="U588" s="5" t="s">
        <v>62</v>
      </c>
      <c r="V588" s="5">
        <v>21.6</v>
      </c>
      <c r="W588" s="5">
        <v>6.7</v>
      </c>
      <c r="X588" s="5">
        <v>25</v>
      </c>
      <c r="Y588" s="5">
        <v>2</v>
      </c>
      <c r="Z588" s="5" t="s">
        <v>9</v>
      </c>
      <c r="AA588" s="5" t="s">
        <v>211</v>
      </c>
      <c r="AB588" s="6"/>
    </row>
    <row r="589" spans="1:28" ht="16" x14ac:dyDescent="0.2">
      <c r="A589" s="4">
        <v>45881</v>
      </c>
      <c r="B589" s="20">
        <v>25224</v>
      </c>
      <c r="C589" s="5" t="s">
        <v>53</v>
      </c>
      <c r="D589" s="6"/>
      <c r="E589" s="5">
        <v>42.756692000000001</v>
      </c>
      <c r="F589" s="5">
        <v>-75.365778000000006</v>
      </c>
      <c r="G589" s="5" t="s">
        <v>96</v>
      </c>
      <c r="H589" s="5">
        <v>71.5</v>
      </c>
      <c r="I589" s="5">
        <v>77</v>
      </c>
      <c r="J589" s="5">
        <v>81.900000000000006</v>
      </c>
      <c r="K589" s="5">
        <v>57.1</v>
      </c>
      <c r="L589" s="10">
        <v>0.39305555555555555</v>
      </c>
      <c r="M589" s="10">
        <v>0.59027777777777779</v>
      </c>
      <c r="N589" s="11">
        <f t="shared" ref="N589:P589" si="389">AVERAGE(96,96,96,96)*1.04</f>
        <v>99.84</v>
      </c>
      <c r="O589" s="11">
        <f t="shared" si="389"/>
        <v>99.84</v>
      </c>
      <c r="P589" s="11">
        <f t="shared" si="389"/>
        <v>99.84</v>
      </c>
      <c r="Q589" s="11">
        <f t="shared" si="312"/>
        <v>99.839999999999989</v>
      </c>
      <c r="R589" s="5">
        <v>3</v>
      </c>
      <c r="S589" s="5">
        <v>11.7</v>
      </c>
      <c r="T589" s="5" t="s">
        <v>4</v>
      </c>
      <c r="U589" s="5" t="s">
        <v>55</v>
      </c>
      <c r="V589" s="5">
        <v>21.4</v>
      </c>
      <c r="W589" s="5" t="s">
        <v>8</v>
      </c>
      <c r="X589" s="5" t="s">
        <v>8</v>
      </c>
      <c r="Y589" s="5">
        <v>2.5</v>
      </c>
      <c r="Z589" s="5" t="s">
        <v>9</v>
      </c>
      <c r="AA589" s="5" t="s">
        <v>123</v>
      </c>
      <c r="AB589" s="6"/>
    </row>
    <row r="590" spans="1:28" ht="16" x14ac:dyDescent="0.2">
      <c r="A590" s="4">
        <v>45881</v>
      </c>
      <c r="B590" s="20">
        <v>25224</v>
      </c>
      <c r="C590" s="5" t="s">
        <v>53</v>
      </c>
      <c r="D590" s="6"/>
      <c r="E590" s="5">
        <v>42.756692000000001</v>
      </c>
      <c r="F590" s="5">
        <v>-75.365778000000006</v>
      </c>
      <c r="G590" s="5" t="s">
        <v>96</v>
      </c>
      <c r="H590" s="5">
        <v>71.5</v>
      </c>
      <c r="I590" s="5">
        <v>77</v>
      </c>
      <c r="J590" s="5">
        <v>81.900000000000006</v>
      </c>
      <c r="K590" s="5">
        <v>57.1</v>
      </c>
      <c r="L590" s="10">
        <v>0.39305555555555555</v>
      </c>
      <c r="M590" s="10">
        <v>0.59027777777777779</v>
      </c>
      <c r="N590" s="11">
        <f t="shared" ref="N590:P590" si="390">AVERAGE(96,96,96,96)*1.04</f>
        <v>99.84</v>
      </c>
      <c r="O590" s="11">
        <f t="shared" si="390"/>
        <v>99.84</v>
      </c>
      <c r="P590" s="11">
        <f t="shared" si="390"/>
        <v>99.84</v>
      </c>
      <c r="Q590" s="11">
        <f t="shared" si="312"/>
        <v>99.839999999999989</v>
      </c>
      <c r="R590" s="5">
        <v>3</v>
      </c>
      <c r="S590" s="5">
        <v>11.3</v>
      </c>
      <c r="T590" s="5" t="s">
        <v>4</v>
      </c>
      <c r="U590" s="5" t="s">
        <v>55</v>
      </c>
      <c r="V590" s="5">
        <v>24.2</v>
      </c>
      <c r="W590" s="5">
        <v>6.5</v>
      </c>
      <c r="X590" s="5">
        <v>10</v>
      </c>
      <c r="Y590" s="5">
        <v>3.5</v>
      </c>
      <c r="Z590" s="5" t="s">
        <v>9</v>
      </c>
      <c r="AA590" s="5" t="s">
        <v>211</v>
      </c>
      <c r="AB590" s="6"/>
    </row>
    <row r="591" spans="1:28" ht="16" x14ac:dyDescent="0.2">
      <c r="A591" s="4">
        <v>45881</v>
      </c>
      <c r="B591" s="20">
        <v>25224</v>
      </c>
      <c r="C591" s="5" t="s">
        <v>53</v>
      </c>
      <c r="D591" s="6"/>
      <c r="E591" s="5">
        <v>42.756692000000001</v>
      </c>
      <c r="F591" s="5">
        <v>-75.365778000000006</v>
      </c>
      <c r="G591" s="5" t="s">
        <v>96</v>
      </c>
      <c r="H591" s="5">
        <v>71.5</v>
      </c>
      <c r="I591" s="5">
        <v>77</v>
      </c>
      <c r="J591" s="5">
        <v>81.900000000000006</v>
      </c>
      <c r="K591" s="5">
        <v>57.1</v>
      </c>
      <c r="L591" s="10">
        <v>0.39305555555555555</v>
      </c>
      <c r="M591" s="10">
        <v>0.59027777777777779</v>
      </c>
      <c r="N591" s="11">
        <f t="shared" ref="N591:P591" si="391">AVERAGE(96,96,96,96)*1.04</f>
        <v>99.84</v>
      </c>
      <c r="O591" s="11">
        <f t="shared" si="391"/>
        <v>99.84</v>
      </c>
      <c r="P591" s="11">
        <f t="shared" si="391"/>
        <v>99.84</v>
      </c>
      <c r="Q591" s="11">
        <f t="shared" si="312"/>
        <v>99.839999999999989</v>
      </c>
      <c r="R591" s="5">
        <v>3</v>
      </c>
      <c r="S591" s="5">
        <v>18.8</v>
      </c>
      <c r="T591" s="5" t="s">
        <v>4</v>
      </c>
      <c r="U591" s="5" t="s">
        <v>55</v>
      </c>
      <c r="V591" s="5">
        <v>22.8</v>
      </c>
      <c r="W591" s="5" t="s">
        <v>8</v>
      </c>
      <c r="X591" s="5" t="s">
        <v>8</v>
      </c>
      <c r="Y591" s="5">
        <v>2.5</v>
      </c>
      <c r="Z591" s="5" t="s">
        <v>9</v>
      </c>
      <c r="AA591" s="5" t="s">
        <v>123</v>
      </c>
      <c r="AB591" s="6"/>
    </row>
    <row r="592" spans="1:28" ht="16" x14ac:dyDescent="0.2">
      <c r="A592" s="4">
        <v>45881</v>
      </c>
      <c r="B592" s="20">
        <v>25224</v>
      </c>
      <c r="C592" s="5" t="s">
        <v>53</v>
      </c>
      <c r="D592" s="6"/>
      <c r="E592" s="5">
        <v>42.756692000000001</v>
      </c>
      <c r="F592" s="5">
        <v>-75.365778000000006</v>
      </c>
      <c r="G592" s="5" t="s">
        <v>96</v>
      </c>
      <c r="H592" s="5">
        <v>71.5</v>
      </c>
      <c r="I592" s="5">
        <v>77</v>
      </c>
      <c r="J592" s="5">
        <v>81.900000000000006</v>
      </c>
      <c r="K592" s="5">
        <v>57.1</v>
      </c>
      <c r="L592" s="10">
        <v>0.39305555555555555</v>
      </c>
      <c r="M592" s="10">
        <v>0.59027777777777779</v>
      </c>
      <c r="N592" s="11">
        <f t="shared" ref="N592:P592" si="392">AVERAGE(96,96,96,96)*1.04</f>
        <v>99.84</v>
      </c>
      <c r="O592" s="11">
        <f t="shared" si="392"/>
        <v>99.84</v>
      </c>
      <c r="P592" s="11">
        <f t="shared" si="392"/>
        <v>99.84</v>
      </c>
      <c r="Q592" s="11">
        <f t="shared" si="312"/>
        <v>99.839999999999989</v>
      </c>
      <c r="R592" s="5">
        <v>3</v>
      </c>
      <c r="S592" s="5">
        <v>21.8</v>
      </c>
      <c r="T592" s="5" t="s">
        <v>4</v>
      </c>
      <c r="U592" s="5" t="s">
        <v>55</v>
      </c>
      <c r="V592" s="5">
        <v>21.8</v>
      </c>
      <c r="W592" s="5" t="s">
        <v>8</v>
      </c>
      <c r="X592" s="5" t="s">
        <v>8</v>
      </c>
      <c r="Y592" s="5">
        <v>3.5</v>
      </c>
      <c r="Z592" s="5" t="s">
        <v>9</v>
      </c>
      <c r="AA592" s="5" t="s">
        <v>123</v>
      </c>
      <c r="AB592" s="6"/>
    </row>
    <row r="593" spans="1:28" ht="16" x14ac:dyDescent="0.2">
      <c r="A593" s="4">
        <v>45881</v>
      </c>
      <c r="B593" s="20">
        <v>25224</v>
      </c>
      <c r="C593" s="5" t="s">
        <v>53</v>
      </c>
      <c r="D593" s="6"/>
      <c r="E593" s="5">
        <v>42.756692000000001</v>
      </c>
      <c r="F593" s="5">
        <v>-75.365778000000006</v>
      </c>
      <c r="G593" s="5" t="s">
        <v>96</v>
      </c>
      <c r="H593" s="5">
        <v>71.5</v>
      </c>
      <c r="I593" s="5">
        <v>77</v>
      </c>
      <c r="J593" s="5">
        <v>81.900000000000006</v>
      </c>
      <c r="K593" s="5">
        <v>57.1</v>
      </c>
      <c r="L593" s="10">
        <v>0.39305555555555555</v>
      </c>
      <c r="M593" s="10">
        <v>0.59027777777777779</v>
      </c>
      <c r="N593" s="11">
        <f t="shared" ref="N593:P593" si="393">AVERAGE(96,96,96,96)*1.04</f>
        <v>99.84</v>
      </c>
      <c r="O593" s="11">
        <f t="shared" si="393"/>
        <v>99.84</v>
      </c>
      <c r="P593" s="11">
        <f t="shared" si="393"/>
        <v>99.84</v>
      </c>
      <c r="Q593" s="11">
        <f t="shared" si="312"/>
        <v>99.839999999999989</v>
      </c>
      <c r="R593" s="5">
        <v>3</v>
      </c>
      <c r="S593" s="5">
        <v>30</v>
      </c>
      <c r="T593" s="5" t="s">
        <v>4</v>
      </c>
      <c r="U593" s="5" t="s">
        <v>55</v>
      </c>
      <c r="V593" s="5">
        <v>23.6</v>
      </c>
      <c r="W593" s="5">
        <v>6.7</v>
      </c>
      <c r="X593" s="5">
        <v>15</v>
      </c>
      <c r="Y593" s="5">
        <v>2.5</v>
      </c>
      <c r="Z593" s="5" t="s">
        <v>9</v>
      </c>
      <c r="AA593" s="6"/>
      <c r="AB593" s="6"/>
    </row>
  </sheetData>
  <autoFilter ref="A1:AA1" xr:uid="{00000000-0001-0000-01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207"/>
  <sheetViews>
    <sheetView zoomScale="115" workbookViewId="0">
      <pane xSplit="3" ySplit="1" topLeftCell="D2" activePane="bottomRight" state="frozen"/>
      <selection pane="topRight" activeCell="B1" sqref="B1"/>
      <selection pane="bottomLeft" activeCell="A2" sqref="A2"/>
      <selection pane="bottomRight" activeCell="G192" sqref="G192"/>
    </sheetView>
  </sheetViews>
  <sheetFormatPr baseColWidth="10" defaultColWidth="12.6640625" defaultRowHeight="15.75" customHeight="1" x14ac:dyDescent="0.15"/>
  <cols>
    <col min="3" max="3" width="30.83203125" bestFit="1" customWidth="1"/>
    <col min="4" max="4" width="12.83203125" customWidth="1"/>
    <col min="6" max="6" width="9" customWidth="1"/>
    <col min="9" max="9" width="14.6640625" customWidth="1"/>
    <col min="10" max="10" width="15.6640625" customWidth="1"/>
    <col min="11" max="11" width="13.83203125" customWidth="1"/>
    <col min="12" max="12" width="15.1640625" customWidth="1"/>
    <col min="13" max="13" width="10.1640625" customWidth="1"/>
  </cols>
  <sheetData>
    <row r="1" spans="1:16" ht="18" x14ac:dyDescent="0.2">
      <c r="A1" s="1" t="s">
        <v>298</v>
      </c>
      <c r="B1" s="1" t="s">
        <v>341</v>
      </c>
      <c r="C1" s="3" t="s">
        <v>299</v>
      </c>
      <c r="D1" s="1" t="s">
        <v>300</v>
      </c>
      <c r="E1" s="1" t="s">
        <v>301</v>
      </c>
      <c r="F1" s="1" t="s">
        <v>304</v>
      </c>
      <c r="G1" s="1" t="s">
        <v>305</v>
      </c>
      <c r="H1" s="1" t="s">
        <v>306</v>
      </c>
      <c r="I1" s="1" t="s">
        <v>307</v>
      </c>
      <c r="J1" s="1" t="s">
        <v>308</v>
      </c>
      <c r="K1" s="1" t="s">
        <v>310</v>
      </c>
      <c r="L1" s="1" t="s">
        <v>309</v>
      </c>
      <c r="M1" s="1" t="s">
        <v>330</v>
      </c>
      <c r="N1" s="1" t="s">
        <v>0</v>
      </c>
    </row>
    <row r="2" spans="1:16" ht="15.75" customHeight="1" x14ac:dyDescent="0.2">
      <c r="A2" s="4">
        <v>45824</v>
      </c>
      <c r="B2" s="19">
        <v>25167</v>
      </c>
      <c r="C2" s="5" t="s">
        <v>1</v>
      </c>
      <c r="D2" s="25">
        <v>15</v>
      </c>
      <c r="E2" s="5" t="s">
        <v>2</v>
      </c>
      <c r="F2" s="5" t="s">
        <v>3</v>
      </c>
      <c r="G2" s="5">
        <v>0.9</v>
      </c>
      <c r="H2" s="5">
        <v>36.549999999999997</v>
      </c>
      <c r="I2" s="5">
        <v>9.25</v>
      </c>
      <c r="J2" s="5">
        <v>5.0999999999999996</v>
      </c>
      <c r="K2" s="5" t="s">
        <v>4</v>
      </c>
      <c r="L2" s="5" t="s">
        <v>4</v>
      </c>
      <c r="M2" s="5" t="s">
        <v>4</v>
      </c>
      <c r="N2" s="6"/>
      <c r="O2" s="6"/>
      <c r="P2" s="6"/>
    </row>
    <row r="3" spans="1:16" ht="15.75" customHeight="1" x14ac:dyDescent="0.2">
      <c r="A3" s="4">
        <v>45824</v>
      </c>
      <c r="B3" s="19">
        <v>25167</v>
      </c>
      <c r="C3" s="5" t="s">
        <v>1</v>
      </c>
      <c r="D3" s="5">
        <v>16</v>
      </c>
      <c r="E3" s="5" t="s">
        <v>2</v>
      </c>
      <c r="F3" s="5" t="s">
        <v>3</v>
      </c>
      <c r="G3" s="5">
        <v>0.7</v>
      </c>
      <c r="H3" s="5">
        <v>36.5</v>
      </c>
      <c r="I3" s="5">
        <v>8.3000000000000007</v>
      </c>
      <c r="J3" s="5">
        <v>4.8</v>
      </c>
      <c r="K3" s="5" t="s">
        <v>4</v>
      </c>
      <c r="L3" s="5" t="s">
        <v>4</v>
      </c>
      <c r="M3" s="5" t="s">
        <v>4</v>
      </c>
      <c r="N3" s="6"/>
      <c r="O3" s="6"/>
      <c r="P3" s="6"/>
    </row>
    <row r="4" spans="1:16" ht="15.75" customHeight="1" x14ac:dyDescent="0.2">
      <c r="A4" s="4">
        <v>45824</v>
      </c>
      <c r="B4" s="19">
        <v>25167</v>
      </c>
      <c r="C4" s="5" t="s">
        <v>1</v>
      </c>
      <c r="D4" s="5">
        <v>17</v>
      </c>
      <c r="E4" s="5" t="s">
        <v>2</v>
      </c>
      <c r="F4" s="5" t="s">
        <v>5</v>
      </c>
      <c r="G4" s="5">
        <v>1.45</v>
      </c>
      <c r="H4" s="5">
        <v>43.05</v>
      </c>
      <c r="I4" s="5">
        <v>9.0500000000000007</v>
      </c>
      <c r="J4" s="5">
        <v>5.4</v>
      </c>
      <c r="K4" s="5" t="s">
        <v>4</v>
      </c>
      <c r="L4" s="5" t="s">
        <v>4</v>
      </c>
      <c r="M4" s="5" t="s">
        <v>4</v>
      </c>
      <c r="N4" s="6"/>
      <c r="O4" s="6"/>
      <c r="P4" s="6"/>
    </row>
    <row r="5" spans="1:16" ht="15.75" customHeight="1" x14ac:dyDescent="0.2">
      <c r="A5" s="4">
        <v>45824</v>
      </c>
      <c r="B5" s="19">
        <v>25167</v>
      </c>
      <c r="C5" s="5" t="s">
        <v>1</v>
      </c>
      <c r="D5" s="5">
        <v>18</v>
      </c>
      <c r="E5" s="5" t="s">
        <v>2</v>
      </c>
      <c r="F5" s="5" t="s">
        <v>5</v>
      </c>
      <c r="G5" s="5">
        <v>0.8</v>
      </c>
      <c r="H5" s="5">
        <v>34</v>
      </c>
      <c r="I5" s="5">
        <v>8</v>
      </c>
      <c r="J5" s="5">
        <v>4.8499999999999996</v>
      </c>
      <c r="K5" s="5" t="s">
        <v>4</v>
      </c>
      <c r="L5" s="5" t="s">
        <v>4</v>
      </c>
      <c r="M5" s="5" t="s">
        <v>4</v>
      </c>
      <c r="N5" s="6"/>
      <c r="O5" s="6"/>
      <c r="P5" s="6"/>
    </row>
    <row r="6" spans="1:16" ht="15.75" customHeight="1" x14ac:dyDescent="0.2">
      <c r="A6" s="4">
        <v>45824</v>
      </c>
      <c r="B6" s="19">
        <v>25167</v>
      </c>
      <c r="C6" s="5" t="s">
        <v>1</v>
      </c>
      <c r="D6" s="5">
        <v>19</v>
      </c>
      <c r="E6" s="5" t="s">
        <v>2</v>
      </c>
      <c r="F6" s="5" t="s">
        <v>5</v>
      </c>
      <c r="G6" s="5">
        <v>1.35</v>
      </c>
      <c r="H6" s="5">
        <v>43.55</v>
      </c>
      <c r="I6" s="5">
        <v>10.199999999999999</v>
      </c>
      <c r="J6" s="5">
        <v>5.9</v>
      </c>
      <c r="K6" s="5" t="s">
        <v>4</v>
      </c>
      <c r="L6" s="5" t="s">
        <v>4</v>
      </c>
      <c r="M6" s="5" t="s">
        <v>4</v>
      </c>
      <c r="N6" s="6"/>
      <c r="O6" s="6"/>
      <c r="P6" s="6"/>
    </row>
    <row r="7" spans="1:16" ht="15.75" customHeight="1" x14ac:dyDescent="0.2">
      <c r="A7" s="4">
        <v>45824</v>
      </c>
      <c r="B7" s="19">
        <v>25167</v>
      </c>
      <c r="C7" s="5" t="s">
        <v>1</v>
      </c>
      <c r="D7" s="5">
        <v>20</v>
      </c>
      <c r="E7" s="5" t="s">
        <v>2</v>
      </c>
      <c r="F7" s="5" t="s">
        <v>3</v>
      </c>
      <c r="G7" s="5">
        <v>1.1499999999999999</v>
      </c>
      <c r="H7" s="5">
        <v>39</v>
      </c>
      <c r="I7" s="5">
        <v>10.1</v>
      </c>
      <c r="J7" s="5">
        <v>5.15</v>
      </c>
      <c r="K7" s="5" t="s">
        <v>4</v>
      </c>
      <c r="L7" s="5" t="s">
        <v>4</v>
      </c>
      <c r="M7" s="5" t="s">
        <v>4</v>
      </c>
      <c r="N7" s="6"/>
      <c r="O7" s="6"/>
      <c r="P7" s="6"/>
    </row>
    <row r="8" spans="1:16" ht="15.75" customHeight="1" x14ac:dyDescent="0.2">
      <c r="A8" s="4">
        <v>45824</v>
      </c>
      <c r="B8" s="19">
        <v>25167</v>
      </c>
      <c r="C8" s="5" t="s">
        <v>1</v>
      </c>
      <c r="D8" s="25">
        <v>21</v>
      </c>
      <c r="E8" s="5" t="s">
        <v>2</v>
      </c>
      <c r="F8" s="5" t="s">
        <v>6</v>
      </c>
      <c r="G8" s="5">
        <v>0.35</v>
      </c>
      <c r="H8" s="5">
        <v>31.3</v>
      </c>
      <c r="I8" s="5" t="s">
        <v>8</v>
      </c>
      <c r="J8" s="5" t="s">
        <v>8</v>
      </c>
      <c r="K8" s="5" t="s">
        <v>4</v>
      </c>
      <c r="L8" s="5" t="s">
        <v>9</v>
      </c>
      <c r="M8" s="5" t="s">
        <v>9</v>
      </c>
      <c r="N8" s="5" t="s">
        <v>25</v>
      </c>
      <c r="O8" s="6"/>
      <c r="P8" s="6"/>
    </row>
    <row r="9" spans="1:16" ht="15.75" customHeight="1" x14ac:dyDescent="0.2">
      <c r="A9" s="4">
        <v>45824</v>
      </c>
      <c r="B9" s="19">
        <v>25167</v>
      </c>
      <c r="C9" s="5" t="s">
        <v>1</v>
      </c>
      <c r="D9" s="5">
        <v>22</v>
      </c>
      <c r="E9" s="5" t="s">
        <v>2</v>
      </c>
      <c r="F9" s="5" t="s">
        <v>3</v>
      </c>
      <c r="G9" s="5">
        <v>1</v>
      </c>
      <c r="H9" s="5">
        <v>36.799999999999997</v>
      </c>
      <c r="I9" s="5">
        <v>9.25</v>
      </c>
      <c r="J9" s="5">
        <v>5.5</v>
      </c>
      <c r="K9" s="5" t="s">
        <v>4</v>
      </c>
      <c r="L9" s="5" t="s">
        <v>4</v>
      </c>
      <c r="M9" s="5" t="s">
        <v>4</v>
      </c>
      <c r="N9" s="6"/>
      <c r="O9" s="6"/>
      <c r="P9" s="6"/>
    </row>
    <row r="10" spans="1:16" ht="15.75" customHeight="1" x14ac:dyDescent="0.2">
      <c r="A10" s="4">
        <v>45824</v>
      </c>
      <c r="B10" s="19">
        <v>25167</v>
      </c>
      <c r="C10" s="5" t="s">
        <v>1</v>
      </c>
      <c r="D10" s="5">
        <v>23</v>
      </c>
      <c r="E10" s="5" t="s">
        <v>2</v>
      </c>
      <c r="F10" s="5" t="s">
        <v>5</v>
      </c>
      <c r="G10" s="5">
        <v>0.75</v>
      </c>
      <c r="H10" s="5">
        <v>38.15</v>
      </c>
      <c r="I10" s="5">
        <v>9.6</v>
      </c>
      <c r="J10" s="5">
        <v>5.0999999999999996</v>
      </c>
      <c r="K10" s="5" t="s">
        <v>4</v>
      </c>
      <c r="L10" s="5" t="s">
        <v>4</v>
      </c>
      <c r="M10" s="5" t="s">
        <v>4</v>
      </c>
      <c r="N10" s="6"/>
      <c r="O10" s="6"/>
      <c r="P10" s="6"/>
    </row>
    <row r="11" spans="1:16" ht="15.75" customHeight="1" x14ac:dyDescent="0.2">
      <c r="A11" s="4">
        <v>45824</v>
      </c>
      <c r="B11" s="19">
        <v>25167</v>
      </c>
      <c r="C11" s="5" t="s">
        <v>1</v>
      </c>
      <c r="D11" s="5">
        <v>24</v>
      </c>
      <c r="E11" s="5" t="s">
        <v>2</v>
      </c>
      <c r="F11" s="5" t="s">
        <v>3</v>
      </c>
      <c r="G11" s="5">
        <v>1</v>
      </c>
      <c r="H11" s="5">
        <v>36.049999999999997</v>
      </c>
      <c r="I11" s="5">
        <v>8.25</v>
      </c>
      <c r="J11" s="5">
        <v>5</v>
      </c>
      <c r="K11" s="5" t="s">
        <v>4</v>
      </c>
      <c r="L11" s="5" t="s">
        <v>4</v>
      </c>
      <c r="M11" s="5" t="s">
        <v>4</v>
      </c>
      <c r="N11" s="6"/>
      <c r="O11" s="6"/>
      <c r="P11" s="6"/>
    </row>
    <row r="12" spans="1:16" ht="15.75" customHeight="1" x14ac:dyDescent="0.2">
      <c r="A12" s="4">
        <v>45824</v>
      </c>
      <c r="B12" s="19">
        <v>25167</v>
      </c>
      <c r="C12" s="5" t="s">
        <v>1</v>
      </c>
      <c r="D12" s="5">
        <v>25</v>
      </c>
      <c r="E12" s="5" t="s">
        <v>2</v>
      </c>
      <c r="F12" s="5" t="s">
        <v>3</v>
      </c>
      <c r="G12" s="5">
        <v>1.25</v>
      </c>
      <c r="H12" s="5">
        <v>43.9</v>
      </c>
      <c r="I12" s="5">
        <v>10.7</v>
      </c>
      <c r="J12" s="5">
        <v>5.85</v>
      </c>
      <c r="K12" s="5" t="s">
        <v>4</v>
      </c>
      <c r="L12" s="5" t="s">
        <v>4</v>
      </c>
      <c r="M12" s="5" t="s">
        <v>4</v>
      </c>
      <c r="N12" s="6"/>
      <c r="O12" s="6"/>
      <c r="P12" s="6"/>
    </row>
    <row r="13" spans="1:16" ht="15.75" customHeight="1" x14ac:dyDescent="0.2">
      <c r="A13" s="4">
        <v>45824</v>
      </c>
      <c r="B13" s="19">
        <v>25167</v>
      </c>
      <c r="C13" s="5" t="s">
        <v>1</v>
      </c>
      <c r="D13" s="5">
        <v>26</v>
      </c>
      <c r="E13" s="5" t="s">
        <v>2</v>
      </c>
      <c r="F13" s="5" t="s">
        <v>3</v>
      </c>
      <c r="G13" s="5">
        <v>0.85</v>
      </c>
      <c r="H13" s="5">
        <v>35.700000000000003</v>
      </c>
      <c r="I13" s="5">
        <v>9.35</v>
      </c>
      <c r="J13" s="5">
        <v>5</v>
      </c>
      <c r="K13" s="5" t="s">
        <v>4</v>
      </c>
      <c r="L13" s="5" t="s">
        <v>4</v>
      </c>
      <c r="M13" s="5" t="s">
        <v>4</v>
      </c>
      <c r="N13" s="6"/>
      <c r="O13" s="6"/>
      <c r="P13" s="6"/>
    </row>
    <row r="14" spans="1:16" ht="15.75" customHeight="1" x14ac:dyDescent="0.2">
      <c r="A14" s="4">
        <v>45826</v>
      </c>
      <c r="B14" s="19">
        <v>25169</v>
      </c>
      <c r="C14" s="5" t="s">
        <v>212</v>
      </c>
      <c r="D14" s="5">
        <v>3</v>
      </c>
      <c r="E14" s="5" t="s">
        <v>2</v>
      </c>
      <c r="F14" s="5" t="s">
        <v>3</v>
      </c>
      <c r="G14" s="5">
        <v>1.05</v>
      </c>
      <c r="H14" s="5">
        <v>38.1</v>
      </c>
      <c r="I14" s="5">
        <v>9.1</v>
      </c>
      <c r="J14" s="5">
        <v>5.0999999999999996</v>
      </c>
      <c r="K14" s="5" t="s">
        <v>4</v>
      </c>
      <c r="L14" s="5" t="s">
        <v>4</v>
      </c>
      <c r="M14" s="5" t="s">
        <v>4</v>
      </c>
      <c r="N14" s="5"/>
      <c r="O14" s="6"/>
      <c r="P14" s="6"/>
    </row>
    <row r="15" spans="1:16" ht="15.75" customHeight="1" x14ac:dyDescent="0.2">
      <c r="A15" s="4">
        <v>45826</v>
      </c>
      <c r="B15" s="19">
        <v>25169</v>
      </c>
      <c r="C15" s="5" t="s">
        <v>214</v>
      </c>
      <c r="D15" s="5">
        <v>4</v>
      </c>
      <c r="E15" s="5" t="s">
        <v>2</v>
      </c>
      <c r="F15" s="5" t="s">
        <v>3</v>
      </c>
      <c r="G15" s="5">
        <v>0.8</v>
      </c>
      <c r="H15" s="5">
        <v>37.549999999999997</v>
      </c>
      <c r="I15" s="5">
        <v>9</v>
      </c>
      <c r="J15" s="5">
        <v>5.05</v>
      </c>
      <c r="K15" s="5" t="s">
        <v>4</v>
      </c>
      <c r="L15" s="5" t="s">
        <v>4</v>
      </c>
      <c r="M15" s="5" t="s">
        <v>4</v>
      </c>
      <c r="N15" s="5"/>
      <c r="O15" s="6"/>
      <c r="P15" s="6"/>
    </row>
    <row r="16" spans="1:16" ht="15.75" customHeight="1" x14ac:dyDescent="0.2">
      <c r="A16" s="4">
        <v>45826</v>
      </c>
      <c r="B16" s="19">
        <v>25169</v>
      </c>
      <c r="C16" s="5" t="s">
        <v>214</v>
      </c>
      <c r="D16" s="5">
        <v>5</v>
      </c>
      <c r="E16" s="5" t="s">
        <v>2</v>
      </c>
      <c r="F16" s="5" t="s">
        <v>5</v>
      </c>
      <c r="G16" s="5">
        <v>2.0499999999999998</v>
      </c>
      <c r="H16" s="5">
        <v>49.05</v>
      </c>
      <c r="I16" s="5">
        <v>10.8</v>
      </c>
      <c r="J16" s="5">
        <v>6.3</v>
      </c>
      <c r="K16" s="5" t="s">
        <v>4</v>
      </c>
      <c r="L16" s="5" t="s">
        <v>4</v>
      </c>
      <c r="M16" s="5" t="s">
        <v>4</v>
      </c>
      <c r="N16" s="6"/>
      <c r="O16" s="6"/>
      <c r="P16" s="6"/>
    </row>
    <row r="17" spans="1:16" ht="15.75" customHeight="1" x14ac:dyDescent="0.2">
      <c r="A17" s="4">
        <v>45826</v>
      </c>
      <c r="B17" s="19">
        <v>25169</v>
      </c>
      <c r="C17" s="5" t="s">
        <v>214</v>
      </c>
      <c r="D17" s="25">
        <v>6</v>
      </c>
      <c r="E17" s="5" t="s">
        <v>2</v>
      </c>
      <c r="F17" s="5" t="s">
        <v>5</v>
      </c>
      <c r="G17" s="5">
        <v>0.95</v>
      </c>
      <c r="H17" s="5">
        <v>35.369999999999997</v>
      </c>
      <c r="I17" s="5">
        <v>9</v>
      </c>
      <c r="J17" s="5">
        <v>5.35</v>
      </c>
      <c r="K17" s="5" t="s">
        <v>4</v>
      </c>
      <c r="L17" s="5" t="s">
        <v>4</v>
      </c>
      <c r="M17" s="5" t="s">
        <v>4</v>
      </c>
      <c r="N17" s="6"/>
      <c r="O17" s="6"/>
      <c r="P17" s="6"/>
    </row>
    <row r="18" spans="1:16" ht="15.75" customHeight="1" x14ac:dyDescent="0.2">
      <c r="A18" s="4">
        <v>45826</v>
      </c>
      <c r="B18" s="19">
        <v>25169</v>
      </c>
      <c r="C18" s="5" t="s">
        <v>214</v>
      </c>
      <c r="D18" s="5">
        <v>7</v>
      </c>
      <c r="E18" s="5" t="s">
        <v>2</v>
      </c>
      <c r="F18" s="5" t="s">
        <v>3</v>
      </c>
      <c r="G18" s="5">
        <v>1.1499999999999999</v>
      </c>
      <c r="H18" s="5">
        <v>41</v>
      </c>
      <c r="I18" s="5">
        <v>9</v>
      </c>
      <c r="J18" s="5">
        <v>5.45</v>
      </c>
      <c r="K18" s="5" t="s">
        <v>4</v>
      </c>
      <c r="L18" s="5" t="s">
        <v>4</v>
      </c>
      <c r="M18" s="5" t="s">
        <v>4</v>
      </c>
      <c r="N18" s="6"/>
      <c r="O18" s="6"/>
      <c r="P18" s="6"/>
    </row>
    <row r="19" spans="1:16" ht="15.75" customHeight="1" x14ac:dyDescent="0.2">
      <c r="A19" s="4">
        <v>45826</v>
      </c>
      <c r="B19" s="19">
        <v>25169</v>
      </c>
      <c r="C19" s="5" t="s">
        <v>214</v>
      </c>
      <c r="D19" s="5">
        <v>8</v>
      </c>
      <c r="E19" s="5" t="s">
        <v>2</v>
      </c>
      <c r="F19" s="5" t="s">
        <v>3</v>
      </c>
      <c r="G19" s="5">
        <v>0.95</v>
      </c>
      <c r="H19" s="5">
        <v>39.299999999999997</v>
      </c>
      <c r="I19" s="5">
        <v>9</v>
      </c>
      <c r="J19" s="5">
        <v>5.35</v>
      </c>
      <c r="K19" s="5" t="s">
        <v>4</v>
      </c>
      <c r="L19" s="5" t="s">
        <v>4</v>
      </c>
      <c r="M19" s="5" t="s">
        <v>4</v>
      </c>
      <c r="N19" s="6"/>
      <c r="O19" s="6"/>
      <c r="P19" s="6"/>
    </row>
    <row r="20" spans="1:16" ht="15.75" customHeight="1" x14ac:dyDescent="0.2">
      <c r="A20" s="4">
        <v>45826</v>
      </c>
      <c r="B20" s="19">
        <v>25169</v>
      </c>
      <c r="C20" s="5" t="s">
        <v>214</v>
      </c>
      <c r="D20" s="5">
        <v>9</v>
      </c>
      <c r="E20" s="5" t="s">
        <v>2</v>
      </c>
      <c r="F20" s="5" t="s">
        <v>5</v>
      </c>
      <c r="G20" s="5">
        <v>1.85</v>
      </c>
      <c r="H20" s="5">
        <v>46.75</v>
      </c>
      <c r="I20" s="5">
        <v>11.15</v>
      </c>
      <c r="J20" s="5">
        <v>6.5</v>
      </c>
      <c r="K20" s="5" t="s">
        <v>4</v>
      </c>
      <c r="L20" s="5" t="s">
        <v>4</v>
      </c>
      <c r="M20" s="5" t="s">
        <v>4</v>
      </c>
      <c r="N20" s="5" t="s">
        <v>342</v>
      </c>
      <c r="O20" s="6"/>
      <c r="P20" s="6"/>
    </row>
    <row r="21" spans="1:16" ht="15.75" customHeight="1" x14ac:dyDescent="0.2">
      <c r="A21" s="4">
        <v>45826</v>
      </c>
      <c r="B21" s="19">
        <v>25169</v>
      </c>
      <c r="C21" s="5" t="s">
        <v>214</v>
      </c>
      <c r="D21" s="5">
        <v>10</v>
      </c>
      <c r="E21" s="5" t="s">
        <v>2</v>
      </c>
      <c r="F21" s="5" t="s">
        <v>5</v>
      </c>
      <c r="G21" s="5">
        <v>0.95</v>
      </c>
      <c r="H21" s="5">
        <v>38.85</v>
      </c>
      <c r="I21" s="5">
        <v>8.5</v>
      </c>
      <c r="J21" s="5">
        <v>5.4</v>
      </c>
      <c r="K21" s="5" t="s">
        <v>4</v>
      </c>
      <c r="L21" s="5" t="s">
        <v>4</v>
      </c>
      <c r="M21" s="5" t="s">
        <v>4</v>
      </c>
      <c r="N21" s="6"/>
      <c r="O21" s="6"/>
      <c r="P21" s="6"/>
    </row>
    <row r="22" spans="1:16" ht="15.75" customHeight="1" x14ac:dyDescent="0.2">
      <c r="A22" s="4">
        <v>45826</v>
      </c>
      <c r="B22" s="19">
        <v>25169</v>
      </c>
      <c r="C22" s="5" t="s">
        <v>214</v>
      </c>
      <c r="D22" s="5">
        <v>11</v>
      </c>
      <c r="E22" s="5" t="s">
        <v>2</v>
      </c>
      <c r="F22" s="5" t="s">
        <v>3</v>
      </c>
      <c r="G22" s="5">
        <v>0.9</v>
      </c>
      <c r="H22" s="5">
        <v>36.65</v>
      </c>
      <c r="I22" s="5">
        <v>8.4499999999999993</v>
      </c>
      <c r="J22" s="5">
        <v>5.2</v>
      </c>
      <c r="K22" s="5" t="s">
        <v>4</v>
      </c>
      <c r="L22" s="5" t="s">
        <v>4</v>
      </c>
      <c r="M22" s="5" t="s">
        <v>4</v>
      </c>
      <c r="N22" s="6"/>
      <c r="O22" s="6"/>
      <c r="P22" s="6"/>
    </row>
    <row r="23" spans="1:16" ht="15.75" customHeight="1" x14ac:dyDescent="0.2">
      <c r="A23" s="4">
        <v>45826</v>
      </c>
      <c r="B23" s="19">
        <v>25169</v>
      </c>
      <c r="C23" s="5" t="s">
        <v>214</v>
      </c>
      <c r="D23" s="5">
        <v>12</v>
      </c>
      <c r="E23" s="5" t="s">
        <v>2</v>
      </c>
      <c r="F23" s="5" t="s">
        <v>5</v>
      </c>
      <c r="G23" s="5">
        <v>1.25</v>
      </c>
      <c r="H23" s="5">
        <v>42.4</v>
      </c>
      <c r="I23" s="5">
        <v>10</v>
      </c>
      <c r="J23" s="5">
        <v>5.9</v>
      </c>
      <c r="K23" s="5" t="s">
        <v>4</v>
      </c>
      <c r="L23" s="5" t="s">
        <v>4</v>
      </c>
      <c r="M23" s="5" t="s">
        <v>4</v>
      </c>
      <c r="N23" s="6"/>
      <c r="O23" s="6"/>
      <c r="P23" s="6"/>
    </row>
    <row r="24" spans="1:16" ht="15.75" customHeight="1" x14ac:dyDescent="0.2">
      <c r="A24" s="4">
        <v>45827</v>
      </c>
      <c r="B24" s="19">
        <v>25170</v>
      </c>
      <c r="C24" s="5" t="s">
        <v>40</v>
      </c>
      <c r="D24" s="5">
        <v>9</v>
      </c>
      <c r="E24" s="5" t="s">
        <v>2</v>
      </c>
      <c r="F24" s="5" t="s">
        <v>3</v>
      </c>
      <c r="G24" s="5">
        <v>0.9</v>
      </c>
      <c r="H24" s="5">
        <v>39</v>
      </c>
      <c r="I24" s="5">
        <v>9.5</v>
      </c>
      <c r="J24" s="5">
        <v>5.45</v>
      </c>
      <c r="K24" s="5" t="s">
        <v>4</v>
      </c>
      <c r="L24" s="5" t="s">
        <v>4</v>
      </c>
      <c r="M24" s="5" t="s">
        <v>4</v>
      </c>
      <c r="N24" s="6"/>
      <c r="O24" s="6"/>
      <c r="P24" s="6"/>
    </row>
    <row r="25" spans="1:16" ht="15.75" customHeight="1" x14ac:dyDescent="0.2">
      <c r="A25" s="4">
        <v>45827</v>
      </c>
      <c r="B25" s="19">
        <v>25170</v>
      </c>
      <c r="C25" s="5" t="s">
        <v>40</v>
      </c>
      <c r="D25" s="5">
        <v>10</v>
      </c>
      <c r="E25" s="5" t="s">
        <v>2</v>
      </c>
      <c r="F25" s="5" t="s">
        <v>6</v>
      </c>
      <c r="G25" s="5">
        <v>0.2</v>
      </c>
      <c r="H25" s="5">
        <v>23.5</v>
      </c>
      <c r="I25" s="5" t="s">
        <v>8</v>
      </c>
      <c r="J25" s="5" t="s">
        <v>8</v>
      </c>
      <c r="K25" s="5" t="s">
        <v>4</v>
      </c>
      <c r="L25" s="5" t="s">
        <v>9</v>
      </c>
      <c r="M25" s="5" t="s">
        <v>9</v>
      </c>
      <c r="N25" s="5" t="s">
        <v>216</v>
      </c>
      <c r="O25" s="6"/>
      <c r="P25" s="6"/>
    </row>
    <row r="26" spans="1:16" ht="15.75" customHeight="1" x14ac:dyDescent="0.2">
      <c r="A26" s="4">
        <v>45827</v>
      </c>
      <c r="B26" s="19">
        <v>25170</v>
      </c>
      <c r="C26" s="5" t="s">
        <v>40</v>
      </c>
      <c r="D26" s="5">
        <v>11</v>
      </c>
      <c r="E26" s="5" t="s">
        <v>2</v>
      </c>
      <c r="F26" s="5" t="s">
        <v>5</v>
      </c>
      <c r="G26" s="5">
        <v>1.1000000000000001</v>
      </c>
      <c r="H26" s="5">
        <v>40.5</v>
      </c>
      <c r="I26" s="5">
        <v>9.8000000000000007</v>
      </c>
      <c r="J26" s="5">
        <v>5.5</v>
      </c>
      <c r="K26" s="5" t="s">
        <v>4</v>
      </c>
      <c r="L26" s="5" t="s">
        <v>4</v>
      </c>
      <c r="M26" s="5" t="s">
        <v>4</v>
      </c>
      <c r="N26" s="6"/>
      <c r="O26" s="6"/>
      <c r="P26" s="6"/>
    </row>
    <row r="27" spans="1:16" ht="15.75" customHeight="1" x14ac:dyDescent="0.2">
      <c r="A27" s="4">
        <v>45827</v>
      </c>
      <c r="B27" s="19">
        <v>25170</v>
      </c>
      <c r="C27" s="5" t="s">
        <v>40</v>
      </c>
      <c r="D27" s="25">
        <v>12</v>
      </c>
      <c r="E27" s="5" t="s">
        <v>2</v>
      </c>
      <c r="F27" s="5" t="s">
        <v>5</v>
      </c>
      <c r="G27" s="5">
        <v>1.2</v>
      </c>
      <c r="H27" s="5">
        <v>42.5</v>
      </c>
      <c r="I27" s="5">
        <v>9.75</v>
      </c>
      <c r="J27" s="5">
        <v>5.6</v>
      </c>
      <c r="K27" s="5" t="s">
        <v>4</v>
      </c>
      <c r="L27" s="5" t="s">
        <v>4</v>
      </c>
      <c r="M27" s="5" t="s">
        <v>4</v>
      </c>
      <c r="N27" s="6"/>
      <c r="O27" s="6"/>
      <c r="P27" s="6"/>
    </row>
    <row r="28" spans="1:16" ht="15.75" customHeight="1" x14ac:dyDescent="0.2">
      <c r="A28" s="4">
        <v>45827</v>
      </c>
      <c r="B28" s="19">
        <v>25170</v>
      </c>
      <c r="C28" s="5" t="s">
        <v>40</v>
      </c>
      <c r="D28" s="5">
        <v>13</v>
      </c>
      <c r="E28" s="5" t="s">
        <v>2</v>
      </c>
      <c r="F28" s="5" t="s">
        <v>5</v>
      </c>
      <c r="G28" s="5">
        <v>0.85</v>
      </c>
      <c r="H28" s="5">
        <v>38.200000000000003</v>
      </c>
      <c r="I28" s="5" t="s">
        <v>8</v>
      </c>
      <c r="J28" s="5" t="s">
        <v>8</v>
      </c>
      <c r="K28" s="5" t="s">
        <v>4</v>
      </c>
      <c r="L28" s="5" t="s">
        <v>9</v>
      </c>
      <c r="M28" s="5" t="s">
        <v>9</v>
      </c>
      <c r="N28" s="5" t="s">
        <v>343</v>
      </c>
      <c r="O28" s="6"/>
      <c r="P28" s="6"/>
    </row>
    <row r="29" spans="1:16" ht="15.75" customHeight="1" x14ac:dyDescent="0.2">
      <c r="A29" s="4">
        <v>45827</v>
      </c>
      <c r="B29" s="19">
        <v>25170</v>
      </c>
      <c r="C29" s="5" t="s">
        <v>40</v>
      </c>
      <c r="D29" s="25">
        <v>14</v>
      </c>
      <c r="E29" s="5" t="s">
        <v>2</v>
      </c>
      <c r="F29" s="5" t="s">
        <v>5</v>
      </c>
      <c r="G29" s="5">
        <v>0.75</v>
      </c>
      <c r="H29" s="5">
        <v>38.9</v>
      </c>
      <c r="I29" s="5">
        <v>10.5</v>
      </c>
      <c r="J29" s="5">
        <v>5.55</v>
      </c>
      <c r="K29" s="5" t="s">
        <v>4</v>
      </c>
      <c r="L29" s="5" t="s">
        <v>4</v>
      </c>
      <c r="M29" s="5" t="s">
        <v>4</v>
      </c>
      <c r="N29" s="6"/>
      <c r="O29" s="6"/>
      <c r="P29" s="6"/>
    </row>
    <row r="30" spans="1:16" ht="15.75" customHeight="1" x14ac:dyDescent="0.2">
      <c r="A30" s="4">
        <v>45827</v>
      </c>
      <c r="B30" s="19">
        <v>25170</v>
      </c>
      <c r="C30" s="5" t="s">
        <v>40</v>
      </c>
      <c r="D30" s="5">
        <v>15</v>
      </c>
      <c r="E30" s="5" t="s">
        <v>2</v>
      </c>
      <c r="F30" s="5" t="s">
        <v>5</v>
      </c>
      <c r="G30" s="5">
        <v>0.7</v>
      </c>
      <c r="H30" s="5">
        <v>36.5</v>
      </c>
      <c r="I30" s="5">
        <v>8.9</v>
      </c>
      <c r="J30" s="5">
        <v>5</v>
      </c>
      <c r="K30" s="5" t="s">
        <v>4</v>
      </c>
      <c r="L30" s="5" t="s">
        <v>4</v>
      </c>
      <c r="M30" s="5" t="s">
        <v>4</v>
      </c>
      <c r="N30" s="6"/>
      <c r="O30" s="6"/>
      <c r="P30" s="6"/>
    </row>
    <row r="31" spans="1:16" ht="15.75" customHeight="1" x14ac:dyDescent="0.2">
      <c r="A31" s="4">
        <v>45827</v>
      </c>
      <c r="B31" s="19">
        <v>25170</v>
      </c>
      <c r="C31" s="5" t="s">
        <v>40</v>
      </c>
      <c r="D31" s="5">
        <v>16</v>
      </c>
      <c r="E31" s="5" t="s">
        <v>2</v>
      </c>
      <c r="F31" s="5" t="s">
        <v>6</v>
      </c>
      <c r="G31" s="5">
        <v>0.65</v>
      </c>
      <c r="H31" s="5">
        <v>35.1</v>
      </c>
      <c r="I31" s="5">
        <v>8.9</v>
      </c>
      <c r="J31" s="5">
        <v>4.9000000000000004</v>
      </c>
      <c r="K31" s="5" t="s">
        <v>4</v>
      </c>
      <c r="L31" s="5" t="s">
        <v>4</v>
      </c>
      <c r="M31" s="5" t="s">
        <v>4</v>
      </c>
      <c r="N31" s="5" t="s">
        <v>217</v>
      </c>
      <c r="O31" s="6"/>
      <c r="P31" s="6"/>
    </row>
    <row r="32" spans="1:16" ht="15.75" customHeight="1" x14ac:dyDescent="0.2">
      <c r="A32" s="4">
        <v>45827</v>
      </c>
      <c r="B32" s="19">
        <v>25170</v>
      </c>
      <c r="C32" s="5" t="s">
        <v>40</v>
      </c>
      <c r="D32" s="5">
        <v>17</v>
      </c>
      <c r="E32" s="5" t="s">
        <v>2</v>
      </c>
      <c r="F32" s="5" t="s">
        <v>6</v>
      </c>
      <c r="G32" s="5">
        <v>0.2</v>
      </c>
      <c r="H32" s="5">
        <v>23.75</v>
      </c>
      <c r="I32" s="5" t="s">
        <v>8</v>
      </c>
      <c r="J32" s="5" t="s">
        <v>8</v>
      </c>
      <c r="K32" s="5" t="s">
        <v>4</v>
      </c>
      <c r="L32" s="5" t="s">
        <v>9</v>
      </c>
      <c r="M32" s="5" t="s">
        <v>9</v>
      </c>
      <c r="N32" s="5" t="s">
        <v>218</v>
      </c>
      <c r="O32" s="6"/>
      <c r="P32" s="6"/>
    </row>
    <row r="33" spans="1:16" ht="15.75" customHeight="1" x14ac:dyDescent="0.2">
      <c r="A33" s="4">
        <v>45827</v>
      </c>
      <c r="B33" s="19">
        <v>25170</v>
      </c>
      <c r="C33" s="5" t="s">
        <v>40</v>
      </c>
      <c r="D33" s="5">
        <v>18</v>
      </c>
      <c r="E33" s="5" t="s">
        <v>2</v>
      </c>
      <c r="F33" s="5" t="s">
        <v>5</v>
      </c>
      <c r="G33" s="5">
        <v>1</v>
      </c>
      <c r="H33" s="5">
        <v>39.4</v>
      </c>
      <c r="I33" s="5">
        <v>9.35</v>
      </c>
      <c r="J33" s="5">
        <v>5.45</v>
      </c>
      <c r="K33" s="5" t="s">
        <v>4</v>
      </c>
      <c r="L33" s="5" t="s">
        <v>4</v>
      </c>
      <c r="M33" s="5" t="s">
        <v>4</v>
      </c>
      <c r="N33" s="6"/>
      <c r="O33" s="6"/>
      <c r="P33" s="6"/>
    </row>
    <row r="34" spans="1:16" ht="15.75" customHeight="1" x14ac:dyDescent="0.2">
      <c r="A34" s="4">
        <v>45827</v>
      </c>
      <c r="B34" s="19">
        <v>25170</v>
      </c>
      <c r="C34" s="5" t="s">
        <v>40</v>
      </c>
      <c r="D34" s="5">
        <v>19</v>
      </c>
      <c r="E34" s="5" t="s">
        <v>2</v>
      </c>
      <c r="F34" s="5" t="s">
        <v>5</v>
      </c>
      <c r="G34" s="5">
        <v>0.9</v>
      </c>
      <c r="H34" s="5">
        <v>40.9</v>
      </c>
      <c r="I34" s="5">
        <v>9.3000000000000007</v>
      </c>
      <c r="J34" s="5">
        <v>5.4</v>
      </c>
      <c r="K34" s="5" t="s">
        <v>4</v>
      </c>
      <c r="L34" s="5" t="s">
        <v>4</v>
      </c>
      <c r="M34" s="5" t="s">
        <v>4</v>
      </c>
      <c r="N34" s="6"/>
      <c r="O34" s="6"/>
      <c r="P34" s="6"/>
    </row>
    <row r="35" spans="1:16" ht="15.75" customHeight="1" x14ac:dyDescent="0.2">
      <c r="A35" s="4">
        <v>45827</v>
      </c>
      <c r="B35" s="19">
        <v>25170</v>
      </c>
      <c r="C35" s="5" t="s">
        <v>40</v>
      </c>
      <c r="D35" s="5">
        <v>20</v>
      </c>
      <c r="E35" s="5" t="s">
        <v>2</v>
      </c>
      <c r="F35" s="5" t="s">
        <v>5</v>
      </c>
      <c r="G35" s="5">
        <v>0.75</v>
      </c>
      <c r="H35" s="5">
        <v>37.9</v>
      </c>
      <c r="I35" s="5">
        <v>9.25</v>
      </c>
      <c r="J35" s="5">
        <v>5.4</v>
      </c>
      <c r="K35" s="5" t="s">
        <v>4</v>
      </c>
      <c r="L35" s="5" t="s">
        <v>4</v>
      </c>
      <c r="M35" s="5" t="s">
        <v>4</v>
      </c>
      <c r="N35" s="6"/>
      <c r="O35" s="6"/>
      <c r="P35" s="6"/>
    </row>
    <row r="36" spans="1:16" ht="15.75" customHeight="1" x14ac:dyDescent="0.2">
      <c r="A36" s="4">
        <v>45827</v>
      </c>
      <c r="B36" s="19">
        <v>25170</v>
      </c>
      <c r="C36" s="5" t="s">
        <v>40</v>
      </c>
      <c r="D36" s="5">
        <v>21</v>
      </c>
      <c r="E36" s="5" t="s">
        <v>2</v>
      </c>
      <c r="F36" s="5" t="s">
        <v>5</v>
      </c>
      <c r="G36" s="5">
        <v>0.75</v>
      </c>
      <c r="H36" s="5">
        <v>37.549999999999997</v>
      </c>
      <c r="I36" s="5">
        <v>10</v>
      </c>
      <c r="J36" s="5">
        <v>5.25</v>
      </c>
      <c r="K36" s="5" t="s">
        <v>4</v>
      </c>
      <c r="L36" s="5" t="s">
        <v>4</v>
      </c>
      <c r="M36" s="5" t="s">
        <v>4</v>
      </c>
      <c r="N36" s="6"/>
      <c r="O36" s="6"/>
      <c r="P36" s="6"/>
    </row>
    <row r="37" spans="1:16" ht="15.75" customHeight="1" x14ac:dyDescent="0.2">
      <c r="A37" s="4">
        <v>45827</v>
      </c>
      <c r="B37" s="19">
        <v>25170</v>
      </c>
      <c r="C37" s="5" t="s">
        <v>40</v>
      </c>
      <c r="D37" s="5">
        <v>22</v>
      </c>
      <c r="E37" s="5" t="s">
        <v>2</v>
      </c>
      <c r="F37" s="5" t="s">
        <v>5</v>
      </c>
      <c r="G37" s="5">
        <v>0.75</v>
      </c>
      <c r="H37" s="5">
        <v>36.6</v>
      </c>
      <c r="I37" s="5">
        <v>8.9499999999999993</v>
      </c>
      <c r="J37" s="5">
        <v>5</v>
      </c>
      <c r="K37" s="5" t="s">
        <v>4</v>
      </c>
      <c r="L37" s="5" t="s">
        <v>4</v>
      </c>
      <c r="M37" s="5" t="s">
        <v>4</v>
      </c>
      <c r="N37" s="6"/>
      <c r="O37" s="6"/>
      <c r="P37" s="6"/>
    </row>
    <row r="38" spans="1:16" ht="15.75" customHeight="1" x14ac:dyDescent="0.2">
      <c r="A38" s="4">
        <v>45827</v>
      </c>
      <c r="B38" s="19">
        <v>25170</v>
      </c>
      <c r="C38" s="5" t="s">
        <v>40</v>
      </c>
      <c r="D38" s="5">
        <v>23</v>
      </c>
      <c r="E38" s="5" t="s">
        <v>2</v>
      </c>
      <c r="F38" s="5" t="s">
        <v>3</v>
      </c>
      <c r="G38" s="5">
        <v>0.7</v>
      </c>
      <c r="H38" s="5">
        <v>36.4</v>
      </c>
      <c r="I38" s="5">
        <v>8.3000000000000007</v>
      </c>
      <c r="J38" s="5">
        <v>5.05</v>
      </c>
      <c r="K38" s="5" t="s">
        <v>4</v>
      </c>
      <c r="L38" s="5" t="s">
        <v>4</v>
      </c>
      <c r="M38" s="5" t="s">
        <v>4</v>
      </c>
      <c r="N38" s="6"/>
      <c r="O38" s="6"/>
      <c r="P38" s="6"/>
    </row>
    <row r="39" spans="1:16" ht="15.75" customHeight="1" x14ac:dyDescent="0.2">
      <c r="A39" s="4">
        <v>45827</v>
      </c>
      <c r="B39" s="19">
        <v>25170</v>
      </c>
      <c r="C39" s="5" t="s">
        <v>40</v>
      </c>
      <c r="D39" s="28">
        <v>24</v>
      </c>
      <c r="E39" s="5" t="s">
        <v>2</v>
      </c>
      <c r="F39" s="5" t="s">
        <v>6</v>
      </c>
      <c r="G39" s="5">
        <v>0.25</v>
      </c>
      <c r="H39" s="5">
        <v>31.3</v>
      </c>
      <c r="I39" s="5" t="s">
        <v>8</v>
      </c>
      <c r="J39" s="5" t="s">
        <v>8</v>
      </c>
      <c r="K39" s="5" t="s">
        <v>4</v>
      </c>
      <c r="L39" s="5" t="s">
        <v>9</v>
      </c>
      <c r="M39" s="5" t="s">
        <v>9</v>
      </c>
      <c r="N39" s="6" t="s">
        <v>356</v>
      </c>
      <c r="O39" s="6"/>
      <c r="P39" s="6"/>
    </row>
    <row r="40" spans="1:16" ht="15.75" customHeight="1" x14ac:dyDescent="0.2">
      <c r="A40" s="4">
        <v>45828</v>
      </c>
      <c r="B40" s="19">
        <v>25171</v>
      </c>
      <c r="C40" s="5" t="s">
        <v>42</v>
      </c>
      <c r="D40" s="5">
        <v>13</v>
      </c>
      <c r="E40" s="5" t="s">
        <v>2</v>
      </c>
      <c r="F40" s="5" t="s">
        <v>5</v>
      </c>
      <c r="G40" s="5">
        <v>0.65</v>
      </c>
      <c r="H40" s="5">
        <v>33.5</v>
      </c>
      <c r="I40" s="5">
        <v>8.3000000000000007</v>
      </c>
      <c r="J40" s="5">
        <v>4.7</v>
      </c>
      <c r="K40" s="5" t="s">
        <v>4</v>
      </c>
      <c r="L40" s="5" t="s">
        <v>4</v>
      </c>
      <c r="M40" s="5" t="s">
        <v>4</v>
      </c>
      <c r="N40" s="6"/>
      <c r="O40" s="6"/>
      <c r="P40" s="6"/>
    </row>
    <row r="41" spans="1:16" ht="15.75" customHeight="1" x14ac:dyDescent="0.2">
      <c r="A41" s="4">
        <v>45828</v>
      </c>
      <c r="B41" s="19">
        <v>25171</v>
      </c>
      <c r="C41" s="5" t="s">
        <v>42</v>
      </c>
      <c r="D41" s="5">
        <v>14</v>
      </c>
      <c r="E41" s="5" t="s">
        <v>2</v>
      </c>
      <c r="F41" s="5" t="s">
        <v>3</v>
      </c>
      <c r="G41" s="5">
        <v>1.2</v>
      </c>
      <c r="H41" s="5">
        <v>42.9</v>
      </c>
      <c r="I41" s="5">
        <v>10.1</v>
      </c>
      <c r="J41" s="5">
        <v>5.65</v>
      </c>
      <c r="K41" s="5" t="s">
        <v>4</v>
      </c>
      <c r="L41" s="5" t="s">
        <v>4</v>
      </c>
      <c r="M41" s="5" t="s">
        <v>4</v>
      </c>
      <c r="N41" s="6"/>
      <c r="O41" s="6"/>
      <c r="P41" s="6"/>
    </row>
    <row r="42" spans="1:16" ht="15.75" customHeight="1" x14ac:dyDescent="0.2">
      <c r="A42" s="4">
        <v>45828</v>
      </c>
      <c r="B42" s="19">
        <v>25171</v>
      </c>
      <c r="C42" s="5" t="s">
        <v>42</v>
      </c>
      <c r="D42" s="5">
        <v>15</v>
      </c>
      <c r="E42" s="5" t="s">
        <v>2</v>
      </c>
      <c r="F42" s="5" t="s">
        <v>3</v>
      </c>
      <c r="G42" s="5">
        <v>0.7</v>
      </c>
      <c r="H42" s="5">
        <v>36.4</v>
      </c>
      <c r="I42" s="5">
        <v>9</v>
      </c>
      <c r="J42" s="5">
        <v>5</v>
      </c>
      <c r="K42" s="5" t="s">
        <v>4</v>
      </c>
      <c r="L42" s="5" t="s">
        <v>4</v>
      </c>
      <c r="M42" s="5" t="s">
        <v>4</v>
      </c>
      <c r="N42" s="6"/>
      <c r="O42" s="6"/>
      <c r="P42" s="6"/>
    </row>
    <row r="43" spans="1:16" ht="15.75" customHeight="1" x14ac:dyDescent="0.2">
      <c r="A43" s="4">
        <v>45828</v>
      </c>
      <c r="B43" s="19">
        <v>25171</v>
      </c>
      <c r="C43" s="5" t="s">
        <v>42</v>
      </c>
      <c r="D43" s="5">
        <v>16</v>
      </c>
      <c r="E43" s="5" t="s">
        <v>2</v>
      </c>
      <c r="F43" s="5" t="s">
        <v>5</v>
      </c>
      <c r="G43" s="5">
        <v>0.95</v>
      </c>
      <c r="H43" s="5">
        <v>38.1</v>
      </c>
      <c r="I43" s="5">
        <v>9.9</v>
      </c>
      <c r="J43" s="5">
        <v>5.5</v>
      </c>
      <c r="K43" s="5" t="s">
        <v>4</v>
      </c>
      <c r="L43" s="5" t="s">
        <v>4</v>
      </c>
      <c r="M43" s="5" t="s">
        <v>4</v>
      </c>
      <c r="N43" s="6"/>
      <c r="O43" s="6"/>
      <c r="P43" s="6"/>
    </row>
    <row r="44" spans="1:16" ht="15.75" customHeight="1" x14ac:dyDescent="0.2">
      <c r="A44" s="4">
        <v>45828</v>
      </c>
      <c r="B44" s="19">
        <v>25171</v>
      </c>
      <c r="C44" s="5" t="s">
        <v>42</v>
      </c>
      <c r="D44" s="5">
        <v>17</v>
      </c>
      <c r="E44" s="5" t="s">
        <v>2</v>
      </c>
      <c r="F44" s="5" t="s">
        <v>3</v>
      </c>
      <c r="G44" s="5">
        <v>0.8</v>
      </c>
      <c r="H44" s="5">
        <v>39.700000000000003</v>
      </c>
      <c r="I44" s="5">
        <v>10</v>
      </c>
      <c r="J44" s="5">
        <v>5.55</v>
      </c>
      <c r="K44" s="5" t="s">
        <v>4</v>
      </c>
      <c r="L44" s="5" t="s">
        <v>4</v>
      </c>
      <c r="M44" s="5" t="s">
        <v>4</v>
      </c>
      <c r="N44" s="6"/>
      <c r="O44" s="6"/>
      <c r="P44" s="6"/>
    </row>
    <row r="45" spans="1:16" ht="15.75" customHeight="1" x14ac:dyDescent="0.2">
      <c r="A45" s="4">
        <v>45828</v>
      </c>
      <c r="B45" s="19">
        <v>25171</v>
      </c>
      <c r="C45" s="5" t="s">
        <v>42</v>
      </c>
      <c r="D45" s="5">
        <v>18</v>
      </c>
      <c r="E45" s="5" t="s">
        <v>2</v>
      </c>
      <c r="F45" s="5" t="s">
        <v>3</v>
      </c>
      <c r="G45" s="5">
        <v>0.7</v>
      </c>
      <c r="H45" s="5">
        <v>33.799999999999997</v>
      </c>
      <c r="I45" s="5">
        <v>8.5</v>
      </c>
      <c r="J45" s="5">
        <v>4.9000000000000004</v>
      </c>
      <c r="K45" s="5" t="s">
        <v>4</v>
      </c>
      <c r="L45" s="5" t="s">
        <v>4</v>
      </c>
      <c r="M45" s="5" t="s">
        <v>4</v>
      </c>
      <c r="N45" s="6"/>
      <c r="O45" s="6"/>
      <c r="P45" s="6"/>
    </row>
    <row r="46" spans="1:16" ht="15.75" customHeight="1" x14ac:dyDescent="0.2">
      <c r="A46" s="4">
        <v>45828</v>
      </c>
      <c r="B46" s="19">
        <v>25171</v>
      </c>
      <c r="C46" s="5" t="s">
        <v>42</v>
      </c>
      <c r="D46" s="5">
        <v>19</v>
      </c>
      <c r="E46" s="5" t="s">
        <v>2</v>
      </c>
      <c r="F46" s="5" t="s">
        <v>3</v>
      </c>
      <c r="G46" s="5">
        <v>0.7</v>
      </c>
      <c r="H46" s="5">
        <v>34.799999999999997</v>
      </c>
      <c r="I46" s="5">
        <v>9</v>
      </c>
      <c r="J46" s="5">
        <v>4.7</v>
      </c>
      <c r="K46" s="5" t="s">
        <v>4</v>
      </c>
      <c r="L46" s="5" t="s">
        <v>4</v>
      </c>
      <c r="M46" s="5" t="s">
        <v>4</v>
      </c>
      <c r="N46" s="6"/>
      <c r="O46" s="6"/>
      <c r="P46" s="6"/>
    </row>
    <row r="47" spans="1:16" ht="15.75" customHeight="1" x14ac:dyDescent="0.2">
      <c r="A47" s="4">
        <v>45828</v>
      </c>
      <c r="B47" s="19">
        <v>25171</v>
      </c>
      <c r="C47" s="5" t="s">
        <v>42</v>
      </c>
      <c r="D47" s="5">
        <v>20</v>
      </c>
      <c r="E47" s="5" t="s">
        <v>2</v>
      </c>
      <c r="F47" s="5" t="s">
        <v>5</v>
      </c>
      <c r="G47" s="5">
        <v>0.8</v>
      </c>
      <c r="H47" s="5">
        <v>38.5</v>
      </c>
      <c r="I47" s="5">
        <v>9.5</v>
      </c>
      <c r="J47" s="5">
        <v>4.9000000000000004</v>
      </c>
      <c r="K47" s="5" t="s">
        <v>4</v>
      </c>
      <c r="L47" s="5" t="s">
        <v>4</v>
      </c>
      <c r="M47" s="5" t="s">
        <v>4</v>
      </c>
      <c r="N47" s="6"/>
      <c r="O47" s="6"/>
      <c r="P47" s="6"/>
    </row>
    <row r="48" spans="1:16" ht="15.75" customHeight="1" x14ac:dyDescent="0.2">
      <c r="A48" s="4">
        <v>45828</v>
      </c>
      <c r="B48" s="19">
        <v>25171</v>
      </c>
      <c r="C48" s="5" t="s">
        <v>42</v>
      </c>
      <c r="D48" s="5">
        <v>21</v>
      </c>
      <c r="E48" s="5" t="s">
        <v>2</v>
      </c>
      <c r="F48" s="5" t="s">
        <v>3</v>
      </c>
      <c r="G48" s="5">
        <v>1.1000000000000001</v>
      </c>
      <c r="H48" s="5">
        <v>43.05</v>
      </c>
      <c r="I48" s="5">
        <v>10</v>
      </c>
      <c r="J48" s="5">
        <v>5.45</v>
      </c>
      <c r="K48" s="5" t="s">
        <v>4</v>
      </c>
      <c r="L48" s="5" t="s">
        <v>4</v>
      </c>
      <c r="M48" s="5" t="s">
        <v>4</v>
      </c>
      <c r="N48" s="6"/>
      <c r="O48" s="6"/>
      <c r="P48" s="6"/>
    </row>
    <row r="49" spans="1:16" ht="15.75" customHeight="1" x14ac:dyDescent="0.2">
      <c r="A49" s="4">
        <v>45828</v>
      </c>
      <c r="B49" s="19">
        <v>25171</v>
      </c>
      <c r="C49" s="5" t="s">
        <v>42</v>
      </c>
      <c r="D49" s="5">
        <v>22</v>
      </c>
      <c r="E49" s="5" t="s">
        <v>2</v>
      </c>
      <c r="F49" s="5" t="s">
        <v>3</v>
      </c>
      <c r="G49" s="5">
        <v>1.3</v>
      </c>
      <c r="H49" s="5">
        <v>43.9</v>
      </c>
      <c r="I49" s="5">
        <v>10.050000000000001</v>
      </c>
      <c r="J49" s="5">
        <v>5.9</v>
      </c>
      <c r="K49" s="5" t="s">
        <v>4</v>
      </c>
      <c r="L49" s="5" t="s">
        <v>4</v>
      </c>
      <c r="M49" s="5" t="s">
        <v>4</v>
      </c>
      <c r="N49" s="6"/>
      <c r="O49" s="6"/>
      <c r="P49" s="6"/>
    </row>
    <row r="50" spans="1:16" ht="15.75" customHeight="1" x14ac:dyDescent="0.2">
      <c r="A50" s="4">
        <v>45831</v>
      </c>
      <c r="B50" s="19">
        <v>25174</v>
      </c>
      <c r="C50" s="5" t="s">
        <v>20</v>
      </c>
      <c r="D50" s="5">
        <v>9</v>
      </c>
      <c r="E50" s="5" t="s">
        <v>2</v>
      </c>
      <c r="F50" s="5" t="s">
        <v>3</v>
      </c>
      <c r="G50" s="5">
        <v>0.8</v>
      </c>
      <c r="H50" s="5">
        <v>34</v>
      </c>
      <c r="I50" s="5">
        <v>8.25</v>
      </c>
      <c r="J50" s="5">
        <v>4.75</v>
      </c>
      <c r="K50" s="5" t="s">
        <v>4</v>
      </c>
      <c r="L50" s="5" t="s">
        <v>4</v>
      </c>
      <c r="M50" s="5" t="s">
        <v>4</v>
      </c>
      <c r="N50" s="6"/>
      <c r="O50" s="6"/>
      <c r="P50" s="6"/>
    </row>
    <row r="51" spans="1:16" ht="16" x14ac:dyDescent="0.2">
      <c r="A51" s="4">
        <v>45831</v>
      </c>
      <c r="B51" s="19">
        <v>25174</v>
      </c>
      <c r="C51" s="5" t="s">
        <v>20</v>
      </c>
      <c r="D51" s="5">
        <v>10</v>
      </c>
      <c r="E51" s="5" t="s">
        <v>2</v>
      </c>
      <c r="F51" s="5" t="s">
        <v>3</v>
      </c>
      <c r="G51" s="5">
        <v>0.65</v>
      </c>
      <c r="H51" s="5">
        <v>32.75</v>
      </c>
      <c r="I51" s="5">
        <v>8.35</v>
      </c>
      <c r="J51" s="5">
        <v>4.8499999999999996</v>
      </c>
      <c r="K51" s="5" t="s">
        <v>4</v>
      </c>
      <c r="L51" s="5" t="s">
        <v>4</v>
      </c>
      <c r="M51" s="5" t="s">
        <v>4</v>
      </c>
      <c r="N51" s="6"/>
      <c r="O51" s="6"/>
      <c r="P51" s="6"/>
    </row>
    <row r="52" spans="1:16" ht="16" x14ac:dyDescent="0.2">
      <c r="A52" s="4">
        <v>45831</v>
      </c>
      <c r="B52" s="19">
        <v>25174</v>
      </c>
      <c r="C52" s="5" t="s">
        <v>20</v>
      </c>
      <c r="D52" s="25">
        <v>11</v>
      </c>
      <c r="E52" s="5" t="s">
        <v>2</v>
      </c>
      <c r="F52" s="5" t="s">
        <v>6</v>
      </c>
      <c r="G52" s="5">
        <v>0.25</v>
      </c>
      <c r="H52" s="5">
        <v>25.85</v>
      </c>
      <c r="I52" s="5" t="s">
        <v>8</v>
      </c>
      <c r="J52" s="5" t="s">
        <v>8</v>
      </c>
      <c r="K52" s="5" t="s">
        <v>4</v>
      </c>
      <c r="L52" s="5" t="s">
        <v>9</v>
      </c>
      <c r="M52" s="5" t="s">
        <v>9</v>
      </c>
      <c r="N52" s="6"/>
      <c r="O52" s="6"/>
      <c r="P52" s="6"/>
    </row>
    <row r="53" spans="1:16" ht="16" x14ac:dyDescent="0.2">
      <c r="A53" s="4">
        <v>45831</v>
      </c>
      <c r="B53" s="19">
        <v>25174</v>
      </c>
      <c r="C53" s="5" t="s">
        <v>20</v>
      </c>
      <c r="D53" s="5">
        <v>12</v>
      </c>
      <c r="E53" s="5" t="s">
        <v>2</v>
      </c>
      <c r="F53" s="5" t="s">
        <v>5</v>
      </c>
      <c r="G53" s="5">
        <v>0.75</v>
      </c>
      <c r="H53" s="5">
        <v>32.950000000000003</v>
      </c>
      <c r="I53" s="5">
        <v>8.35</v>
      </c>
      <c r="J53" s="5">
        <v>5</v>
      </c>
      <c r="K53" s="5" t="s">
        <v>4</v>
      </c>
      <c r="L53" s="5" t="s">
        <v>4</v>
      </c>
      <c r="M53" s="5" t="s">
        <v>4</v>
      </c>
      <c r="N53" s="6"/>
      <c r="O53" s="6"/>
      <c r="P53" s="6"/>
    </row>
    <row r="54" spans="1:16" ht="16" x14ac:dyDescent="0.2">
      <c r="A54" s="4">
        <v>45831</v>
      </c>
      <c r="B54" s="19">
        <v>25174</v>
      </c>
      <c r="C54" s="5" t="s">
        <v>20</v>
      </c>
      <c r="D54" s="5">
        <v>13</v>
      </c>
      <c r="E54" s="5" t="s">
        <v>2</v>
      </c>
      <c r="F54" s="5" t="s">
        <v>5</v>
      </c>
      <c r="G54" s="5">
        <v>0.9</v>
      </c>
      <c r="H54" s="5">
        <v>36.85</v>
      </c>
      <c r="I54" s="5">
        <v>8.8000000000000007</v>
      </c>
      <c r="J54" s="5">
        <v>5.3</v>
      </c>
      <c r="K54" s="5" t="s">
        <v>4</v>
      </c>
      <c r="L54" s="5" t="s">
        <v>4</v>
      </c>
      <c r="M54" s="5" t="s">
        <v>4</v>
      </c>
      <c r="N54" s="5" t="s">
        <v>219</v>
      </c>
      <c r="O54" s="5"/>
      <c r="P54" s="6"/>
    </row>
    <row r="55" spans="1:16" ht="16" x14ac:dyDescent="0.2">
      <c r="A55" s="4">
        <v>45831</v>
      </c>
      <c r="B55" s="19">
        <v>25174</v>
      </c>
      <c r="C55" s="5" t="s">
        <v>20</v>
      </c>
      <c r="D55" s="25">
        <v>14</v>
      </c>
      <c r="E55" s="5" t="s">
        <v>2</v>
      </c>
      <c r="F55" s="5" t="s">
        <v>6</v>
      </c>
      <c r="G55" s="5">
        <v>0.25</v>
      </c>
      <c r="H55" s="5">
        <v>25.8</v>
      </c>
      <c r="I55" s="5" t="s">
        <v>8</v>
      </c>
      <c r="J55" s="5" t="s">
        <v>8</v>
      </c>
      <c r="K55" s="5" t="s">
        <v>4</v>
      </c>
      <c r="L55" s="5" t="s">
        <v>9</v>
      </c>
      <c r="M55" s="5" t="s">
        <v>9</v>
      </c>
      <c r="N55" s="5" t="s">
        <v>220</v>
      </c>
      <c r="O55" s="5"/>
      <c r="P55" s="6"/>
    </row>
    <row r="56" spans="1:16" ht="16" x14ac:dyDescent="0.2">
      <c r="A56" s="4">
        <v>45831</v>
      </c>
      <c r="B56" s="19">
        <v>25174</v>
      </c>
      <c r="C56" s="5" t="s">
        <v>20</v>
      </c>
      <c r="D56" s="5">
        <v>15</v>
      </c>
      <c r="E56" s="5" t="s">
        <v>2</v>
      </c>
      <c r="F56" s="5" t="s">
        <v>3</v>
      </c>
      <c r="G56" s="5">
        <v>0.55000000000000004</v>
      </c>
      <c r="H56" s="5">
        <v>30.3</v>
      </c>
      <c r="I56" s="5">
        <v>8</v>
      </c>
      <c r="J56" s="5">
        <v>4.5</v>
      </c>
      <c r="K56" s="5" t="s">
        <v>4</v>
      </c>
      <c r="L56" s="5" t="s">
        <v>4</v>
      </c>
      <c r="M56" s="5" t="s">
        <v>4</v>
      </c>
      <c r="N56" s="5" t="s">
        <v>221</v>
      </c>
      <c r="O56" s="5"/>
      <c r="P56" s="6"/>
    </row>
    <row r="57" spans="1:16" ht="16" x14ac:dyDescent="0.2">
      <c r="A57" s="4">
        <v>45831</v>
      </c>
      <c r="B57" s="19">
        <v>25174</v>
      </c>
      <c r="C57" s="5" t="s">
        <v>20</v>
      </c>
      <c r="D57" s="5">
        <v>16</v>
      </c>
      <c r="E57" s="5" t="s">
        <v>2</v>
      </c>
      <c r="F57" s="5" t="s">
        <v>3</v>
      </c>
      <c r="G57" s="5">
        <v>1.05</v>
      </c>
      <c r="H57" s="5">
        <v>38.9</v>
      </c>
      <c r="I57" s="5" t="s">
        <v>8</v>
      </c>
      <c r="J57" s="5" t="s">
        <v>8</v>
      </c>
      <c r="K57" s="5" t="s">
        <v>4</v>
      </c>
      <c r="L57" s="5" t="s">
        <v>4</v>
      </c>
      <c r="M57" s="5" t="s">
        <v>9</v>
      </c>
      <c r="N57" s="5" t="s">
        <v>222</v>
      </c>
      <c r="O57" s="5"/>
      <c r="P57" s="6"/>
    </row>
    <row r="58" spans="1:16" ht="16" x14ac:dyDescent="0.2">
      <c r="A58" s="4">
        <v>45831</v>
      </c>
      <c r="B58" s="19">
        <v>25174</v>
      </c>
      <c r="C58" s="5" t="s">
        <v>20</v>
      </c>
      <c r="D58" s="5">
        <v>17</v>
      </c>
      <c r="E58" s="5" t="s">
        <v>2</v>
      </c>
      <c r="F58" s="5" t="s">
        <v>6</v>
      </c>
      <c r="G58" s="5">
        <v>0.75</v>
      </c>
      <c r="H58" s="5">
        <v>33.4</v>
      </c>
      <c r="I58" s="5">
        <v>8</v>
      </c>
      <c r="J58" s="5">
        <v>4.7</v>
      </c>
      <c r="K58" s="5" t="s">
        <v>4</v>
      </c>
      <c r="L58" s="5" t="s">
        <v>4</v>
      </c>
      <c r="M58" s="5" t="s">
        <v>4</v>
      </c>
      <c r="N58" s="6"/>
      <c r="O58" s="6"/>
      <c r="P58" s="6"/>
    </row>
    <row r="59" spans="1:16" ht="16" x14ac:dyDescent="0.2">
      <c r="A59" s="4">
        <v>45831</v>
      </c>
      <c r="B59" s="19">
        <v>25174</v>
      </c>
      <c r="C59" s="5" t="s">
        <v>20</v>
      </c>
      <c r="D59" s="5">
        <v>18</v>
      </c>
      <c r="E59" s="5" t="s">
        <v>2</v>
      </c>
      <c r="F59" s="5" t="s">
        <v>3</v>
      </c>
      <c r="G59" s="5">
        <v>1.75</v>
      </c>
      <c r="H59" s="5">
        <v>47.6</v>
      </c>
      <c r="I59" s="5">
        <v>10.35</v>
      </c>
      <c r="J59" s="5">
        <v>6.1</v>
      </c>
      <c r="K59" s="5" t="s">
        <v>4</v>
      </c>
      <c r="L59" s="5" t="s">
        <v>4</v>
      </c>
      <c r="M59" s="5" t="s">
        <v>4</v>
      </c>
      <c r="N59" s="6"/>
      <c r="O59" s="6"/>
      <c r="P59" s="6"/>
    </row>
    <row r="60" spans="1:16" ht="16" x14ac:dyDescent="0.2">
      <c r="A60" s="4">
        <v>45831</v>
      </c>
      <c r="B60" s="19">
        <v>25174</v>
      </c>
      <c r="C60" s="5" t="s">
        <v>20</v>
      </c>
      <c r="D60" s="5">
        <v>19</v>
      </c>
      <c r="E60" s="5" t="s">
        <v>2</v>
      </c>
      <c r="F60" s="5" t="s">
        <v>5</v>
      </c>
      <c r="G60" s="5">
        <v>1.35</v>
      </c>
      <c r="H60" s="5">
        <v>37.299999999999997</v>
      </c>
      <c r="I60" s="5">
        <v>10.3</v>
      </c>
      <c r="J60" s="5">
        <v>6</v>
      </c>
      <c r="K60" s="5" t="s">
        <v>4</v>
      </c>
      <c r="L60" s="5" t="s">
        <v>4</v>
      </c>
      <c r="M60" s="5" t="s">
        <v>4</v>
      </c>
      <c r="N60" s="5" t="s">
        <v>223</v>
      </c>
      <c r="O60" s="6"/>
      <c r="P60" s="6"/>
    </row>
    <row r="61" spans="1:16" ht="16" x14ac:dyDescent="0.2">
      <c r="A61" s="4">
        <v>45831</v>
      </c>
      <c r="B61" s="19">
        <v>25174</v>
      </c>
      <c r="C61" s="5" t="s">
        <v>20</v>
      </c>
      <c r="D61" s="5">
        <v>20</v>
      </c>
      <c r="E61" s="5" t="s">
        <v>2</v>
      </c>
      <c r="F61" s="5" t="s">
        <v>6</v>
      </c>
      <c r="G61" s="5">
        <v>0.2</v>
      </c>
      <c r="H61" s="5">
        <v>20.7</v>
      </c>
      <c r="I61" s="5" t="s">
        <v>8</v>
      </c>
      <c r="J61" s="5" t="s">
        <v>8</v>
      </c>
      <c r="K61" s="5" t="s">
        <v>4</v>
      </c>
      <c r="L61" s="5" t="s">
        <v>9</v>
      </c>
      <c r="M61" s="5" t="s">
        <v>9</v>
      </c>
      <c r="N61" s="6"/>
      <c r="O61" s="6"/>
      <c r="P61" s="6"/>
    </row>
    <row r="62" spans="1:16" ht="16" x14ac:dyDescent="0.2">
      <c r="A62" s="4">
        <v>45831</v>
      </c>
      <c r="B62" s="19">
        <v>25174</v>
      </c>
      <c r="C62" s="5" t="s">
        <v>20</v>
      </c>
      <c r="D62" s="5">
        <v>21</v>
      </c>
      <c r="E62" s="5" t="s">
        <v>2</v>
      </c>
      <c r="F62" s="5" t="s">
        <v>5</v>
      </c>
      <c r="G62" s="5">
        <v>0.7</v>
      </c>
      <c r="H62" s="5">
        <v>34.85</v>
      </c>
      <c r="I62" s="5">
        <v>9.4</v>
      </c>
      <c r="J62" s="5">
        <v>5.0999999999999996</v>
      </c>
      <c r="K62" s="5" t="s">
        <v>4</v>
      </c>
      <c r="L62" s="5" t="s">
        <v>4</v>
      </c>
      <c r="M62" s="5" t="s">
        <v>4</v>
      </c>
      <c r="N62" s="5" t="s">
        <v>224</v>
      </c>
      <c r="O62" s="6"/>
      <c r="P62" s="6"/>
    </row>
    <row r="63" spans="1:16" ht="16" x14ac:dyDescent="0.2">
      <c r="A63" s="4">
        <v>45831</v>
      </c>
      <c r="B63" s="19">
        <v>25174</v>
      </c>
      <c r="C63" s="5" t="s">
        <v>20</v>
      </c>
      <c r="D63" s="5">
        <v>22</v>
      </c>
      <c r="E63" s="5" t="s">
        <v>2</v>
      </c>
      <c r="F63" s="5" t="s">
        <v>3</v>
      </c>
      <c r="G63" s="5">
        <v>0.85</v>
      </c>
      <c r="H63" s="5">
        <v>35.85</v>
      </c>
      <c r="I63" s="5">
        <v>8.6</v>
      </c>
      <c r="J63" s="5">
        <v>5.0999999999999996</v>
      </c>
      <c r="K63" s="5" t="s">
        <v>4</v>
      </c>
      <c r="L63" s="5" t="s">
        <v>4</v>
      </c>
      <c r="M63" s="5" t="s">
        <v>4</v>
      </c>
      <c r="N63" s="6"/>
      <c r="O63" s="6"/>
      <c r="P63" s="6"/>
    </row>
    <row r="64" spans="1:16" ht="16" x14ac:dyDescent="0.2">
      <c r="A64" s="4">
        <v>45831</v>
      </c>
      <c r="B64" s="19">
        <v>25174</v>
      </c>
      <c r="C64" s="5" t="s">
        <v>20</v>
      </c>
      <c r="D64" s="5">
        <v>23</v>
      </c>
      <c r="E64" s="5" t="s">
        <v>2</v>
      </c>
      <c r="F64" s="5" t="s">
        <v>6</v>
      </c>
      <c r="G64" s="5">
        <v>0.15</v>
      </c>
      <c r="H64" s="5">
        <v>23</v>
      </c>
      <c r="I64" s="5" t="s">
        <v>8</v>
      </c>
      <c r="J64" s="5" t="s">
        <v>8</v>
      </c>
      <c r="K64" s="5" t="s">
        <v>4</v>
      </c>
      <c r="L64" s="5" t="s">
        <v>9</v>
      </c>
      <c r="M64" s="5" t="s">
        <v>9</v>
      </c>
      <c r="N64" s="6"/>
      <c r="O64" s="6"/>
      <c r="P64" s="6"/>
    </row>
    <row r="65" spans="1:16" ht="16" x14ac:dyDescent="0.2">
      <c r="A65" s="4">
        <v>45831</v>
      </c>
      <c r="B65" s="19">
        <v>25174</v>
      </c>
      <c r="C65" s="5" t="s">
        <v>20</v>
      </c>
      <c r="D65" s="5">
        <v>24</v>
      </c>
      <c r="E65" s="5" t="s">
        <v>2</v>
      </c>
      <c r="F65" s="5" t="s">
        <v>3</v>
      </c>
      <c r="G65" s="5">
        <v>0.65</v>
      </c>
      <c r="H65" s="5">
        <v>32.65</v>
      </c>
      <c r="I65" s="5">
        <v>8</v>
      </c>
      <c r="J65" s="5">
        <v>4.9000000000000004</v>
      </c>
      <c r="K65" s="5" t="s">
        <v>4</v>
      </c>
      <c r="L65" s="5" t="s">
        <v>4</v>
      </c>
      <c r="M65" s="5" t="s">
        <v>9</v>
      </c>
      <c r="N65" s="5" t="s">
        <v>225</v>
      </c>
      <c r="O65" s="6"/>
      <c r="P65" s="6"/>
    </row>
    <row r="66" spans="1:16" ht="16" x14ac:dyDescent="0.2">
      <c r="A66" s="4">
        <v>45832</v>
      </c>
      <c r="B66" s="19">
        <v>25175</v>
      </c>
      <c r="C66" s="12" t="s">
        <v>23</v>
      </c>
      <c r="D66" s="25">
        <v>6</v>
      </c>
      <c r="E66" s="5" t="s">
        <v>2</v>
      </c>
      <c r="F66" s="5" t="s">
        <v>6</v>
      </c>
      <c r="G66" s="5">
        <v>0.2</v>
      </c>
      <c r="H66" s="5">
        <v>23.3</v>
      </c>
      <c r="I66" s="5" t="s">
        <v>8</v>
      </c>
      <c r="J66" s="5" t="s">
        <v>8</v>
      </c>
      <c r="K66" s="5" t="s">
        <v>4</v>
      </c>
      <c r="L66" s="5" t="s">
        <v>9</v>
      </c>
      <c r="M66" s="5" t="s">
        <v>9</v>
      </c>
      <c r="N66" s="5" t="s">
        <v>215</v>
      </c>
      <c r="O66" s="6"/>
      <c r="P66" s="6"/>
    </row>
    <row r="67" spans="1:16" ht="16" x14ac:dyDescent="0.2">
      <c r="A67" s="4">
        <v>45832</v>
      </c>
      <c r="B67" s="19">
        <v>25175</v>
      </c>
      <c r="C67" s="12" t="s">
        <v>23</v>
      </c>
      <c r="D67" s="5">
        <v>7</v>
      </c>
      <c r="E67" s="5" t="s">
        <v>2</v>
      </c>
      <c r="F67" s="5" t="s">
        <v>6</v>
      </c>
      <c r="G67" s="5">
        <v>0.25</v>
      </c>
      <c r="H67" s="5">
        <v>24.55</v>
      </c>
      <c r="I67" s="5" t="s">
        <v>8</v>
      </c>
      <c r="J67" s="5" t="s">
        <v>8</v>
      </c>
      <c r="K67" s="5" t="s">
        <v>4</v>
      </c>
      <c r="L67" s="5" t="s">
        <v>9</v>
      </c>
      <c r="M67" s="5" t="s">
        <v>9</v>
      </c>
      <c r="N67" s="6"/>
      <c r="O67" s="6"/>
      <c r="P67" s="6"/>
    </row>
    <row r="68" spans="1:16" ht="16" x14ac:dyDescent="0.2">
      <c r="A68" s="4">
        <v>45832</v>
      </c>
      <c r="B68" s="19">
        <v>25175</v>
      </c>
      <c r="C68" s="12" t="s">
        <v>23</v>
      </c>
      <c r="D68" s="5">
        <v>8</v>
      </c>
      <c r="E68" s="5" t="s">
        <v>2</v>
      </c>
      <c r="F68" s="5" t="s">
        <v>6</v>
      </c>
      <c r="G68" s="5">
        <v>0.25</v>
      </c>
      <c r="H68" s="5">
        <v>23.5</v>
      </c>
      <c r="I68" s="5" t="s">
        <v>8</v>
      </c>
      <c r="J68" s="5" t="s">
        <v>8</v>
      </c>
      <c r="K68" s="5" t="s">
        <v>4</v>
      </c>
      <c r="L68" s="5" t="s">
        <v>9</v>
      </c>
      <c r="M68" s="5" t="s">
        <v>9</v>
      </c>
      <c r="N68" s="6" t="s">
        <v>514</v>
      </c>
      <c r="O68" s="6"/>
      <c r="P68" s="6"/>
    </row>
    <row r="69" spans="1:16" ht="16" x14ac:dyDescent="0.2">
      <c r="A69" s="4">
        <v>45833</v>
      </c>
      <c r="B69" s="19">
        <v>25176</v>
      </c>
      <c r="C69" s="12" t="s">
        <v>24</v>
      </c>
      <c r="D69" s="25">
        <v>6</v>
      </c>
      <c r="E69" s="5" t="s">
        <v>2</v>
      </c>
      <c r="F69" s="5" t="s">
        <v>3</v>
      </c>
      <c r="G69" s="5">
        <v>0.85</v>
      </c>
      <c r="H69" s="5">
        <v>36.75</v>
      </c>
      <c r="I69" s="5">
        <v>9.1999999999999993</v>
      </c>
      <c r="J69" s="5">
        <v>5.2</v>
      </c>
      <c r="K69" s="5" t="s">
        <v>4</v>
      </c>
      <c r="L69" s="5" t="s">
        <v>4</v>
      </c>
      <c r="M69" s="5" t="s">
        <v>4</v>
      </c>
      <c r="N69" s="6"/>
      <c r="O69" s="6"/>
      <c r="P69" s="6"/>
    </row>
    <row r="70" spans="1:16" ht="16" x14ac:dyDescent="0.2">
      <c r="A70" s="4">
        <v>45833</v>
      </c>
      <c r="B70" s="19">
        <v>25176</v>
      </c>
      <c r="C70" s="12" t="s">
        <v>24</v>
      </c>
      <c r="D70" s="5">
        <v>7</v>
      </c>
      <c r="E70" s="5" t="s">
        <v>2</v>
      </c>
      <c r="F70" s="5" t="s">
        <v>6</v>
      </c>
      <c r="G70" s="5">
        <v>0.15</v>
      </c>
      <c r="H70" s="5">
        <v>19.350000000000001</v>
      </c>
      <c r="I70" s="5" t="s">
        <v>8</v>
      </c>
      <c r="J70" s="5" t="s">
        <v>8</v>
      </c>
      <c r="K70" s="5" t="s">
        <v>4</v>
      </c>
      <c r="L70" s="5" t="s">
        <v>9</v>
      </c>
      <c r="M70" s="5" t="s">
        <v>9</v>
      </c>
      <c r="N70" s="6"/>
      <c r="O70" s="6"/>
      <c r="P70" s="6"/>
    </row>
    <row r="71" spans="1:16" ht="16" x14ac:dyDescent="0.2">
      <c r="A71" s="4">
        <v>45833</v>
      </c>
      <c r="B71" s="19">
        <v>25176</v>
      </c>
      <c r="C71" s="12" t="s">
        <v>24</v>
      </c>
      <c r="D71" s="5">
        <v>8</v>
      </c>
      <c r="E71" s="5" t="s">
        <v>2</v>
      </c>
      <c r="F71" s="5" t="s">
        <v>6</v>
      </c>
      <c r="G71" s="5">
        <v>0.15</v>
      </c>
      <c r="H71" s="5">
        <v>20.6</v>
      </c>
      <c r="I71" s="5" t="s">
        <v>8</v>
      </c>
      <c r="J71" s="5" t="s">
        <v>8</v>
      </c>
      <c r="K71" s="5" t="s">
        <v>4</v>
      </c>
      <c r="L71" s="5" t="s">
        <v>9</v>
      </c>
      <c r="M71" s="5" t="s">
        <v>9</v>
      </c>
      <c r="N71" s="6"/>
      <c r="O71" s="6"/>
      <c r="P71" s="6"/>
    </row>
    <row r="72" spans="1:16" ht="16" x14ac:dyDescent="0.2">
      <c r="A72" s="4">
        <v>45833</v>
      </c>
      <c r="B72" s="19">
        <v>25176</v>
      </c>
      <c r="C72" s="12" t="s">
        <v>24</v>
      </c>
      <c r="D72" s="5">
        <v>9</v>
      </c>
      <c r="E72" s="5" t="s">
        <v>2</v>
      </c>
      <c r="F72" s="5" t="s">
        <v>3</v>
      </c>
      <c r="G72" s="5">
        <v>0.5</v>
      </c>
      <c r="H72" s="5">
        <v>32.4</v>
      </c>
      <c r="I72" s="5">
        <v>8.1</v>
      </c>
      <c r="J72" s="5">
        <v>4.8</v>
      </c>
      <c r="K72" s="5" t="s">
        <v>4</v>
      </c>
      <c r="L72" s="5" t="s">
        <v>4</v>
      </c>
      <c r="M72" s="5" t="s">
        <v>9</v>
      </c>
      <c r="N72" s="6"/>
      <c r="O72" s="6"/>
      <c r="P72" s="6"/>
    </row>
    <row r="73" spans="1:16" ht="16" x14ac:dyDescent="0.2">
      <c r="A73" s="4">
        <v>45833</v>
      </c>
      <c r="B73" s="19">
        <v>25176</v>
      </c>
      <c r="C73" s="12" t="s">
        <v>24</v>
      </c>
      <c r="D73" s="5">
        <v>10</v>
      </c>
      <c r="E73" s="5" t="s">
        <v>2</v>
      </c>
      <c r="F73" s="5" t="s">
        <v>3</v>
      </c>
      <c r="G73" s="5">
        <v>0.5</v>
      </c>
      <c r="H73" s="5">
        <v>29.55</v>
      </c>
      <c r="I73" s="5">
        <v>7.75</v>
      </c>
      <c r="J73" s="5">
        <v>4.5</v>
      </c>
      <c r="K73" s="5" t="s">
        <v>4</v>
      </c>
      <c r="L73" s="5" t="s">
        <v>4</v>
      </c>
      <c r="M73" s="5" t="s">
        <v>9</v>
      </c>
      <c r="N73" s="6"/>
      <c r="O73" s="6"/>
      <c r="P73" s="6"/>
    </row>
    <row r="74" spans="1:16" ht="16" x14ac:dyDescent="0.2">
      <c r="A74" s="4">
        <v>45833</v>
      </c>
      <c r="B74" s="19">
        <v>25176</v>
      </c>
      <c r="C74" s="12" t="s">
        <v>24</v>
      </c>
      <c r="D74" s="5">
        <v>11</v>
      </c>
      <c r="E74" s="5" t="s">
        <v>2</v>
      </c>
      <c r="F74" s="5" t="s">
        <v>6</v>
      </c>
      <c r="G74" s="5">
        <v>0.2</v>
      </c>
      <c r="H74" s="5">
        <v>20.9</v>
      </c>
      <c r="I74" s="5" t="s">
        <v>8</v>
      </c>
      <c r="J74" s="5" t="s">
        <v>8</v>
      </c>
      <c r="K74" s="5" t="s">
        <v>4</v>
      </c>
      <c r="L74" s="5" t="s">
        <v>9</v>
      </c>
      <c r="M74" s="5" t="s">
        <v>9</v>
      </c>
      <c r="N74" s="6"/>
      <c r="O74" s="6"/>
      <c r="P74" s="6"/>
    </row>
    <row r="75" spans="1:16" ht="16" x14ac:dyDescent="0.2">
      <c r="A75" s="4">
        <v>45833</v>
      </c>
      <c r="B75" s="19">
        <v>25176</v>
      </c>
      <c r="C75" s="12" t="s">
        <v>24</v>
      </c>
      <c r="D75" s="5">
        <v>12</v>
      </c>
      <c r="E75" s="5" t="s">
        <v>2</v>
      </c>
      <c r="F75" s="5" t="s">
        <v>6</v>
      </c>
      <c r="G75" s="5">
        <v>0.15</v>
      </c>
      <c r="H75" s="5">
        <v>18</v>
      </c>
      <c r="I75" s="5" t="s">
        <v>8</v>
      </c>
      <c r="J75" s="5" t="s">
        <v>8</v>
      </c>
      <c r="K75" s="5" t="s">
        <v>4</v>
      </c>
      <c r="L75" s="5" t="s">
        <v>9</v>
      </c>
      <c r="M75" s="5" t="s">
        <v>9</v>
      </c>
      <c r="N75" s="6"/>
      <c r="O75" s="6"/>
      <c r="P75" s="6"/>
    </row>
    <row r="76" spans="1:16" ht="16" x14ac:dyDescent="0.2">
      <c r="A76" s="4">
        <v>45833</v>
      </c>
      <c r="B76" s="19">
        <v>25176</v>
      </c>
      <c r="C76" s="12" t="s">
        <v>24</v>
      </c>
      <c r="D76" s="5">
        <v>13</v>
      </c>
      <c r="E76" s="5" t="s">
        <v>2</v>
      </c>
      <c r="F76" s="5" t="s">
        <v>3</v>
      </c>
      <c r="G76" s="5">
        <v>0.4</v>
      </c>
      <c r="H76" s="5">
        <v>28.7</v>
      </c>
      <c r="I76" s="5" t="s">
        <v>8</v>
      </c>
      <c r="J76" s="5" t="s">
        <v>8</v>
      </c>
      <c r="K76" s="5" t="s">
        <v>4</v>
      </c>
      <c r="L76" s="5" t="s">
        <v>9</v>
      </c>
      <c r="M76" s="5" t="s">
        <v>9</v>
      </c>
      <c r="N76" s="6"/>
      <c r="O76" s="6"/>
      <c r="P76" s="6"/>
    </row>
    <row r="77" spans="1:16" ht="16" x14ac:dyDescent="0.2">
      <c r="A77" s="4">
        <v>45833</v>
      </c>
      <c r="B77" s="19">
        <v>25176</v>
      </c>
      <c r="C77" s="12" t="s">
        <v>24</v>
      </c>
      <c r="D77" s="5">
        <v>14</v>
      </c>
      <c r="E77" s="5" t="s">
        <v>2</v>
      </c>
      <c r="F77" s="5" t="s">
        <v>6</v>
      </c>
      <c r="G77" s="5">
        <v>0.25</v>
      </c>
      <c r="H77" s="5">
        <v>25.95</v>
      </c>
      <c r="I77" s="5" t="s">
        <v>8</v>
      </c>
      <c r="J77" s="5" t="s">
        <v>8</v>
      </c>
      <c r="K77" s="5" t="s">
        <v>4</v>
      </c>
      <c r="L77" s="5" t="s">
        <v>9</v>
      </c>
      <c r="M77" s="5" t="s">
        <v>9</v>
      </c>
      <c r="N77" s="6"/>
      <c r="O77" s="6"/>
      <c r="P77" s="6"/>
    </row>
    <row r="78" spans="1:16" ht="16" x14ac:dyDescent="0.2">
      <c r="A78" s="4">
        <v>45833</v>
      </c>
      <c r="B78" s="19">
        <v>25176</v>
      </c>
      <c r="C78" s="12" t="s">
        <v>24</v>
      </c>
      <c r="D78" s="5">
        <v>15</v>
      </c>
      <c r="E78" s="5" t="s">
        <v>2</v>
      </c>
      <c r="F78" s="5" t="s">
        <v>6</v>
      </c>
      <c r="G78" s="5">
        <v>0.25</v>
      </c>
      <c r="H78" s="5">
        <v>24.95</v>
      </c>
      <c r="I78" s="5" t="s">
        <v>8</v>
      </c>
      <c r="J78" s="5" t="s">
        <v>8</v>
      </c>
      <c r="K78" s="5" t="s">
        <v>4</v>
      </c>
      <c r="L78" s="5" t="s">
        <v>9</v>
      </c>
      <c r="M78" s="5" t="s">
        <v>9</v>
      </c>
      <c r="N78" s="6"/>
      <c r="O78" s="6"/>
      <c r="P78" s="6"/>
    </row>
    <row r="79" spans="1:16" ht="16" x14ac:dyDescent="0.2">
      <c r="A79" s="4">
        <v>45833</v>
      </c>
      <c r="B79" s="19">
        <v>25176</v>
      </c>
      <c r="C79" s="12" t="s">
        <v>24</v>
      </c>
      <c r="D79" s="5">
        <v>16</v>
      </c>
      <c r="E79" s="5" t="s">
        <v>2</v>
      </c>
      <c r="F79" s="5" t="s">
        <v>6</v>
      </c>
      <c r="G79" s="5">
        <v>0.45</v>
      </c>
      <c r="H79" s="5">
        <v>27.7</v>
      </c>
      <c r="I79" s="5" t="s">
        <v>8</v>
      </c>
      <c r="J79" s="5" t="s">
        <v>8</v>
      </c>
      <c r="K79" s="5" t="s">
        <v>4</v>
      </c>
      <c r="L79" s="5" t="s">
        <v>9</v>
      </c>
      <c r="M79" s="5" t="s">
        <v>9</v>
      </c>
      <c r="N79" s="6"/>
      <c r="O79" s="6"/>
      <c r="P79" s="6"/>
    </row>
    <row r="80" spans="1:16" ht="16" x14ac:dyDescent="0.2">
      <c r="A80" s="4">
        <v>45833</v>
      </c>
      <c r="B80" s="19">
        <v>25176</v>
      </c>
      <c r="C80" s="12" t="s">
        <v>24</v>
      </c>
      <c r="D80" s="5">
        <v>17</v>
      </c>
      <c r="E80" s="5" t="s">
        <v>2</v>
      </c>
      <c r="F80" s="5" t="s">
        <v>6</v>
      </c>
      <c r="G80" s="5">
        <v>0.15</v>
      </c>
      <c r="H80" s="5">
        <v>20.5</v>
      </c>
      <c r="I80" s="5" t="s">
        <v>8</v>
      </c>
      <c r="J80" s="5" t="s">
        <v>8</v>
      </c>
      <c r="K80" s="5" t="s">
        <v>4</v>
      </c>
      <c r="L80" s="5" t="s">
        <v>9</v>
      </c>
      <c r="M80" s="5" t="s">
        <v>9</v>
      </c>
      <c r="N80" s="6"/>
      <c r="O80" s="6"/>
      <c r="P80" s="6"/>
    </row>
    <row r="81" spans="1:16" ht="16" x14ac:dyDescent="0.2">
      <c r="A81" s="4">
        <v>45833</v>
      </c>
      <c r="B81" s="19">
        <v>25176</v>
      </c>
      <c r="C81" s="12" t="s">
        <v>24</v>
      </c>
      <c r="D81" s="5">
        <v>18</v>
      </c>
      <c r="E81" s="5" t="s">
        <v>2</v>
      </c>
      <c r="F81" s="5" t="s">
        <v>3</v>
      </c>
      <c r="G81" s="5">
        <v>0.8</v>
      </c>
      <c r="H81" s="5">
        <v>36.5</v>
      </c>
      <c r="I81" s="5">
        <v>9.4</v>
      </c>
      <c r="J81" s="5">
        <v>5.4</v>
      </c>
      <c r="K81" s="5" t="s">
        <v>4</v>
      </c>
      <c r="L81" s="5" t="s">
        <v>4</v>
      </c>
      <c r="M81" s="5" t="s">
        <v>4</v>
      </c>
      <c r="N81" s="6"/>
      <c r="O81" s="6"/>
      <c r="P81" s="6"/>
    </row>
    <row r="82" spans="1:16" ht="16" x14ac:dyDescent="0.2">
      <c r="A82" s="4">
        <v>45833</v>
      </c>
      <c r="B82" s="19">
        <v>25176</v>
      </c>
      <c r="C82" s="12" t="s">
        <v>24</v>
      </c>
      <c r="D82" s="5">
        <v>19</v>
      </c>
      <c r="E82" s="5" t="s">
        <v>2</v>
      </c>
      <c r="F82" s="5" t="s">
        <v>6</v>
      </c>
      <c r="G82" s="5">
        <v>0.1</v>
      </c>
      <c r="H82" s="5">
        <v>15.55</v>
      </c>
      <c r="I82" s="5" t="s">
        <v>8</v>
      </c>
      <c r="J82" s="5" t="s">
        <v>8</v>
      </c>
      <c r="K82" s="5" t="s">
        <v>4</v>
      </c>
      <c r="L82" s="5" t="s">
        <v>9</v>
      </c>
      <c r="M82" s="5" t="s">
        <v>9</v>
      </c>
      <c r="N82" s="6"/>
      <c r="O82" s="6"/>
      <c r="P82" s="6"/>
    </row>
    <row r="83" spans="1:16" ht="16" x14ac:dyDescent="0.2">
      <c r="A83" s="4">
        <v>45833</v>
      </c>
      <c r="B83" s="19">
        <v>25176</v>
      </c>
      <c r="C83" s="12" t="s">
        <v>24</v>
      </c>
      <c r="D83" s="5">
        <v>20</v>
      </c>
      <c r="E83" s="5" t="s">
        <v>2</v>
      </c>
      <c r="F83" s="5" t="s">
        <v>3</v>
      </c>
      <c r="G83" s="5">
        <v>0.55000000000000004</v>
      </c>
      <c r="H83" s="5">
        <v>31</v>
      </c>
      <c r="I83" s="5">
        <v>8.5500000000000007</v>
      </c>
      <c r="J83" s="5">
        <v>4.7</v>
      </c>
      <c r="K83" s="5" t="s">
        <v>4</v>
      </c>
      <c r="L83" s="5" t="s">
        <v>4</v>
      </c>
      <c r="M83" s="5" t="s">
        <v>9</v>
      </c>
      <c r="N83" s="6"/>
      <c r="O83" s="6"/>
      <c r="P83" s="6"/>
    </row>
    <row r="84" spans="1:16" ht="16" x14ac:dyDescent="0.2">
      <c r="A84" s="4">
        <v>45833</v>
      </c>
      <c r="B84" s="19">
        <v>25176</v>
      </c>
      <c r="C84" s="12" t="s">
        <v>24</v>
      </c>
      <c r="D84" s="25">
        <v>21</v>
      </c>
      <c r="E84" s="5" t="s">
        <v>2</v>
      </c>
      <c r="F84" s="5" t="s">
        <v>6</v>
      </c>
      <c r="G84" s="5">
        <v>0.2</v>
      </c>
      <c r="H84" s="5">
        <v>21.3</v>
      </c>
      <c r="I84" s="5" t="s">
        <v>8</v>
      </c>
      <c r="J84" s="5" t="s">
        <v>8</v>
      </c>
      <c r="K84" s="5" t="s">
        <v>4</v>
      </c>
      <c r="L84" s="5" t="s">
        <v>9</v>
      </c>
      <c r="M84" s="5" t="s">
        <v>9</v>
      </c>
      <c r="N84" s="6"/>
      <c r="O84" s="6"/>
      <c r="P84" s="6"/>
    </row>
    <row r="85" spans="1:16" ht="16" x14ac:dyDescent="0.2">
      <c r="A85" s="4">
        <v>45833</v>
      </c>
      <c r="B85" s="19">
        <v>25176</v>
      </c>
      <c r="C85" s="12" t="s">
        <v>24</v>
      </c>
      <c r="D85" s="5">
        <v>22</v>
      </c>
      <c r="E85" s="5" t="s">
        <v>2</v>
      </c>
      <c r="F85" s="5" t="s">
        <v>3</v>
      </c>
      <c r="G85" s="5">
        <v>0.85</v>
      </c>
      <c r="H85" s="5">
        <v>35.4</v>
      </c>
      <c r="I85" s="5">
        <v>8.4</v>
      </c>
      <c r="J85" s="5">
        <v>5.0999999999999996</v>
      </c>
      <c r="K85" s="5" t="s">
        <v>4</v>
      </c>
      <c r="L85" s="5" t="s">
        <v>4</v>
      </c>
      <c r="M85" s="5" t="s">
        <v>4</v>
      </c>
      <c r="N85" s="5" t="s">
        <v>226</v>
      </c>
      <c r="O85" s="6"/>
      <c r="P85" s="6"/>
    </row>
    <row r="86" spans="1:16" ht="16" x14ac:dyDescent="0.2">
      <c r="A86" s="4">
        <v>45833</v>
      </c>
      <c r="B86" s="19">
        <v>25176</v>
      </c>
      <c r="C86" s="12" t="s">
        <v>24</v>
      </c>
      <c r="D86" s="5">
        <v>23</v>
      </c>
      <c r="E86" s="5" t="s">
        <v>2</v>
      </c>
      <c r="F86" s="5" t="s">
        <v>5</v>
      </c>
      <c r="G86" s="5">
        <v>1.3</v>
      </c>
      <c r="H86" s="5">
        <v>41.95</v>
      </c>
      <c r="I86" s="5">
        <v>10.3</v>
      </c>
      <c r="J86" s="5">
        <v>5.7</v>
      </c>
      <c r="K86" s="5" t="s">
        <v>4</v>
      </c>
      <c r="L86" s="5" t="s">
        <v>4</v>
      </c>
      <c r="M86" s="5" t="s">
        <v>4</v>
      </c>
      <c r="N86" s="6"/>
      <c r="O86" s="6"/>
      <c r="P86" s="6"/>
    </row>
    <row r="87" spans="1:16" ht="16" x14ac:dyDescent="0.2">
      <c r="A87" s="4">
        <v>45833</v>
      </c>
      <c r="B87" s="19">
        <v>25176</v>
      </c>
      <c r="C87" s="12" t="s">
        <v>24</v>
      </c>
      <c r="D87" s="5">
        <v>24</v>
      </c>
      <c r="E87" s="5" t="s">
        <v>2</v>
      </c>
      <c r="F87" s="5" t="s">
        <v>6</v>
      </c>
      <c r="G87" s="5">
        <v>0.15</v>
      </c>
      <c r="H87" s="5">
        <v>19.75</v>
      </c>
      <c r="I87" s="5" t="s">
        <v>8</v>
      </c>
      <c r="J87" s="5" t="s">
        <v>8</v>
      </c>
      <c r="K87" s="5" t="s">
        <v>4</v>
      </c>
      <c r="L87" s="5" t="s">
        <v>9</v>
      </c>
      <c r="M87" s="5" t="s">
        <v>9</v>
      </c>
      <c r="N87" s="6"/>
      <c r="O87" s="6"/>
      <c r="P87" s="6"/>
    </row>
    <row r="88" spans="1:16" ht="16" x14ac:dyDescent="0.2">
      <c r="A88" s="4">
        <v>45834</v>
      </c>
      <c r="B88" s="19">
        <v>25177</v>
      </c>
      <c r="C88" s="5" t="s">
        <v>227</v>
      </c>
      <c r="D88" s="5">
        <v>1</v>
      </c>
      <c r="E88" s="5" t="s">
        <v>2</v>
      </c>
      <c r="F88" s="5" t="s">
        <v>3</v>
      </c>
      <c r="G88" s="5">
        <v>0.55000000000000004</v>
      </c>
      <c r="H88" s="5">
        <v>36.049999999999997</v>
      </c>
      <c r="I88" s="5">
        <v>8.9</v>
      </c>
      <c r="J88" s="5">
        <v>4.7</v>
      </c>
      <c r="K88" s="5" t="s">
        <v>4</v>
      </c>
      <c r="L88" s="5" t="s">
        <v>4</v>
      </c>
      <c r="M88" s="5" t="s">
        <v>4</v>
      </c>
      <c r="N88" s="6"/>
      <c r="O88" s="6"/>
      <c r="P88" s="6"/>
    </row>
    <row r="89" spans="1:16" ht="16" x14ac:dyDescent="0.2">
      <c r="A89" s="4">
        <v>45834</v>
      </c>
      <c r="B89" s="19">
        <v>25177</v>
      </c>
      <c r="C89" s="5" t="s">
        <v>228</v>
      </c>
      <c r="D89" s="5">
        <v>2</v>
      </c>
      <c r="E89" s="5" t="s">
        <v>2</v>
      </c>
      <c r="F89" s="5" t="s">
        <v>3</v>
      </c>
      <c r="G89" s="5">
        <v>0.55000000000000004</v>
      </c>
      <c r="H89" s="5">
        <v>31.8</v>
      </c>
      <c r="I89" s="5">
        <v>7.8</v>
      </c>
      <c r="J89" s="5">
        <v>4.45</v>
      </c>
      <c r="K89" s="5" t="s">
        <v>4</v>
      </c>
      <c r="L89" s="5" t="s">
        <v>4</v>
      </c>
      <c r="M89" s="5" t="s">
        <v>9</v>
      </c>
      <c r="N89" s="6"/>
      <c r="O89" s="6"/>
      <c r="P89" s="6"/>
    </row>
    <row r="90" spans="1:16" ht="16" x14ac:dyDescent="0.2">
      <c r="A90" s="4">
        <v>45838</v>
      </c>
      <c r="B90" s="19">
        <v>25181</v>
      </c>
      <c r="C90" s="5" t="s">
        <v>269</v>
      </c>
      <c r="D90" s="5">
        <v>1</v>
      </c>
      <c r="E90" s="5" t="s">
        <v>2</v>
      </c>
      <c r="F90" s="5" t="s">
        <v>5</v>
      </c>
      <c r="G90" s="5">
        <v>0.4</v>
      </c>
      <c r="H90" s="5">
        <v>33</v>
      </c>
      <c r="I90" s="5">
        <v>8.4</v>
      </c>
      <c r="J90" s="5">
        <v>4.0999999999999996</v>
      </c>
      <c r="K90" s="5" t="s">
        <v>4</v>
      </c>
      <c r="L90" s="5" t="s">
        <v>4</v>
      </c>
      <c r="M90" s="5" t="s">
        <v>9</v>
      </c>
      <c r="N90" s="5" t="s">
        <v>229</v>
      </c>
      <c r="O90" s="6"/>
      <c r="P90" s="6"/>
    </row>
    <row r="91" spans="1:16" ht="16" x14ac:dyDescent="0.2">
      <c r="A91" s="4">
        <v>45838</v>
      </c>
      <c r="B91" s="19">
        <v>25181</v>
      </c>
      <c r="C91" s="5" t="s">
        <v>269</v>
      </c>
      <c r="D91" s="5">
        <v>2</v>
      </c>
      <c r="E91" s="5" t="s">
        <v>2</v>
      </c>
      <c r="F91" s="5" t="s">
        <v>6</v>
      </c>
      <c r="G91" s="5">
        <v>0.2</v>
      </c>
      <c r="H91" s="5">
        <v>24</v>
      </c>
      <c r="I91" s="5" t="s">
        <v>8</v>
      </c>
      <c r="J91" s="5" t="s">
        <v>8</v>
      </c>
      <c r="K91" s="5" t="s">
        <v>4</v>
      </c>
      <c r="L91" s="5" t="s">
        <v>9</v>
      </c>
      <c r="M91" s="5" t="s">
        <v>9</v>
      </c>
      <c r="N91" s="6"/>
      <c r="O91" s="6"/>
      <c r="P91" s="6"/>
    </row>
    <row r="92" spans="1:16" ht="16" x14ac:dyDescent="0.2">
      <c r="A92" s="4">
        <v>45838</v>
      </c>
      <c r="B92" s="19">
        <v>25181</v>
      </c>
      <c r="C92" s="5" t="s">
        <v>269</v>
      </c>
      <c r="D92" s="5">
        <v>3</v>
      </c>
      <c r="E92" s="5" t="s">
        <v>2</v>
      </c>
      <c r="F92" s="5" t="s">
        <v>3</v>
      </c>
      <c r="G92" s="5">
        <v>0.4</v>
      </c>
      <c r="H92" s="5">
        <v>29.5</v>
      </c>
      <c r="I92" s="5" t="s">
        <v>8</v>
      </c>
      <c r="J92" s="5" t="s">
        <v>8</v>
      </c>
      <c r="K92" s="5" t="s">
        <v>4</v>
      </c>
      <c r="L92" s="5" t="s">
        <v>9</v>
      </c>
      <c r="M92" s="5" t="s">
        <v>9</v>
      </c>
      <c r="N92" s="6"/>
      <c r="O92" s="6"/>
      <c r="P92" s="6"/>
    </row>
    <row r="93" spans="1:16" ht="16" x14ac:dyDescent="0.2">
      <c r="A93" s="4">
        <v>45838</v>
      </c>
      <c r="B93" s="19">
        <v>25181</v>
      </c>
      <c r="C93" s="5" t="s">
        <v>269</v>
      </c>
      <c r="D93" s="5">
        <v>4</v>
      </c>
      <c r="E93" s="5" t="s">
        <v>2</v>
      </c>
      <c r="F93" s="5" t="s">
        <v>6</v>
      </c>
      <c r="G93" s="5">
        <v>0.25</v>
      </c>
      <c r="H93" s="5">
        <v>22.9</v>
      </c>
      <c r="I93" s="5" t="s">
        <v>8</v>
      </c>
      <c r="J93" s="5" t="s">
        <v>8</v>
      </c>
      <c r="K93" s="5" t="s">
        <v>4</v>
      </c>
      <c r="L93" s="5" t="s">
        <v>9</v>
      </c>
      <c r="M93" s="5" t="s">
        <v>9</v>
      </c>
      <c r="N93" s="6"/>
      <c r="O93" s="6"/>
      <c r="P93" s="6"/>
    </row>
    <row r="94" spans="1:16" ht="16" x14ac:dyDescent="0.2">
      <c r="A94" s="4">
        <v>45838</v>
      </c>
      <c r="B94" s="19">
        <v>25181</v>
      </c>
      <c r="C94" s="5" t="s">
        <v>269</v>
      </c>
      <c r="D94" s="5">
        <v>5</v>
      </c>
      <c r="E94" s="5" t="s">
        <v>2</v>
      </c>
      <c r="F94" s="5" t="s">
        <v>3</v>
      </c>
      <c r="G94" s="5">
        <v>0.7</v>
      </c>
      <c r="H94" s="5">
        <v>37.4</v>
      </c>
      <c r="I94" s="5">
        <v>9.25</v>
      </c>
      <c r="J94" s="5">
        <v>5.15</v>
      </c>
      <c r="K94" s="5" t="s">
        <v>4</v>
      </c>
      <c r="L94" s="5" t="s">
        <v>4</v>
      </c>
      <c r="M94" s="5" t="s">
        <v>4</v>
      </c>
      <c r="N94" s="6"/>
      <c r="O94" s="6"/>
      <c r="P94" s="6"/>
    </row>
    <row r="95" spans="1:16" ht="16" x14ac:dyDescent="0.2">
      <c r="A95" s="4">
        <v>45838</v>
      </c>
      <c r="B95" s="19">
        <v>25181</v>
      </c>
      <c r="C95" s="5" t="s">
        <v>269</v>
      </c>
      <c r="D95" s="5">
        <v>6</v>
      </c>
      <c r="E95" s="5" t="s">
        <v>2</v>
      </c>
      <c r="F95" s="5" t="s">
        <v>6</v>
      </c>
      <c r="G95" s="5">
        <v>0.2</v>
      </c>
      <c r="H95" s="5">
        <v>23.1</v>
      </c>
      <c r="I95" s="5" t="s">
        <v>8</v>
      </c>
      <c r="J95" s="5" t="s">
        <v>8</v>
      </c>
      <c r="K95" s="5" t="s">
        <v>4</v>
      </c>
      <c r="L95" s="5" t="s">
        <v>9</v>
      </c>
      <c r="M95" s="5" t="s">
        <v>9</v>
      </c>
      <c r="N95" s="6"/>
      <c r="O95" s="6"/>
      <c r="P95" s="6"/>
    </row>
    <row r="96" spans="1:16" ht="16" x14ac:dyDescent="0.2">
      <c r="A96" s="4">
        <v>45838</v>
      </c>
      <c r="B96" s="19">
        <v>25181</v>
      </c>
      <c r="C96" s="5" t="s">
        <v>269</v>
      </c>
      <c r="D96" s="5">
        <v>7</v>
      </c>
      <c r="E96" s="5" t="s">
        <v>2</v>
      </c>
      <c r="F96" s="5" t="s">
        <v>6</v>
      </c>
      <c r="G96" s="5">
        <v>0.1</v>
      </c>
      <c r="H96" s="5">
        <v>24</v>
      </c>
      <c r="I96" s="5" t="s">
        <v>8</v>
      </c>
      <c r="J96" s="5" t="s">
        <v>8</v>
      </c>
      <c r="K96" s="5" t="s">
        <v>4</v>
      </c>
      <c r="L96" s="5" t="s">
        <v>9</v>
      </c>
      <c r="M96" s="5" t="s">
        <v>9</v>
      </c>
      <c r="N96" s="5" t="s">
        <v>230</v>
      </c>
      <c r="O96" s="6"/>
      <c r="P96" s="6"/>
    </row>
    <row r="97" spans="1:16" ht="16" x14ac:dyDescent="0.2">
      <c r="A97" s="4">
        <v>45838</v>
      </c>
      <c r="B97" s="19">
        <v>25181</v>
      </c>
      <c r="C97" s="5" t="s">
        <v>269</v>
      </c>
      <c r="D97" s="5">
        <v>8</v>
      </c>
      <c r="E97" s="5" t="s">
        <v>2</v>
      </c>
      <c r="F97" s="5" t="s">
        <v>3</v>
      </c>
      <c r="G97" s="5">
        <v>0.45</v>
      </c>
      <c r="H97" s="5">
        <v>36</v>
      </c>
      <c r="I97" s="5">
        <v>9.15</v>
      </c>
      <c r="J97" s="5">
        <v>5.2</v>
      </c>
      <c r="K97" s="5" t="s">
        <v>4</v>
      </c>
      <c r="L97" s="5" t="s">
        <v>4</v>
      </c>
      <c r="M97" s="5" t="s">
        <v>4</v>
      </c>
      <c r="N97" s="5" t="s">
        <v>231</v>
      </c>
      <c r="O97" s="6"/>
      <c r="P97" s="6"/>
    </row>
    <row r="98" spans="1:16" ht="16" x14ac:dyDescent="0.2">
      <c r="A98" s="4">
        <v>45838</v>
      </c>
      <c r="B98" s="19">
        <v>25181</v>
      </c>
      <c r="C98" s="5" t="s">
        <v>269</v>
      </c>
      <c r="D98" s="5">
        <v>9</v>
      </c>
      <c r="E98" s="5" t="s">
        <v>2</v>
      </c>
      <c r="F98" s="5" t="s">
        <v>5</v>
      </c>
      <c r="G98" s="5">
        <v>1.2</v>
      </c>
      <c r="H98" s="5">
        <v>41.7</v>
      </c>
      <c r="I98" s="5">
        <v>9.5500000000000007</v>
      </c>
      <c r="J98" s="5">
        <v>5.6</v>
      </c>
      <c r="K98" s="5" t="s">
        <v>4</v>
      </c>
      <c r="L98" s="5" t="s">
        <v>4</v>
      </c>
      <c r="M98" s="5" t="s">
        <v>4</v>
      </c>
      <c r="N98" s="5" t="s">
        <v>232</v>
      </c>
      <c r="O98" s="6"/>
      <c r="P98" s="6"/>
    </row>
    <row r="99" spans="1:16" ht="16" x14ac:dyDescent="0.2">
      <c r="A99" s="4">
        <v>45838</v>
      </c>
      <c r="B99" s="19">
        <v>25181</v>
      </c>
      <c r="C99" s="5" t="s">
        <v>269</v>
      </c>
      <c r="D99" s="5">
        <v>10</v>
      </c>
      <c r="E99" s="5" t="s">
        <v>2</v>
      </c>
      <c r="F99" s="5" t="s">
        <v>3</v>
      </c>
      <c r="G99" s="5">
        <v>0.35</v>
      </c>
      <c r="H99" s="5">
        <v>28.5</v>
      </c>
      <c r="I99" s="5" t="s">
        <v>8</v>
      </c>
      <c r="J99" s="5" t="s">
        <v>8</v>
      </c>
      <c r="K99" s="5" t="s">
        <v>4</v>
      </c>
      <c r="L99" s="5" t="s">
        <v>9</v>
      </c>
      <c r="M99" s="5" t="s">
        <v>9</v>
      </c>
      <c r="N99" s="6"/>
      <c r="O99" s="6"/>
      <c r="P99" s="6"/>
    </row>
    <row r="100" spans="1:16" ht="16" x14ac:dyDescent="0.2">
      <c r="A100" s="4">
        <v>45838</v>
      </c>
      <c r="B100" s="19">
        <v>25181</v>
      </c>
      <c r="C100" s="5" t="s">
        <v>269</v>
      </c>
      <c r="D100" s="5">
        <v>11</v>
      </c>
      <c r="E100" s="5" t="s">
        <v>2</v>
      </c>
      <c r="F100" s="5" t="s">
        <v>6</v>
      </c>
      <c r="G100" s="5">
        <v>0.25</v>
      </c>
      <c r="H100" s="5">
        <v>27.4</v>
      </c>
      <c r="I100" s="5" t="s">
        <v>8</v>
      </c>
      <c r="J100" s="5" t="s">
        <v>8</v>
      </c>
      <c r="K100" s="5" t="s">
        <v>4</v>
      </c>
      <c r="L100" s="5" t="s">
        <v>9</v>
      </c>
      <c r="M100" s="5" t="s">
        <v>9</v>
      </c>
      <c r="N100" s="6"/>
      <c r="O100" s="6"/>
      <c r="P100" s="6"/>
    </row>
    <row r="101" spans="1:16" ht="16" x14ac:dyDescent="0.2">
      <c r="A101" s="4">
        <v>45838</v>
      </c>
      <c r="B101" s="19">
        <v>25181</v>
      </c>
      <c r="C101" s="5" t="s">
        <v>269</v>
      </c>
      <c r="D101" s="5">
        <v>12</v>
      </c>
      <c r="E101" s="5" t="s">
        <v>2</v>
      </c>
      <c r="F101" s="5" t="s">
        <v>3</v>
      </c>
      <c r="G101" s="5">
        <v>0.8</v>
      </c>
      <c r="H101" s="5">
        <v>36.049999999999997</v>
      </c>
      <c r="I101" s="5">
        <v>8.9499999999999993</v>
      </c>
      <c r="J101" s="5">
        <v>5</v>
      </c>
      <c r="K101" s="5" t="s">
        <v>4</v>
      </c>
      <c r="L101" s="5" t="s">
        <v>4</v>
      </c>
      <c r="M101" s="5" t="s">
        <v>4</v>
      </c>
      <c r="N101" s="6"/>
      <c r="O101" s="6"/>
      <c r="P101" s="6"/>
    </row>
    <row r="102" spans="1:16" ht="16" x14ac:dyDescent="0.2">
      <c r="A102" s="4">
        <v>45838</v>
      </c>
      <c r="B102" s="19">
        <v>25181</v>
      </c>
      <c r="C102" s="5" t="s">
        <v>269</v>
      </c>
      <c r="D102" s="5">
        <v>13</v>
      </c>
      <c r="E102" s="5" t="s">
        <v>2</v>
      </c>
      <c r="F102" s="5" t="s">
        <v>6</v>
      </c>
      <c r="G102" s="5">
        <v>0.2</v>
      </c>
      <c r="H102" s="5">
        <v>23.6</v>
      </c>
      <c r="I102" s="5" t="s">
        <v>8</v>
      </c>
      <c r="J102" s="5" t="s">
        <v>8</v>
      </c>
      <c r="K102" s="5" t="s">
        <v>4</v>
      </c>
      <c r="L102" s="5" t="s">
        <v>9</v>
      </c>
      <c r="M102" s="5" t="s">
        <v>9</v>
      </c>
      <c r="N102" s="6"/>
      <c r="O102" s="6"/>
      <c r="P102" s="6"/>
    </row>
    <row r="103" spans="1:16" ht="16" x14ac:dyDescent="0.2">
      <c r="A103" s="4">
        <v>45838</v>
      </c>
      <c r="B103" s="19">
        <v>25181</v>
      </c>
      <c r="C103" s="5" t="s">
        <v>269</v>
      </c>
      <c r="D103" s="5">
        <v>14</v>
      </c>
      <c r="E103" s="5" t="s">
        <v>233</v>
      </c>
      <c r="F103" s="5" t="s">
        <v>6</v>
      </c>
      <c r="G103" s="5">
        <v>0.15</v>
      </c>
      <c r="H103" s="5">
        <v>21.05</v>
      </c>
      <c r="I103" s="5" t="s">
        <v>8</v>
      </c>
      <c r="J103" s="5" t="s">
        <v>8</v>
      </c>
      <c r="K103" s="5" t="s">
        <v>4</v>
      </c>
      <c r="L103" s="5" t="s">
        <v>9</v>
      </c>
      <c r="M103" s="5" t="s">
        <v>9</v>
      </c>
      <c r="N103" s="5" t="s">
        <v>234</v>
      </c>
      <c r="O103" s="6"/>
      <c r="P103" s="6"/>
    </row>
    <row r="104" spans="1:16" ht="16" x14ac:dyDescent="0.2">
      <c r="A104" s="4">
        <v>45838</v>
      </c>
      <c r="B104" s="19">
        <v>25181</v>
      </c>
      <c r="C104" s="5" t="s">
        <v>269</v>
      </c>
      <c r="D104" s="5">
        <v>15</v>
      </c>
      <c r="E104" s="5" t="s">
        <v>2</v>
      </c>
      <c r="F104" s="5" t="s">
        <v>6</v>
      </c>
      <c r="G104" s="5">
        <v>0.25</v>
      </c>
      <c r="H104" s="5">
        <v>27.35</v>
      </c>
      <c r="I104" s="5" t="s">
        <v>8</v>
      </c>
      <c r="J104" s="5" t="s">
        <v>8</v>
      </c>
      <c r="K104" s="5" t="s">
        <v>4</v>
      </c>
      <c r="L104" s="5" t="s">
        <v>9</v>
      </c>
      <c r="M104" s="5" t="s">
        <v>9</v>
      </c>
      <c r="N104" s="6"/>
      <c r="O104" s="6"/>
      <c r="P104" s="6"/>
    </row>
    <row r="105" spans="1:16" ht="16" x14ac:dyDescent="0.2">
      <c r="A105" s="4">
        <v>45838</v>
      </c>
      <c r="B105" s="19">
        <v>25181</v>
      </c>
      <c r="C105" s="5" t="s">
        <v>269</v>
      </c>
      <c r="D105" s="5">
        <v>16</v>
      </c>
      <c r="E105" s="5" t="s">
        <v>2</v>
      </c>
      <c r="F105" s="5" t="s">
        <v>5</v>
      </c>
      <c r="G105" s="5">
        <v>0.65</v>
      </c>
      <c r="H105" s="5">
        <v>35.85</v>
      </c>
      <c r="I105" s="5">
        <v>8.9</v>
      </c>
      <c r="J105" s="5">
        <v>4.8499999999999996</v>
      </c>
      <c r="K105" s="5" t="s">
        <v>4</v>
      </c>
      <c r="L105" s="5" t="s">
        <v>4</v>
      </c>
      <c r="M105" s="5" t="s">
        <v>4</v>
      </c>
      <c r="N105" s="6"/>
      <c r="O105" s="6"/>
      <c r="P105" s="6"/>
    </row>
    <row r="106" spans="1:16" ht="16" x14ac:dyDescent="0.2">
      <c r="A106" s="4">
        <v>45838</v>
      </c>
      <c r="B106" s="19">
        <v>25181</v>
      </c>
      <c r="C106" s="5" t="s">
        <v>269</v>
      </c>
      <c r="D106" s="5">
        <v>17</v>
      </c>
      <c r="E106" s="5" t="s">
        <v>2</v>
      </c>
      <c r="F106" s="5" t="s">
        <v>3</v>
      </c>
      <c r="G106" s="5">
        <v>0.65</v>
      </c>
      <c r="H106" s="5">
        <v>31.8</v>
      </c>
      <c r="I106" s="5">
        <v>8.8000000000000007</v>
      </c>
      <c r="J106" s="5">
        <v>4.9000000000000004</v>
      </c>
      <c r="K106" s="5" t="s">
        <v>4</v>
      </c>
      <c r="L106" s="5" t="s">
        <v>4</v>
      </c>
      <c r="M106" s="5" t="s">
        <v>4</v>
      </c>
      <c r="N106" s="6"/>
      <c r="O106" s="6"/>
      <c r="P106" s="6"/>
    </row>
    <row r="107" spans="1:16" ht="16" x14ac:dyDescent="0.2">
      <c r="A107" s="4">
        <v>45838</v>
      </c>
      <c r="B107" s="19">
        <v>25181</v>
      </c>
      <c r="C107" s="5" t="s">
        <v>269</v>
      </c>
      <c r="D107" s="5">
        <v>18</v>
      </c>
      <c r="E107" s="5" t="s">
        <v>2</v>
      </c>
      <c r="F107" s="5" t="s">
        <v>3</v>
      </c>
      <c r="G107" s="5">
        <v>0.5</v>
      </c>
      <c r="H107" s="5">
        <v>30.8</v>
      </c>
      <c r="I107" s="5">
        <v>8.1999999999999993</v>
      </c>
      <c r="J107" s="5">
        <v>4.7</v>
      </c>
      <c r="K107" s="5" t="s">
        <v>4</v>
      </c>
      <c r="L107" s="5" t="s">
        <v>4</v>
      </c>
      <c r="M107" s="5" t="s">
        <v>9</v>
      </c>
      <c r="N107" s="6"/>
      <c r="O107" s="6"/>
      <c r="P107" s="6"/>
    </row>
    <row r="108" spans="1:16" ht="16" x14ac:dyDescent="0.2">
      <c r="A108" s="4">
        <v>45838</v>
      </c>
      <c r="B108" s="19">
        <v>25181</v>
      </c>
      <c r="C108" s="5" t="s">
        <v>269</v>
      </c>
      <c r="D108" s="5">
        <v>19</v>
      </c>
      <c r="E108" s="5" t="s">
        <v>2</v>
      </c>
      <c r="F108" s="5" t="s">
        <v>5</v>
      </c>
      <c r="G108" s="5">
        <v>0.75</v>
      </c>
      <c r="H108" s="5">
        <v>35.450000000000003</v>
      </c>
      <c r="I108" s="5">
        <v>8.85</v>
      </c>
      <c r="J108" s="5">
        <v>5.0999999999999996</v>
      </c>
      <c r="K108" s="5" t="s">
        <v>4</v>
      </c>
      <c r="L108" s="5" t="s">
        <v>4</v>
      </c>
      <c r="M108" s="5" t="s">
        <v>4</v>
      </c>
      <c r="N108" s="6"/>
      <c r="O108" s="6"/>
      <c r="P108" s="6"/>
    </row>
    <row r="109" spans="1:16" ht="16" x14ac:dyDescent="0.2">
      <c r="A109" s="4">
        <v>45838</v>
      </c>
      <c r="B109" s="19">
        <v>25181</v>
      </c>
      <c r="C109" s="5" t="s">
        <v>269</v>
      </c>
      <c r="D109" s="5">
        <v>20</v>
      </c>
      <c r="E109" s="5" t="s">
        <v>2</v>
      </c>
      <c r="F109" s="5" t="s">
        <v>6</v>
      </c>
      <c r="G109" s="5">
        <v>0.25</v>
      </c>
      <c r="H109" s="5">
        <v>25.4</v>
      </c>
      <c r="I109" s="5" t="s">
        <v>8</v>
      </c>
      <c r="J109" s="5" t="s">
        <v>8</v>
      </c>
      <c r="K109" s="5" t="s">
        <v>4</v>
      </c>
      <c r="L109" s="5" t="s">
        <v>9</v>
      </c>
      <c r="M109" s="5" t="s">
        <v>9</v>
      </c>
      <c r="N109" s="6"/>
      <c r="O109" s="6"/>
      <c r="P109" s="6"/>
    </row>
    <row r="110" spans="1:16" ht="16" x14ac:dyDescent="0.2">
      <c r="A110" s="4">
        <v>45838</v>
      </c>
      <c r="B110" s="19">
        <v>25181</v>
      </c>
      <c r="C110" s="5" t="s">
        <v>269</v>
      </c>
      <c r="D110" s="5">
        <v>21</v>
      </c>
      <c r="E110" s="5" t="s">
        <v>2</v>
      </c>
      <c r="F110" s="5" t="s">
        <v>3</v>
      </c>
      <c r="G110" s="5">
        <v>0.5</v>
      </c>
      <c r="H110" s="5">
        <v>33.6</v>
      </c>
      <c r="I110" s="5">
        <v>8.4</v>
      </c>
      <c r="J110" s="5">
        <v>4.8</v>
      </c>
      <c r="K110" s="5" t="s">
        <v>4</v>
      </c>
      <c r="L110" s="5" t="s">
        <v>4</v>
      </c>
      <c r="M110" s="5" t="s">
        <v>4</v>
      </c>
      <c r="N110" s="6"/>
      <c r="O110" s="6"/>
      <c r="P110" s="6"/>
    </row>
    <row r="111" spans="1:16" ht="16" x14ac:dyDescent="0.2">
      <c r="A111" s="4">
        <v>45838</v>
      </c>
      <c r="B111" s="19">
        <v>25181</v>
      </c>
      <c r="C111" s="5" t="s">
        <v>269</v>
      </c>
      <c r="D111" s="5">
        <v>22</v>
      </c>
      <c r="E111" s="5" t="s">
        <v>2</v>
      </c>
      <c r="F111" s="5" t="s">
        <v>5</v>
      </c>
      <c r="G111" s="5">
        <v>0.95</v>
      </c>
      <c r="H111" s="5">
        <v>39.799999999999997</v>
      </c>
      <c r="I111" s="5">
        <v>10</v>
      </c>
      <c r="J111" s="5">
        <v>5.85</v>
      </c>
      <c r="K111" s="5" t="s">
        <v>4</v>
      </c>
      <c r="L111" s="5" t="s">
        <v>4</v>
      </c>
      <c r="M111" s="5" t="s">
        <v>4</v>
      </c>
      <c r="N111" s="5" t="s">
        <v>232</v>
      </c>
      <c r="O111" s="6"/>
      <c r="P111" s="6"/>
    </row>
    <row r="112" spans="1:16" ht="16" x14ac:dyDescent="0.2">
      <c r="A112" s="4">
        <v>45838</v>
      </c>
      <c r="B112" s="19">
        <v>25181</v>
      </c>
      <c r="C112" s="5" t="s">
        <v>269</v>
      </c>
      <c r="D112" s="5">
        <v>23</v>
      </c>
      <c r="E112" s="5" t="s">
        <v>2</v>
      </c>
      <c r="F112" s="5" t="s">
        <v>3</v>
      </c>
      <c r="G112" s="5">
        <v>0.65</v>
      </c>
      <c r="H112" s="5">
        <v>35.1</v>
      </c>
      <c r="I112" s="5">
        <v>8.4499999999999993</v>
      </c>
      <c r="J112" s="5">
        <v>4.4000000000000004</v>
      </c>
      <c r="K112" s="5" t="s">
        <v>4</v>
      </c>
      <c r="L112" s="5" t="s">
        <v>4</v>
      </c>
      <c r="M112" s="5" t="s">
        <v>4</v>
      </c>
      <c r="N112" s="6"/>
      <c r="O112" s="6"/>
      <c r="P112" s="6"/>
    </row>
    <row r="113" spans="1:16" ht="16" x14ac:dyDescent="0.2">
      <c r="A113" s="4">
        <v>45838</v>
      </c>
      <c r="B113" s="19">
        <v>25181</v>
      </c>
      <c r="C113" s="5" t="s">
        <v>269</v>
      </c>
      <c r="D113" s="5">
        <v>24</v>
      </c>
      <c r="E113" s="5" t="s">
        <v>2</v>
      </c>
      <c r="F113" s="5" t="s">
        <v>3</v>
      </c>
      <c r="G113" s="5">
        <v>0.5</v>
      </c>
      <c r="H113" s="5">
        <v>31.95</v>
      </c>
      <c r="I113" s="5">
        <v>7.7</v>
      </c>
      <c r="J113" s="5">
        <v>4.5999999999999996</v>
      </c>
      <c r="K113" s="5" t="s">
        <v>4</v>
      </c>
      <c r="L113" s="5" t="s">
        <v>4</v>
      </c>
      <c r="M113" s="5" t="s">
        <v>4</v>
      </c>
      <c r="N113" s="6"/>
      <c r="O113" s="6"/>
      <c r="P113" s="6"/>
    </row>
    <row r="114" spans="1:16" ht="16" x14ac:dyDescent="0.2">
      <c r="A114" s="4">
        <v>45839</v>
      </c>
      <c r="B114" s="19">
        <v>25182</v>
      </c>
      <c r="C114" s="5" t="s">
        <v>46</v>
      </c>
      <c r="D114" s="5">
        <v>1</v>
      </c>
      <c r="E114" s="5" t="s">
        <v>2</v>
      </c>
      <c r="F114" s="5" t="s">
        <v>3</v>
      </c>
      <c r="G114" s="5">
        <v>1.1499999999999999</v>
      </c>
      <c r="H114" s="5">
        <v>38.15</v>
      </c>
      <c r="I114" s="5">
        <v>9.5</v>
      </c>
      <c r="J114" s="5">
        <v>5.5</v>
      </c>
      <c r="K114" s="5" t="s">
        <v>4</v>
      </c>
      <c r="L114" s="5" t="s">
        <v>4</v>
      </c>
      <c r="M114" s="5" t="s">
        <v>4</v>
      </c>
      <c r="N114" s="6"/>
      <c r="O114" s="6"/>
      <c r="P114" s="6"/>
    </row>
    <row r="115" spans="1:16" ht="16" x14ac:dyDescent="0.2">
      <c r="A115" s="4">
        <v>45839</v>
      </c>
      <c r="B115" s="19">
        <v>25182</v>
      </c>
      <c r="C115" s="5" t="s">
        <v>46</v>
      </c>
      <c r="D115" s="5">
        <v>2</v>
      </c>
      <c r="E115" s="5" t="s">
        <v>2</v>
      </c>
      <c r="F115" s="5" t="s">
        <v>6</v>
      </c>
      <c r="G115" s="5" t="s">
        <v>8</v>
      </c>
      <c r="H115" s="5" t="s">
        <v>8</v>
      </c>
      <c r="I115" s="5" t="s">
        <v>8</v>
      </c>
      <c r="J115" s="5" t="s">
        <v>8</v>
      </c>
      <c r="K115" s="5" t="s">
        <v>9</v>
      </c>
      <c r="L115" s="5" t="s">
        <v>9</v>
      </c>
      <c r="M115" s="5" t="s">
        <v>9</v>
      </c>
      <c r="N115" s="5" t="s">
        <v>235</v>
      </c>
      <c r="O115" s="6"/>
      <c r="P115" s="6"/>
    </row>
    <row r="116" spans="1:16" ht="16" x14ac:dyDescent="0.2">
      <c r="A116" s="4">
        <v>45839</v>
      </c>
      <c r="B116" s="19">
        <v>25182</v>
      </c>
      <c r="C116" s="5" t="s">
        <v>46</v>
      </c>
      <c r="D116" s="5">
        <v>3</v>
      </c>
      <c r="E116" s="5" t="s">
        <v>2</v>
      </c>
      <c r="F116" s="5" t="s">
        <v>6</v>
      </c>
      <c r="G116" s="5">
        <v>0.15</v>
      </c>
      <c r="H116" s="5">
        <v>16.3</v>
      </c>
      <c r="I116" s="5" t="s">
        <v>8</v>
      </c>
      <c r="J116" s="5" t="s">
        <v>8</v>
      </c>
      <c r="K116" s="5" t="s">
        <v>4</v>
      </c>
      <c r="L116" s="5" t="s">
        <v>9</v>
      </c>
      <c r="M116" s="5" t="s">
        <v>9</v>
      </c>
      <c r="N116" s="6"/>
      <c r="O116" s="6"/>
      <c r="P116" s="6"/>
    </row>
    <row r="117" spans="1:16" ht="16" x14ac:dyDescent="0.2">
      <c r="A117" s="4">
        <v>45840</v>
      </c>
      <c r="B117" s="19">
        <v>25183</v>
      </c>
      <c r="C117" s="5" t="s">
        <v>49</v>
      </c>
      <c r="D117" s="5">
        <v>20</v>
      </c>
      <c r="E117" s="5" t="s">
        <v>12</v>
      </c>
      <c r="F117" s="5" t="s">
        <v>5</v>
      </c>
      <c r="G117" s="5">
        <v>0.75</v>
      </c>
      <c r="H117" s="5">
        <v>35.1</v>
      </c>
      <c r="I117" s="5">
        <v>8.5</v>
      </c>
      <c r="J117" s="5">
        <v>5.0999999999999996</v>
      </c>
      <c r="K117" s="5" t="s">
        <v>4</v>
      </c>
      <c r="L117" s="5" t="s">
        <v>4</v>
      </c>
      <c r="M117" s="5" t="s">
        <v>4</v>
      </c>
      <c r="N117" s="6"/>
      <c r="O117" s="6"/>
      <c r="P117" s="6"/>
    </row>
    <row r="118" spans="1:16" ht="16" x14ac:dyDescent="0.2">
      <c r="A118" s="4">
        <v>45840</v>
      </c>
      <c r="B118" s="19">
        <v>25183</v>
      </c>
      <c r="C118" s="5" t="s">
        <v>49</v>
      </c>
      <c r="D118" s="5">
        <v>21</v>
      </c>
      <c r="E118" s="5" t="s">
        <v>2</v>
      </c>
      <c r="F118" s="5" t="s">
        <v>5</v>
      </c>
      <c r="G118" s="5">
        <v>0.55000000000000004</v>
      </c>
      <c r="H118" s="5">
        <v>32.15</v>
      </c>
      <c r="I118" s="5">
        <v>8.4499999999999993</v>
      </c>
      <c r="J118" s="5">
        <v>4.8</v>
      </c>
      <c r="K118" s="5" t="s">
        <v>4</v>
      </c>
      <c r="L118" s="5" t="s">
        <v>4</v>
      </c>
      <c r="M118" s="5" t="s">
        <v>4</v>
      </c>
      <c r="N118" s="6"/>
      <c r="O118" s="6"/>
      <c r="P118" s="6"/>
    </row>
    <row r="119" spans="1:16" ht="16" x14ac:dyDescent="0.2">
      <c r="A119" s="4">
        <v>45840</v>
      </c>
      <c r="B119" s="19">
        <v>25183</v>
      </c>
      <c r="C119" s="5" t="s">
        <v>49</v>
      </c>
      <c r="D119" s="5">
        <v>22</v>
      </c>
      <c r="E119" s="5" t="s">
        <v>2</v>
      </c>
      <c r="F119" s="5" t="s">
        <v>5</v>
      </c>
      <c r="G119" s="5">
        <v>1.35</v>
      </c>
      <c r="H119" s="5">
        <v>43.2</v>
      </c>
      <c r="I119" s="5">
        <v>9.8000000000000007</v>
      </c>
      <c r="J119" s="5">
        <v>6.2</v>
      </c>
      <c r="K119" s="5" t="s">
        <v>4</v>
      </c>
      <c r="L119" s="5" t="s">
        <v>4</v>
      </c>
      <c r="M119" s="5" t="s">
        <v>4</v>
      </c>
      <c r="N119" s="6"/>
      <c r="O119" s="6"/>
      <c r="P119" s="6"/>
    </row>
    <row r="120" spans="1:16" ht="16" x14ac:dyDescent="0.2">
      <c r="A120" s="4">
        <v>45840</v>
      </c>
      <c r="B120" s="19">
        <v>25183</v>
      </c>
      <c r="C120" s="5" t="s">
        <v>49</v>
      </c>
      <c r="D120" s="5">
        <v>23</v>
      </c>
      <c r="E120" s="5" t="s">
        <v>2</v>
      </c>
      <c r="F120" s="5" t="s">
        <v>5</v>
      </c>
      <c r="G120" s="5">
        <v>0.8</v>
      </c>
      <c r="H120" s="5">
        <v>37.799999999999997</v>
      </c>
      <c r="I120" s="5">
        <v>9.25</v>
      </c>
      <c r="J120" s="5">
        <v>5.3</v>
      </c>
      <c r="K120" s="5" t="s">
        <v>4</v>
      </c>
      <c r="L120" s="5" t="s">
        <v>4</v>
      </c>
      <c r="M120" s="5" t="s">
        <v>4</v>
      </c>
      <c r="N120" s="6"/>
      <c r="O120" s="6"/>
      <c r="P120" s="6"/>
    </row>
    <row r="121" spans="1:16" ht="16" x14ac:dyDescent="0.2">
      <c r="A121" s="4">
        <v>45840</v>
      </c>
      <c r="B121" s="19">
        <v>25183</v>
      </c>
      <c r="C121" s="5" t="s">
        <v>49</v>
      </c>
      <c r="D121" s="5">
        <v>24</v>
      </c>
      <c r="E121" s="5" t="s">
        <v>2</v>
      </c>
      <c r="F121" s="5" t="s">
        <v>5</v>
      </c>
      <c r="G121" s="5">
        <v>1.1499999999999999</v>
      </c>
      <c r="H121" s="5">
        <v>40.9</v>
      </c>
      <c r="I121" s="5">
        <v>10</v>
      </c>
      <c r="J121" s="5">
        <v>5.85</v>
      </c>
      <c r="K121" s="5" t="s">
        <v>4</v>
      </c>
      <c r="L121" s="5" t="s">
        <v>4</v>
      </c>
      <c r="M121" s="5" t="s">
        <v>4</v>
      </c>
      <c r="N121" s="6"/>
      <c r="O121" s="6"/>
      <c r="P121" s="6"/>
    </row>
    <row r="122" spans="1:16" ht="16" x14ac:dyDescent="0.2">
      <c r="A122" s="4">
        <v>45840</v>
      </c>
      <c r="B122" s="19">
        <v>25183</v>
      </c>
      <c r="C122" s="5" t="s">
        <v>49</v>
      </c>
      <c r="D122" s="5">
        <v>25</v>
      </c>
      <c r="E122" s="5" t="s">
        <v>2</v>
      </c>
      <c r="F122" s="5" t="s">
        <v>5</v>
      </c>
      <c r="G122" s="5">
        <v>0.8</v>
      </c>
      <c r="H122" s="5">
        <v>37.9</v>
      </c>
      <c r="I122" s="5">
        <v>9.3000000000000007</v>
      </c>
      <c r="J122" s="5">
        <v>5</v>
      </c>
      <c r="K122" s="5" t="s">
        <v>4</v>
      </c>
      <c r="L122" s="5" t="s">
        <v>4</v>
      </c>
      <c r="M122" s="5" t="s">
        <v>4</v>
      </c>
      <c r="N122" s="6"/>
      <c r="O122" s="6"/>
      <c r="P122" s="6"/>
    </row>
    <row r="123" spans="1:16" ht="16" x14ac:dyDescent="0.2">
      <c r="A123" s="4">
        <v>45840</v>
      </c>
      <c r="B123" s="19">
        <v>25183</v>
      </c>
      <c r="C123" s="5" t="s">
        <v>49</v>
      </c>
      <c r="D123" s="5">
        <v>26</v>
      </c>
      <c r="E123" s="5" t="s">
        <v>12</v>
      </c>
      <c r="F123" s="5" t="s">
        <v>5</v>
      </c>
      <c r="G123" s="5">
        <v>1.1000000000000001</v>
      </c>
      <c r="H123" s="5">
        <v>44.4</v>
      </c>
      <c r="I123" s="5">
        <v>10.5</v>
      </c>
      <c r="J123" s="5">
        <v>6.1</v>
      </c>
      <c r="K123" s="5" t="s">
        <v>4</v>
      </c>
      <c r="L123" s="5" t="s">
        <v>4</v>
      </c>
      <c r="M123" s="5" t="s">
        <v>4</v>
      </c>
      <c r="N123" s="5" t="s">
        <v>236</v>
      </c>
      <c r="O123" s="6"/>
      <c r="P123" s="6"/>
    </row>
    <row r="124" spans="1:16" ht="16" x14ac:dyDescent="0.2">
      <c r="A124" s="4">
        <v>45840</v>
      </c>
      <c r="B124" s="19">
        <v>25183</v>
      </c>
      <c r="C124" s="5" t="s">
        <v>49</v>
      </c>
      <c r="D124" s="5">
        <v>27</v>
      </c>
      <c r="E124" s="5" t="s">
        <v>2</v>
      </c>
      <c r="F124" s="5" t="s">
        <v>5</v>
      </c>
      <c r="G124" s="5">
        <v>0.65</v>
      </c>
      <c r="H124" s="5">
        <v>37.049999999999997</v>
      </c>
      <c r="I124" s="5">
        <v>9</v>
      </c>
      <c r="J124" s="5">
        <v>5</v>
      </c>
      <c r="K124" s="5" t="s">
        <v>4</v>
      </c>
      <c r="L124" s="5" t="s">
        <v>4</v>
      </c>
      <c r="M124" s="5" t="s">
        <v>4</v>
      </c>
      <c r="N124" s="6"/>
      <c r="O124" s="6"/>
      <c r="P124" s="6"/>
    </row>
    <row r="125" spans="1:16" ht="16" x14ac:dyDescent="0.2">
      <c r="A125" s="4">
        <v>45840</v>
      </c>
      <c r="B125" s="19">
        <v>25183</v>
      </c>
      <c r="C125" s="5" t="s">
        <v>49</v>
      </c>
      <c r="D125" s="5">
        <v>28</v>
      </c>
      <c r="E125" s="5" t="s">
        <v>2</v>
      </c>
      <c r="F125" s="5" t="s">
        <v>3</v>
      </c>
      <c r="G125" s="5">
        <v>0.4</v>
      </c>
      <c r="H125" s="5">
        <v>32.35</v>
      </c>
      <c r="I125" s="5">
        <v>8.85</v>
      </c>
      <c r="J125" s="5">
        <v>4.5</v>
      </c>
      <c r="K125" s="5" t="s">
        <v>4</v>
      </c>
      <c r="L125" s="5" t="s">
        <v>4</v>
      </c>
      <c r="M125" s="5" t="s">
        <v>4</v>
      </c>
      <c r="N125" s="5" t="s">
        <v>237</v>
      </c>
      <c r="O125" s="6"/>
      <c r="P125" s="6"/>
    </row>
    <row r="126" spans="1:16" ht="16" x14ac:dyDescent="0.2">
      <c r="A126" s="4">
        <v>45840</v>
      </c>
      <c r="B126" s="19">
        <v>25183</v>
      </c>
      <c r="C126" s="5" t="s">
        <v>49</v>
      </c>
      <c r="D126" s="5">
        <v>29</v>
      </c>
      <c r="E126" s="5" t="s">
        <v>2</v>
      </c>
      <c r="F126" s="5" t="s">
        <v>3</v>
      </c>
      <c r="G126" s="5">
        <v>1.25</v>
      </c>
      <c r="H126" s="5">
        <v>45.9</v>
      </c>
      <c r="I126" s="5">
        <v>9.75</v>
      </c>
      <c r="J126" s="5">
        <v>5.4</v>
      </c>
      <c r="K126" s="5" t="s">
        <v>4</v>
      </c>
      <c r="L126" s="5" t="s">
        <v>4</v>
      </c>
      <c r="M126" s="5" t="s">
        <v>4</v>
      </c>
      <c r="N126" s="5" t="s">
        <v>238</v>
      </c>
      <c r="O126" s="6"/>
      <c r="P126" s="6"/>
    </row>
    <row r="127" spans="1:16" ht="16" x14ac:dyDescent="0.2">
      <c r="A127" s="4">
        <v>45840</v>
      </c>
      <c r="B127" s="19">
        <v>25183</v>
      </c>
      <c r="C127" s="5" t="s">
        <v>49</v>
      </c>
      <c r="D127" s="5">
        <v>30</v>
      </c>
      <c r="E127" s="5" t="s">
        <v>2</v>
      </c>
      <c r="F127" s="5" t="s">
        <v>5</v>
      </c>
      <c r="G127" s="5">
        <v>1</v>
      </c>
      <c r="H127" s="5">
        <v>38.200000000000003</v>
      </c>
      <c r="I127" s="5">
        <v>9.5</v>
      </c>
      <c r="J127" s="5">
        <v>5.5</v>
      </c>
      <c r="K127" s="5" t="s">
        <v>4</v>
      </c>
      <c r="L127" s="5" t="s">
        <v>4</v>
      </c>
      <c r="M127" s="5" t="s">
        <v>4</v>
      </c>
      <c r="N127" s="6"/>
      <c r="O127" s="6"/>
      <c r="P127" s="6"/>
    </row>
    <row r="128" spans="1:16" ht="16" x14ac:dyDescent="0.2">
      <c r="A128" s="4">
        <v>45840</v>
      </c>
      <c r="B128" s="19">
        <v>25183</v>
      </c>
      <c r="C128" s="5" t="s">
        <v>49</v>
      </c>
      <c r="D128" s="5">
        <v>31</v>
      </c>
      <c r="E128" s="5" t="s">
        <v>2</v>
      </c>
      <c r="F128" s="5" t="s">
        <v>5</v>
      </c>
      <c r="G128" s="5">
        <v>0.55000000000000004</v>
      </c>
      <c r="H128" s="5">
        <v>33.6</v>
      </c>
      <c r="I128" s="5">
        <v>8.6999999999999993</v>
      </c>
      <c r="J128" s="5">
        <v>4.8499999999999996</v>
      </c>
      <c r="K128" s="5" t="s">
        <v>4</v>
      </c>
      <c r="L128" s="5" t="s">
        <v>4</v>
      </c>
      <c r="M128" s="5" t="s">
        <v>4</v>
      </c>
      <c r="N128" s="6"/>
      <c r="O128" s="6"/>
      <c r="P128" s="6"/>
    </row>
    <row r="129" spans="1:16" ht="16" x14ac:dyDescent="0.2">
      <c r="A129" s="4">
        <v>45840</v>
      </c>
      <c r="B129" s="19">
        <v>25183</v>
      </c>
      <c r="C129" s="5" t="s">
        <v>49</v>
      </c>
      <c r="D129" s="5">
        <v>32</v>
      </c>
      <c r="E129" s="5" t="s">
        <v>12</v>
      </c>
      <c r="F129" s="5" t="s">
        <v>5</v>
      </c>
      <c r="G129" s="5">
        <v>0.85</v>
      </c>
      <c r="H129" s="5">
        <v>40.5</v>
      </c>
      <c r="I129" s="5">
        <v>9.8000000000000007</v>
      </c>
      <c r="J129" s="5">
        <v>5.45</v>
      </c>
      <c r="K129" s="5" t="s">
        <v>4</v>
      </c>
      <c r="L129" s="5" t="s">
        <v>4</v>
      </c>
      <c r="M129" s="5" t="s">
        <v>4</v>
      </c>
      <c r="N129" s="5" t="s">
        <v>236</v>
      </c>
      <c r="O129" s="6"/>
      <c r="P129" s="6"/>
    </row>
    <row r="130" spans="1:16" ht="16" x14ac:dyDescent="0.2">
      <c r="A130" s="4">
        <v>45840</v>
      </c>
      <c r="B130" s="19">
        <v>25183</v>
      </c>
      <c r="C130" s="5" t="s">
        <v>49</v>
      </c>
      <c r="D130" s="25">
        <v>33</v>
      </c>
      <c r="E130" s="5" t="s">
        <v>2</v>
      </c>
      <c r="F130" s="5" t="s">
        <v>3</v>
      </c>
      <c r="G130" s="5">
        <v>0.6</v>
      </c>
      <c r="H130" s="5">
        <v>33.9</v>
      </c>
      <c r="I130" s="5">
        <v>8.4499999999999993</v>
      </c>
      <c r="J130" s="5">
        <v>5</v>
      </c>
      <c r="K130" s="5" t="s">
        <v>4</v>
      </c>
      <c r="L130" s="5" t="s">
        <v>4</v>
      </c>
      <c r="M130" s="5" t="s">
        <v>4</v>
      </c>
      <c r="N130" s="6"/>
      <c r="O130" s="6"/>
      <c r="P130" s="6"/>
    </row>
    <row r="131" spans="1:16" ht="16" x14ac:dyDescent="0.2">
      <c r="A131" s="4">
        <v>45840</v>
      </c>
      <c r="B131" s="19">
        <v>25183</v>
      </c>
      <c r="C131" s="5" t="s">
        <v>49</v>
      </c>
      <c r="D131" s="5">
        <v>34</v>
      </c>
      <c r="E131" s="5" t="s">
        <v>2</v>
      </c>
      <c r="F131" s="5" t="s">
        <v>3</v>
      </c>
      <c r="G131" s="5">
        <v>0.3</v>
      </c>
      <c r="H131" s="5">
        <v>28.55</v>
      </c>
      <c r="I131" s="5" t="s">
        <v>8</v>
      </c>
      <c r="J131" s="5" t="s">
        <v>8</v>
      </c>
      <c r="K131" s="5" t="s">
        <v>4</v>
      </c>
      <c r="L131" s="5" t="s">
        <v>9</v>
      </c>
      <c r="M131" s="5" t="s">
        <v>9</v>
      </c>
      <c r="N131" s="6"/>
      <c r="O131" s="6"/>
      <c r="P131" s="6"/>
    </row>
    <row r="132" spans="1:16" ht="16" x14ac:dyDescent="0.2">
      <c r="A132" s="4">
        <v>45840</v>
      </c>
      <c r="B132" s="19">
        <v>25183</v>
      </c>
      <c r="C132" s="5" t="s">
        <v>49</v>
      </c>
      <c r="D132" s="5">
        <v>35</v>
      </c>
      <c r="E132" s="5" t="s">
        <v>2</v>
      </c>
      <c r="F132" s="5" t="s">
        <v>5</v>
      </c>
      <c r="G132" s="5">
        <v>0.95</v>
      </c>
      <c r="H132" s="5">
        <v>39.6</v>
      </c>
      <c r="I132" s="5">
        <v>10.1</v>
      </c>
      <c r="J132" s="5">
        <v>5.5</v>
      </c>
      <c r="K132" s="5" t="s">
        <v>4</v>
      </c>
      <c r="L132" s="5" t="s">
        <v>4</v>
      </c>
      <c r="M132" s="5" t="s">
        <v>4</v>
      </c>
      <c r="N132" s="6"/>
      <c r="O132" s="6"/>
      <c r="P132" s="6"/>
    </row>
    <row r="133" spans="1:16" ht="16" x14ac:dyDescent="0.2">
      <c r="A133" s="4">
        <v>45840</v>
      </c>
      <c r="B133" s="19">
        <v>25183</v>
      </c>
      <c r="C133" s="5" t="s">
        <v>49</v>
      </c>
      <c r="D133" s="5">
        <v>36</v>
      </c>
      <c r="E133" s="5" t="s">
        <v>2</v>
      </c>
      <c r="F133" s="5" t="s">
        <v>3</v>
      </c>
      <c r="G133" s="5">
        <v>1.1499999999999999</v>
      </c>
      <c r="H133" s="5">
        <v>44.05</v>
      </c>
      <c r="I133" s="5">
        <v>10.5</v>
      </c>
      <c r="J133" s="5">
        <v>5.6</v>
      </c>
      <c r="K133" s="5" t="s">
        <v>4</v>
      </c>
      <c r="L133" s="5" t="s">
        <v>4</v>
      </c>
      <c r="M133" s="5" t="s">
        <v>4</v>
      </c>
      <c r="N133" s="6"/>
      <c r="O133" s="6"/>
      <c r="P133" s="6"/>
    </row>
    <row r="134" spans="1:16" ht="16" x14ac:dyDescent="0.2">
      <c r="A134" s="4">
        <v>45840</v>
      </c>
      <c r="B134" s="19">
        <v>25183</v>
      </c>
      <c r="C134" s="5" t="s">
        <v>49</v>
      </c>
      <c r="D134" s="5">
        <v>37</v>
      </c>
      <c r="E134" s="5" t="s">
        <v>2</v>
      </c>
      <c r="F134" s="5" t="s">
        <v>3</v>
      </c>
      <c r="G134" s="5">
        <v>0.5</v>
      </c>
      <c r="H134" s="5">
        <v>34.15</v>
      </c>
      <c r="I134" s="5">
        <v>8.4</v>
      </c>
      <c r="J134" s="5">
        <v>5</v>
      </c>
      <c r="K134" s="5" t="s">
        <v>4</v>
      </c>
      <c r="L134" s="5" t="s">
        <v>4</v>
      </c>
      <c r="M134" s="5" t="s">
        <v>9</v>
      </c>
      <c r="N134" s="5" t="s">
        <v>239</v>
      </c>
      <c r="O134" s="6"/>
      <c r="P134" s="6"/>
    </row>
    <row r="135" spans="1:16" ht="16" x14ac:dyDescent="0.2">
      <c r="A135" s="4">
        <v>45840</v>
      </c>
      <c r="B135" s="19">
        <v>25183</v>
      </c>
      <c r="C135" s="5" t="s">
        <v>49</v>
      </c>
      <c r="D135" s="5">
        <v>38</v>
      </c>
      <c r="E135" s="5" t="s">
        <v>2</v>
      </c>
      <c r="F135" s="5" t="s">
        <v>3</v>
      </c>
      <c r="G135" s="5">
        <v>1</v>
      </c>
      <c r="H135" s="5">
        <v>42.9</v>
      </c>
      <c r="I135" s="5">
        <v>9.9</v>
      </c>
      <c r="J135" s="5">
        <v>5.7</v>
      </c>
      <c r="K135" s="5" t="s">
        <v>4</v>
      </c>
      <c r="L135" s="5" t="s">
        <v>4</v>
      </c>
      <c r="M135" s="5" t="s">
        <v>4</v>
      </c>
      <c r="N135" s="6"/>
      <c r="O135" s="6"/>
      <c r="P135" s="6"/>
    </row>
    <row r="136" spans="1:16" ht="16" x14ac:dyDescent="0.2">
      <c r="A136" s="4">
        <v>45840</v>
      </c>
      <c r="B136" s="19">
        <v>25183</v>
      </c>
      <c r="C136" s="5" t="s">
        <v>49</v>
      </c>
      <c r="D136" s="5">
        <v>39</v>
      </c>
      <c r="E136" s="5" t="s">
        <v>2</v>
      </c>
      <c r="F136" s="5" t="s">
        <v>3</v>
      </c>
      <c r="G136" s="5">
        <v>0.95</v>
      </c>
      <c r="H136" s="5">
        <v>42.6</v>
      </c>
      <c r="I136" s="5">
        <v>10.5</v>
      </c>
      <c r="J136" s="5">
        <v>5.85</v>
      </c>
      <c r="K136" s="5" t="s">
        <v>4</v>
      </c>
      <c r="L136" s="5" t="s">
        <v>4</v>
      </c>
      <c r="M136" s="5" t="s">
        <v>4</v>
      </c>
      <c r="N136" s="6"/>
      <c r="O136" s="6"/>
      <c r="P136" s="6"/>
    </row>
    <row r="137" spans="1:16" ht="16" x14ac:dyDescent="0.2">
      <c r="A137" s="4">
        <v>45840</v>
      </c>
      <c r="B137" s="19">
        <v>25183</v>
      </c>
      <c r="C137" s="5" t="s">
        <v>49</v>
      </c>
      <c r="D137" s="5">
        <v>40</v>
      </c>
      <c r="E137" s="5" t="s">
        <v>2</v>
      </c>
      <c r="F137" s="5" t="s">
        <v>3</v>
      </c>
      <c r="G137" s="5">
        <v>0.5</v>
      </c>
      <c r="H137" s="5">
        <v>32.35</v>
      </c>
      <c r="I137" s="5">
        <v>8.4499999999999993</v>
      </c>
      <c r="J137" s="5">
        <v>5</v>
      </c>
      <c r="K137" s="5" t="s">
        <v>4</v>
      </c>
      <c r="L137" s="5" t="s">
        <v>4</v>
      </c>
      <c r="M137" s="5" t="s">
        <v>4</v>
      </c>
      <c r="N137" s="6"/>
      <c r="O137" s="6"/>
      <c r="P137" s="6"/>
    </row>
    <row r="138" spans="1:16" ht="16" x14ac:dyDescent="0.2">
      <c r="A138" s="4">
        <v>45842</v>
      </c>
      <c r="B138" s="19">
        <v>25185</v>
      </c>
      <c r="C138" s="5" t="s">
        <v>52</v>
      </c>
      <c r="D138" s="5">
        <v>10</v>
      </c>
      <c r="E138" s="5" t="s">
        <v>2</v>
      </c>
      <c r="F138" s="5" t="s">
        <v>3</v>
      </c>
      <c r="G138" s="5">
        <v>1.25</v>
      </c>
      <c r="H138" s="5">
        <v>42.9</v>
      </c>
      <c r="I138" s="5">
        <v>9.5</v>
      </c>
      <c r="J138" s="5">
        <v>5.4</v>
      </c>
      <c r="K138" s="5" t="s">
        <v>4</v>
      </c>
      <c r="L138" s="5" t="s">
        <v>4</v>
      </c>
      <c r="M138" s="5" t="s">
        <v>4</v>
      </c>
      <c r="N138" s="6"/>
      <c r="O138" s="6"/>
      <c r="P138" s="6"/>
    </row>
    <row r="139" spans="1:16" ht="16" x14ac:dyDescent="0.2">
      <c r="A139" s="4">
        <v>45842</v>
      </c>
      <c r="B139" s="19">
        <v>25185</v>
      </c>
      <c r="C139" s="5" t="s">
        <v>52</v>
      </c>
      <c r="D139" s="5">
        <v>11</v>
      </c>
      <c r="E139" s="5" t="s">
        <v>2</v>
      </c>
      <c r="F139" s="5" t="s">
        <v>3</v>
      </c>
      <c r="G139" s="5">
        <v>1.3</v>
      </c>
      <c r="H139" s="5">
        <v>41.3</v>
      </c>
      <c r="I139" s="5">
        <v>9.6</v>
      </c>
      <c r="J139" s="5">
        <v>5.85</v>
      </c>
      <c r="K139" s="5" t="s">
        <v>4</v>
      </c>
      <c r="L139" s="5" t="s">
        <v>4</v>
      </c>
      <c r="M139" s="5" t="s">
        <v>4</v>
      </c>
      <c r="N139" s="6"/>
      <c r="O139" s="6"/>
      <c r="P139" s="6"/>
    </row>
    <row r="140" spans="1:16" ht="16" x14ac:dyDescent="0.2">
      <c r="A140" s="4">
        <v>45842</v>
      </c>
      <c r="B140" s="19">
        <v>25185</v>
      </c>
      <c r="C140" s="5" t="s">
        <v>52</v>
      </c>
      <c r="D140" s="5">
        <v>12</v>
      </c>
      <c r="E140" s="5" t="s">
        <v>2</v>
      </c>
      <c r="F140" s="5" t="s">
        <v>3</v>
      </c>
      <c r="G140" s="5">
        <v>0.95</v>
      </c>
      <c r="H140" s="5">
        <v>36.9</v>
      </c>
      <c r="I140" s="5">
        <v>9.35</v>
      </c>
      <c r="J140" s="5">
        <v>5.45</v>
      </c>
      <c r="K140" s="5" t="s">
        <v>4</v>
      </c>
      <c r="L140" s="5" t="s">
        <v>4</v>
      </c>
      <c r="M140" s="5" t="s">
        <v>4</v>
      </c>
      <c r="N140" s="6"/>
      <c r="O140" s="6"/>
      <c r="P140" s="6"/>
    </row>
    <row r="141" spans="1:16" ht="16" x14ac:dyDescent="0.2">
      <c r="A141" s="4">
        <v>45842</v>
      </c>
      <c r="B141" s="19">
        <v>25185</v>
      </c>
      <c r="C141" s="5" t="s">
        <v>52</v>
      </c>
      <c r="D141" s="5">
        <v>13</v>
      </c>
      <c r="E141" s="5" t="s">
        <v>2</v>
      </c>
      <c r="F141" s="5" t="s">
        <v>5</v>
      </c>
      <c r="G141" s="5">
        <v>0.7</v>
      </c>
      <c r="H141" s="5">
        <v>36.9</v>
      </c>
      <c r="I141" s="5">
        <v>9.3000000000000007</v>
      </c>
      <c r="J141" s="5">
        <v>5.25</v>
      </c>
      <c r="K141" s="5" t="s">
        <v>4</v>
      </c>
      <c r="L141" s="5" t="s">
        <v>4</v>
      </c>
      <c r="M141" s="5" t="s">
        <v>4</v>
      </c>
      <c r="N141" s="6"/>
      <c r="O141" s="6"/>
      <c r="P141" s="6"/>
    </row>
    <row r="142" spans="1:16" ht="16" x14ac:dyDescent="0.2">
      <c r="A142" s="4">
        <v>45842</v>
      </c>
      <c r="B142" s="19">
        <v>25185</v>
      </c>
      <c r="C142" s="5" t="s">
        <v>52</v>
      </c>
      <c r="D142" s="5">
        <v>14</v>
      </c>
      <c r="E142" s="5" t="s">
        <v>2</v>
      </c>
      <c r="F142" s="5" t="s">
        <v>3</v>
      </c>
      <c r="G142" s="5">
        <v>0.8</v>
      </c>
      <c r="H142" s="5">
        <v>36.799999999999997</v>
      </c>
      <c r="I142" s="5">
        <v>9.25</v>
      </c>
      <c r="J142" s="5">
        <v>5.2</v>
      </c>
      <c r="K142" s="5" t="s">
        <v>4</v>
      </c>
      <c r="L142" s="5" t="s">
        <v>4</v>
      </c>
      <c r="M142" s="5" t="s">
        <v>4</v>
      </c>
      <c r="N142" s="6"/>
      <c r="O142" s="6"/>
      <c r="P142" s="6"/>
    </row>
    <row r="143" spans="1:16" ht="16" x14ac:dyDescent="0.2">
      <c r="A143" s="4">
        <v>45842</v>
      </c>
      <c r="B143" s="19">
        <v>25185</v>
      </c>
      <c r="C143" s="5" t="s">
        <v>52</v>
      </c>
      <c r="D143" s="5">
        <v>15</v>
      </c>
      <c r="E143" s="5" t="s">
        <v>2</v>
      </c>
      <c r="F143" s="5" t="s">
        <v>3</v>
      </c>
      <c r="G143" s="5">
        <v>0.55000000000000004</v>
      </c>
      <c r="H143" s="5">
        <v>30.9</v>
      </c>
      <c r="I143" s="5">
        <v>8.25</v>
      </c>
      <c r="J143" s="5">
        <v>5</v>
      </c>
      <c r="K143" s="5" t="s">
        <v>4</v>
      </c>
      <c r="L143" s="5" t="s">
        <v>4</v>
      </c>
      <c r="M143" s="5" t="s">
        <v>9</v>
      </c>
      <c r="N143" s="6"/>
      <c r="O143" s="6"/>
      <c r="P143" s="6"/>
    </row>
    <row r="144" spans="1:16" ht="16" x14ac:dyDescent="0.2">
      <c r="A144" s="4">
        <v>45842</v>
      </c>
      <c r="B144" s="19">
        <v>25185</v>
      </c>
      <c r="C144" s="5" t="s">
        <v>52</v>
      </c>
      <c r="D144" s="5">
        <v>16</v>
      </c>
      <c r="E144" s="5" t="s">
        <v>2</v>
      </c>
      <c r="F144" s="5" t="s">
        <v>3</v>
      </c>
      <c r="G144" s="5">
        <v>0.75</v>
      </c>
      <c r="H144" s="5">
        <v>33.549999999999997</v>
      </c>
      <c r="I144" s="5">
        <v>8.75</v>
      </c>
      <c r="J144" s="5">
        <v>4.8</v>
      </c>
      <c r="K144" s="5" t="s">
        <v>4</v>
      </c>
      <c r="L144" s="5" t="s">
        <v>4</v>
      </c>
      <c r="M144" s="5" t="s">
        <v>4</v>
      </c>
      <c r="N144" s="6"/>
      <c r="O144" s="6"/>
      <c r="P144" s="6"/>
    </row>
    <row r="145" spans="1:16" ht="16" x14ac:dyDescent="0.2">
      <c r="A145" s="4">
        <v>45842</v>
      </c>
      <c r="B145" s="19">
        <v>25185</v>
      </c>
      <c r="C145" s="5" t="s">
        <v>52</v>
      </c>
      <c r="D145" s="5">
        <v>17</v>
      </c>
      <c r="E145" s="5" t="s">
        <v>2</v>
      </c>
      <c r="F145" s="5" t="s">
        <v>5</v>
      </c>
      <c r="G145" s="5">
        <v>0.65</v>
      </c>
      <c r="H145" s="5">
        <v>33</v>
      </c>
      <c r="I145" s="5">
        <v>8.5</v>
      </c>
      <c r="J145" s="5">
        <v>4.8</v>
      </c>
      <c r="K145" s="5" t="s">
        <v>4</v>
      </c>
      <c r="L145" s="5" t="s">
        <v>4</v>
      </c>
      <c r="M145" s="5" t="s">
        <v>4</v>
      </c>
      <c r="N145" s="6"/>
      <c r="O145" s="6"/>
      <c r="P145" s="6"/>
    </row>
    <row r="146" spans="1:16" ht="16" x14ac:dyDescent="0.2">
      <c r="A146" s="4">
        <v>45842</v>
      </c>
      <c r="B146" s="19">
        <v>25185</v>
      </c>
      <c r="C146" s="5" t="s">
        <v>52</v>
      </c>
      <c r="D146" s="5">
        <v>18</v>
      </c>
      <c r="E146" s="5" t="s">
        <v>2</v>
      </c>
      <c r="F146" s="5" t="s">
        <v>3</v>
      </c>
      <c r="G146" s="5">
        <v>0.35</v>
      </c>
      <c r="H146" s="5">
        <v>30.05</v>
      </c>
      <c r="I146" s="5">
        <v>7.8</v>
      </c>
      <c r="J146" s="5">
        <v>4.5</v>
      </c>
      <c r="K146" s="5" t="s">
        <v>4</v>
      </c>
      <c r="L146" s="5" t="s">
        <v>4</v>
      </c>
      <c r="M146" s="5" t="s">
        <v>9</v>
      </c>
      <c r="N146" s="6"/>
      <c r="O146" s="6"/>
      <c r="P146" s="6"/>
    </row>
    <row r="147" spans="1:16" ht="16" x14ac:dyDescent="0.2">
      <c r="A147" s="4">
        <v>45842</v>
      </c>
      <c r="B147" s="19">
        <v>25185</v>
      </c>
      <c r="C147" s="5" t="s">
        <v>52</v>
      </c>
      <c r="D147" s="5">
        <v>19</v>
      </c>
      <c r="E147" s="5" t="s">
        <v>2</v>
      </c>
      <c r="F147" s="5" t="s">
        <v>3</v>
      </c>
      <c r="G147" s="5">
        <v>0.95</v>
      </c>
      <c r="H147" s="5">
        <v>35.5</v>
      </c>
      <c r="I147" s="5">
        <v>8.9</v>
      </c>
      <c r="J147" s="5">
        <v>5.0999999999999996</v>
      </c>
      <c r="K147" s="5" t="s">
        <v>4</v>
      </c>
      <c r="L147" s="5" t="s">
        <v>4</v>
      </c>
      <c r="M147" s="5" t="s">
        <v>4</v>
      </c>
      <c r="N147" s="6"/>
      <c r="O147" s="6"/>
      <c r="P147" s="6"/>
    </row>
    <row r="148" spans="1:16" ht="16" x14ac:dyDescent="0.2">
      <c r="A148" s="4">
        <v>45842</v>
      </c>
      <c r="B148" s="19">
        <v>25185</v>
      </c>
      <c r="C148" s="5" t="s">
        <v>52</v>
      </c>
      <c r="D148" s="5">
        <v>20</v>
      </c>
      <c r="E148" s="5" t="s">
        <v>2</v>
      </c>
      <c r="F148" s="5" t="s">
        <v>3</v>
      </c>
      <c r="G148" s="5">
        <v>0.45</v>
      </c>
      <c r="H148" s="5">
        <v>32.700000000000003</v>
      </c>
      <c r="I148" s="5">
        <v>8.6</v>
      </c>
      <c r="J148" s="5">
        <v>5.25</v>
      </c>
      <c r="K148" s="5" t="s">
        <v>4</v>
      </c>
      <c r="L148" s="5" t="s">
        <v>4</v>
      </c>
      <c r="M148" s="5" t="s">
        <v>4</v>
      </c>
      <c r="N148" s="6"/>
      <c r="O148" s="6"/>
      <c r="P148" s="6"/>
    </row>
    <row r="149" spans="1:16" ht="16" x14ac:dyDescent="0.2">
      <c r="A149" s="4">
        <v>45842</v>
      </c>
      <c r="B149" s="19">
        <v>25185</v>
      </c>
      <c r="C149" s="5" t="s">
        <v>52</v>
      </c>
      <c r="D149" s="5">
        <v>21</v>
      </c>
      <c r="E149" s="5" t="s">
        <v>2</v>
      </c>
      <c r="F149" s="5" t="s">
        <v>3</v>
      </c>
      <c r="G149" s="5">
        <v>0.45</v>
      </c>
      <c r="H149" s="5">
        <v>31.2</v>
      </c>
      <c r="I149" s="5">
        <v>8</v>
      </c>
      <c r="J149" s="5">
        <v>4.5</v>
      </c>
      <c r="K149" s="5" t="s">
        <v>4</v>
      </c>
      <c r="L149" s="5" t="s">
        <v>4</v>
      </c>
      <c r="M149" s="5" t="s">
        <v>9</v>
      </c>
      <c r="N149" s="6"/>
      <c r="O149" s="6"/>
      <c r="P149" s="6"/>
    </row>
    <row r="150" spans="1:16" ht="16" x14ac:dyDescent="0.2">
      <c r="A150" s="4">
        <v>45845</v>
      </c>
      <c r="B150" s="19">
        <v>25188</v>
      </c>
      <c r="C150" s="5" t="s">
        <v>35</v>
      </c>
      <c r="D150" s="5">
        <v>9</v>
      </c>
      <c r="E150" s="5" t="s">
        <v>2</v>
      </c>
      <c r="F150" s="5" t="s">
        <v>5</v>
      </c>
      <c r="G150" s="5">
        <v>1.2</v>
      </c>
      <c r="H150" s="5">
        <v>39</v>
      </c>
      <c r="I150" s="5">
        <v>9.6999999999999993</v>
      </c>
      <c r="J150" s="5">
        <v>5.95</v>
      </c>
      <c r="K150" s="5" t="s">
        <v>4</v>
      </c>
      <c r="L150" s="5" t="s">
        <v>4</v>
      </c>
      <c r="M150" s="5" t="s">
        <v>4</v>
      </c>
      <c r="N150" s="6"/>
      <c r="O150" s="6"/>
      <c r="P150" s="6"/>
    </row>
    <row r="151" spans="1:16" ht="16" x14ac:dyDescent="0.2">
      <c r="A151" s="4">
        <v>45845</v>
      </c>
      <c r="B151" s="19">
        <v>25188</v>
      </c>
      <c r="C151" s="5" t="s">
        <v>35</v>
      </c>
      <c r="D151" s="5">
        <v>10</v>
      </c>
      <c r="E151" s="5" t="s">
        <v>2</v>
      </c>
      <c r="F151" s="5" t="s">
        <v>5</v>
      </c>
      <c r="G151" s="5">
        <v>0.65</v>
      </c>
      <c r="H151" s="5">
        <v>31.8</v>
      </c>
      <c r="I151" s="5">
        <v>8</v>
      </c>
      <c r="J151" s="5">
        <v>5</v>
      </c>
      <c r="K151" s="5" t="s">
        <v>4</v>
      </c>
      <c r="L151" s="5" t="s">
        <v>4</v>
      </c>
      <c r="M151" s="5" t="s">
        <v>4</v>
      </c>
      <c r="N151" s="6"/>
      <c r="O151" s="6"/>
      <c r="P151" s="6"/>
    </row>
    <row r="152" spans="1:16" ht="16" x14ac:dyDescent="0.2">
      <c r="A152" s="4">
        <v>45845</v>
      </c>
      <c r="B152" s="19">
        <v>25188</v>
      </c>
      <c r="C152" s="5" t="s">
        <v>35</v>
      </c>
      <c r="D152" s="5">
        <v>11</v>
      </c>
      <c r="E152" s="5" t="s">
        <v>2</v>
      </c>
      <c r="F152" s="5" t="s">
        <v>3</v>
      </c>
      <c r="G152" s="5">
        <v>0.35</v>
      </c>
      <c r="H152" s="5">
        <v>32.6</v>
      </c>
      <c r="I152" s="5">
        <v>8.25</v>
      </c>
      <c r="J152" s="5">
        <v>4.6500000000000004</v>
      </c>
      <c r="K152" s="5" t="s">
        <v>4</v>
      </c>
      <c r="L152" s="5" t="s">
        <v>4</v>
      </c>
      <c r="M152" s="5" t="s">
        <v>4</v>
      </c>
      <c r="N152" s="6"/>
      <c r="O152" s="6"/>
      <c r="P152" s="6"/>
    </row>
    <row r="153" spans="1:16" ht="16" x14ac:dyDescent="0.2">
      <c r="A153" s="4">
        <v>45845</v>
      </c>
      <c r="B153" s="19">
        <v>25188</v>
      </c>
      <c r="C153" s="5" t="s">
        <v>35</v>
      </c>
      <c r="D153" s="5">
        <v>12</v>
      </c>
      <c r="E153" s="5" t="s">
        <v>2</v>
      </c>
      <c r="F153" s="5" t="s">
        <v>3</v>
      </c>
      <c r="G153" s="5">
        <v>1.7</v>
      </c>
      <c r="H153" s="5">
        <v>46.25</v>
      </c>
      <c r="I153" s="5">
        <v>10.4</v>
      </c>
      <c r="J153" s="5">
        <v>6.4</v>
      </c>
      <c r="K153" s="5" t="s">
        <v>4</v>
      </c>
      <c r="L153" s="5" t="s">
        <v>4</v>
      </c>
      <c r="M153" s="5" t="s">
        <v>4</v>
      </c>
      <c r="N153" s="6"/>
      <c r="O153" s="6"/>
      <c r="P153" s="6"/>
    </row>
    <row r="154" spans="1:16" ht="16" x14ac:dyDescent="0.2">
      <c r="A154" s="4">
        <v>45845</v>
      </c>
      <c r="B154" s="19">
        <v>25188</v>
      </c>
      <c r="C154" s="5" t="s">
        <v>35</v>
      </c>
      <c r="D154" s="5">
        <v>13</v>
      </c>
      <c r="E154" s="5" t="s">
        <v>2</v>
      </c>
      <c r="F154" s="5" t="s">
        <v>3</v>
      </c>
      <c r="G154" s="5">
        <v>0.45</v>
      </c>
      <c r="H154" s="5">
        <v>29.6</v>
      </c>
      <c r="I154" s="5" t="s">
        <v>8</v>
      </c>
      <c r="J154" s="5" t="s">
        <v>8</v>
      </c>
      <c r="K154" s="5" t="s">
        <v>4</v>
      </c>
      <c r="L154" s="5" t="s">
        <v>9</v>
      </c>
      <c r="M154" s="5" t="s">
        <v>9</v>
      </c>
      <c r="N154" s="6"/>
      <c r="O154" s="6"/>
      <c r="P154" s="6"/>
    </row>
    <row r="155" spans="1:16" ht="16" x14ac:dyDescent="0.2">
      <c r="A155" s="4">
        <v>45845</v>
      </c>
      <c r="B155" s="19">
        <v>25188</v>
      </c>
      <c r="C155" s="5" t="s">
        <v>35</v>
      </c>
      <c r="D155" s="5">
        <v>14</v>
      </c>
      <c r="E155" s="5" t="s">
        <v>2</v>
      </c>
      <c r="F155" s="5" t="s">
        <v>6</v>
      </c>
      <c r="G155" s="5">
        <v>0.25</v>
      </c>
      <c r="H155" s="5">
        <v>22.4</v>
      </c>
      <c r="I155" s="5" t="s">
        <v>8</v>
      </c>
      <c r="J155" s="5" t="s">
        <v>8</v>
      </c>
      <c r="K155" s="5" t="s">
        <v>4</v>
      </c>
      <c r="L155" s="5" t="s">
        <v>9</v>
      </c>
      <c r="M155" s="5" t="s">
        <v>9</v>
      </c>
      <c r="N155" s="6"/>
      <c r="O155" s="6"/>
      <c r="P155" s="6"/>
    </row>
    <row r="156" spans="1:16" ht="16" x14ac:dyDescent="0.2">
      <c r="A156" s="4">
        <v>45845</v>
      </c>
      <c r="B156" s="19">
        <v>25188</v>
      </c>
      <c r="C156" s="5" t="s">
        <v>35</v>
      </c>
      <c r="D156" s="5">
        <v>15</v>
      </c>
      <c r="E156" s="5" t="s">
        <v>2</v>
      </c>
      <c r="F156" s="5" t="s">
        <v>3</v>
      </c>
      <c r="G156" s="5">
        <v>0.95</v>
      </c>
      <c r="H156" s="5">
        <v>39.6</v>
      </c>
      <c r="I156" s="5">
        <v>9.6</v>
      </c>
      <c r="J156" s="5">
        <v>5.5</v>
      </c>
      <c r="K156" s="5" t="s">
        <v>4</v>
      </c>
      <c r="L156" s="5" t="s">
        <v>4</v>
      </c>
      <c r="M156" s="5" t="s">
        <v>4</v>
      </c>
      <c r="N156" s="6"/>
      <c r="O156" s="6"/>
      <c r="P156" s="6"/>
    </row>
    <row r="157" spans="1:16" ht="16" x14ac:dyDescent="0.2">
      <c r="A157" s="4">
        <v>45845</v>
      </c>
      <c r="B157" s="19">
        <v>25188</v>
      </c>
      <c r="C157" s="5" t="s">
        <v>35</v>
      </c>
      <c r="D157" s="5">
        <v>16</v>
      </c>
      <c r="E157" s="5" t="s">
        <v>2</v>
      </c>
      <c r="F157" s="5" t="s">
        <v>3</v>
      </c>
      <c r="G157" s="5">
        <v>0.8</v>
      </c>
      <c r="H157" s="5">
        <v>35.65</v>
      </c>
      <c r="I157" s="5">
        <v>8.4</v>
      </c>
      <c r="J157" s="5">
        <v>5.0999999999999996</v>
      </c>
      <c r="K157" s="5" t="s">
        <v>4</v>
      </c>
      <c r="L157" s="5" t="s">
        <v>4</v>
      </c>
      <c r="M157" s="5" t="s">
        <v>4</v>
      </c>
      <c r="N157" s="6"/>
      <c r="O157" s="6"/>
      <c r="P157" s="6"/>
    </row>
    <row r="158" spans="1:16" ht="16" x14ac:dyDescent="0.2">
      <c r="A158" s="4">
        <v>45845</v>
      </c>
      <c r="B158" s="19">
        <v>25188</v>
      </c>
      <c r="C158" s="5" t="s">
        <v>35</v>
      </c>
      <c r="D158" s="5">
        <v>17</v>
      </c>
      <c r="E158" s="5" t="s">
        <v>2</v>
      </c>
      <c r="F158" s="5" t="s">
        <v>3</v>
      </c>
      <c r="G158" s="5">
        <v>0.65</v>
      </c>
      <c r="H158" s="5">
        <v>34.049999999999997</v>
      </c>
      <c r="I158" s="5">
        <v>8</v>
      </c>
      <c r="J158" s="5">
        <v>5.0999999999999996</v>
      </c>
      <c r="K158" s="5" t="s">
        <v>4</v>
      </c>
      <c r="L158" s="5" t="s">
        <v>4</v>
      </c>
      <c r="M158" s="5" t="s">
        <v>4</v>
      </c>
      <c r="N158" s="6"/>
      <c r="O158" s="6"/>
      <c r="P158" s="6"/>
    </row>
    <row r="159" spans="1:16" ht="16" x14ac:dyDescent="0.2">
      <c r="A159" s="4">
        <v>45845</v>
      </c>
      <c r="B159" s="19">
        <v>25188</v>
      </c>
      <c r="C159" s="5" t="s">
        <v>35</v>
      </c>
      <c r="D159" s="5">
        <v>18</v>
      </c>
      <c r="E159" s="5" t="s">
        <v>2</v>
      </c>
      <c r="F159" s="5" t="s">
        <v>3</v>
      </c>
      <c r="G159" s="5">
        <v>0.65</v>
      </c>
      <c r="H159" s="5">
        <v>32.6</v>
      </c>
      <c r="I159" s="5">
        <v>8.9</v>
      </c>
      <c r="J159" s="5">
        <v>5</v>
      </c>
      <c r="K159" s="5" t="s">
        <v>4</v>
      </c>
      <c r="L159" s="5" t="s">
        <v>4</v>
      </c>
      <c r="M159" s="5" t="s">
        <v>4</v>
      </c>
      <c r="N159" s="6"/>
      <c r="O159" s="6"/>
      <c r="P159" s="6"/>
    </row>
    <row r="160" spans="1:16" ht="16" x14ac:dyDescent="0.2">
      <c r="A160" s="4">
        <v>45845</v>
      </c>
      <c r="B160" s="19">
        <v>25188</v>
      </c>
      <c r="C160" s="5" t="s">
        <v>35</v>
      </c>
      <c r="D160" s="5">
        <v>19</v>
      </c>
      <c r="E160" s="5" t="s">
        <v>2</v>
      </c>
      <c r="F160" s="5" t="s">
        <v>6</v>
      </c>
      <c r="G160" s="5">
        <v>0.2</v>
      </c>
      <c r="H160" s="5">
        <v>19.190000000000001</v>
      </c>
      <c r="I160" s="5" t="s">
        <v>8</v>
      </c>
      <c r="J160" s="5" t="s">
        <v>8</v>
      </c>
      <c r="K160" s="5" t="s">
        <v>4</v>
      </c>
      <c r="L160" s="5" t="s">
        <v>9</v>
      </c>
      <c r="M160" s="5" t="s">
        <v>9</v>
      </c>
      <c r="N160" s="6"/>
      <c r="O160" s="6"/>
      <c r="P160" s="6"/>
    </row>
    <row r="161" spans="1:16" ht="16" x14ac:dyDescent="0.2">
      <c r="A161" s="4">
        <v>45845</v>
      </c>
      <c r="B161" s="19">
        <v>25188</v>
      </c>
      <c r="C161" s="5" t="s">
        <v>35</v>
      </c>
      <c r="D161" s="5">
        <v>20</v>
      </c>
      <c r="E161" s="5" t="s">
        <v>2</v>
      </c>
      <c r="F161" s="5" t="s">
        <v>3</v>
      </c>
      <c r="G161" s="5">
        <v>0.65</v>
      </c>
      <c r="H161" s="5">
        <v>32.6</v>
      </c>
      <c r="I161" s="5">
        <v>8.8000000000000007</v>
      </c>
      <c r="J161" s="5">
        <v>5</v>
      </c>
      <c r="K161" s="5" t="s">
        <v>4</v>
      </c>
      <c r="L161" s="5" t="s">
        <v>4</v>
      </c>
      <c r="M161" s="5" t="s">
        <v>4</v>
      </c>
      <c r="N161" s="6"/>
      <c r="O161" s="6"/>
      <c r="P161" s="6"/>
    </row>
    <row r="162" spans="1:16" ht="16" x14ac:dyDescent="0.2">
      <c r="A162" s="4">
        <v>45845</v>
      </c>
      <c r="B162" s="19">
        <v>25188</v>
      </c>
      <c r="C162" s="5" t="s">
        <v>35</v>
      </c>
      <c r="D162" s="5">
        <v>21</v>
      </c>
      <c r="E162" s="5" t="s">
        <v>2</v>
      </c>
      <c r="F162" s="5" t="s">
        <v>3</v>
      </c>
      <c r="G162" s="5">
        <v>0.7</v>
      </c>
      <c r="H162" s="5">
        <v>35.5</v>
      </c>
      <c r="I162" s="5">
        <v>8.8000000000000007</v>
      </c>
      <c r="J162" s="5">
        <v>5</v>
      </c>
      <c r="K162" s="5" t="s">
        <v>4</v>
      </c>
      <c r="L162" s="5" t="s">
        <v>4</v>
      </c>
      <c r="M162" s="5" t="s">
        <v>4</v>
      </c>
      <c r="N162" s="6"/>
      <c r="O162" s="6"/>
      <c r="P162" s="6"/>
    </row>
    <row r="163" spans="1:16" ht="16" x14ac:dyDescent="0.2">
      <c r="A163" s="4">
        <v>45845</v>
      </c>
      <c r="B163" s="19">
        <v>25188</v>
      </c>
      <c r="C163" s="5" t="s">
        <v>35</v>
      </c>
      <c r="D163" s="5">
        <v>22</v>
      </c>
      <c r="E163" s="5" t="s">
        <v>2</v>
      </c>
      <c r="F163" s="5" t="s">
        <v>3</v>
      </c>
      <c r="G163" s="5">
        <v>1.1499999999999999</v>
      </c>
      <c r="H163" s="5">
        <v>36.799999999999997</v>
      </c>
      <c r="I163" s="5">
        <v>9.6999999999999993</v>
      </c>
      <c r="J163" s="5">
        <v>5.7</v>
      </c>
      <c r="K163" s="5" t="s">
        <v>4</v>
      </c>
      <c r="L163" s="5" t="s">
        <v>4</v>
      </c>
      <c r="M163" s="5" t="s">
        <v>4</v>
      </c>
      <c r="N163" s="6"/>
      <c r="O163" s="6"/>
      <c r="P163" s="6"/>
    </row>
    <row r="164" spans="1:16" ht="16" x14ac:dyDescent="0.2">
      <c r="A164" s="4">
        <v>45845</v>
      </c>
      <c r="B164" s="19">
        <v>25188</v>
      </c>
      <c r="C164" s="5" t="s">
        <v>35</v>
      </c>
      <c r="D164" s="5">
        <v>23</v>
      </c>
      <c r="E164" s="5" t="s">
        <v>2</v>
      </c>
      <c r="F164" s="5" t="s">
        <v>3</v>
      </c>
      <c r="G164" s="5">
        <v>0.65</v>
      </c>
      <c r="H164" s="5">
        <v>31.8</v>
      </c>
      <c r="I164" s="5">
        <v>8</v>
      </c>
      <c r="J164" s="5">
        <v>4.6500000000000004</v>
      </c>
      <c r="K164" s="5" t="s">
        <v>4</v>
      </c>
      <c r="L164" s="5" t="s">
        <v>4</v>
      </c>
      <c r="M164" s="5" t="s">
        <v>4</v>
      </c>
      <c r="N164" s="6"/>
      <c r="O164" s="6"/>
      <c r="P164" s="6"/>
    </row>
    <row r="165" spans="1:16" ht="16" x14ac:dyDescent="0.2">
      <c r="A165" s="4">
        <v>45846</v>
      </c>
      <c r="B165" s="19">
        <v>25189</v>
      </c>
      <c r="C165" s="37" t="s">
        <v>53</v>
      </c>
      <c r="D165" s="5">
        <v>1</v>
      </c>
      <c r="E165" s="5" t="s">
        <v>2</v>
      </c>
      <c r="F165" s="5" t="s">
        <v>3</v>
      </c>
      <c r="G165" s="5">
        <v>0.95</v>
      </c>
      <c r="H165" s="5">
        <v>35.6</v>
      </c>
      <c r="I165" s="5">
        <v>8.4</v>
      </c>
      <c r="J165" s="5">
        <v>5</v>
      </c>
      <c r="K165" s="5" t="s">
        <v>4</v>
      </c>
      <c r="L165" s="5" t="s">
        <v>4</v>
      </c>
      <c r="M165" s="5" t="s">
        <v>4</v>
      </c>
      <c r="N165" s="5" t="s">
        <v>213</v>
      </c>
      <c r="O165" s="6"/>
      <c r="P165" s="6"/>
    </row>
    <row r="166" spans="1:16" ht="16" x14ac:dyDescent="0.2">
      <c r="A166" s="4">
        <v>45846</v>
      </c>
      <c r="B166" s="19">
        <v>25189</v>
      </c>
      <c r="C166" s="37" t="s">
        <v>53</v>
      </c>
      <c r="D166" s="5">
        <v>2</v>
      </c>
      <c r="E166" s="5" t="s">
        <v>2</v>
      </c>
      <c r="F166" s="5" t="s">
        <v>3</v>
      </c>
      <c r="G166" s="5">
        <v>0.8</v>
      </c>
      <c r="H166" s="5">
        <v>33.299999999999997</v>
      </c>
      <c r="I166" s="5">
        <v>8.9</v>
      </c>
      <c r="J166" s="5">
        <v>5</v>
      </c>
      <c r="K166" s="5" t="s">
        <v>4</v>
      </c>
      <c r="L166" s="5" t="s">
        <v>4</v>
      </c>
      <c r="M166" s="5" t="s">
        <v>4</v>
      </c>
      <c r="N166" s="6"/>
      <c r="O166" s="6"/>
      <c r="P166" s="6"/>
    </row>
    <row r="167" spans="1:16" ht="16" x14ac:dyDescent="0.2">
      <c r="A167" s="4">
        <v>45846</v>
      </c>
      <c r="B167" s="19">
        <v>25189</v>
      </c>
      <c r="C167" s="37" t="s">
        <v>53</v>
      </c>
      <c r="D167" s="5">
        <v>3</v>
      </c>
      <c r="E167" s="5" t="s">
        <v>2</v>
      </c>
      <c r="F167" s="5" t="s">
        <v>5</v>
      </c>
      <c r="G167" s="5">
        <v>0.65</v>
      </c>
      <c r="H167" s="5">
        <v>34.799999999999997</v>
      </c>
      <c r="I167" s="5">
        <v>8.9</v>
      </c>
      <c r="J167" s="5">
        <v>4.95</v>
      </c>
      <c r="K167" s="5" t="s">
        <v>4</v>
      </c>
      <c r="L167" s="5" t="s">
        <v>4</v>
      </c>
      <c r="M167" s="5" t="s">
        <v>4</v>
      </c>
      <c r="N167" s="6"/>
      <c r="O167" s="6"/>
      <c r="P167" s="6"/>
    </row>
    <row r="168" spans="1:16" ht="16" x14ac:dyDescent="0.2">
      <c r="A168" s="4">
        <v>45846</v>
      </c>
      <c r="B168" s="19">
        <v>25189</v>
      </c>
      <c r="C168" s="37" t="s">
        <v>53</v>
      </c>
      <c r="D168" s="5">
        <v>4</v>
      </c>
      <c r="E168" s="5" t="s">
        <v>2</v>
      </c>
      <c r="F168" s="5" t="s">
        <v>3</v>
      </c>
      <c r="G168" s="5">
        <v>0.7</v>
      </c>
      <c r="H168" s="5">
        <v>35.799999999999997</v>
      </c>
      <c r="I168" s="5">
        <v>8.9499999999999993</v>
      </c>
      <c r="J168" s="5">
        <v>5</v>
      </c>
      <c r="K168" s="5" t="s">
        <v>4</v>
      </c>
      <c r="L168" s="5" t="s">
        <v>4</v>
      </c>
      <c r="M168" s="5" t="s">
        <v>4</v>
      </c>
      <c r="N168" s="6"/>
      <c r="O168" s="6"/>
      <c r="P168" s="6"/>
    </row>
    <row r="169" spans="1:16" ht="16" x14ac:dyDescent="0.2">
      <c r="A169" s="4">
        <v>45846</v>
      </c>
      <c r="B169" s="19">
        <v>25189</v>
      </c>
      <c r="C169" s="37" t="s">
        <v>53</v>
      </c>
      <c r="D169" s="5">
        <v>5</v>
      </c>
      <c r="E169" s="5" t="s">
        <v>2</v>
      </c>
      <c r="F169" s="5" t="s">
        <v>3</v>
      </c>
      <c r="G169" s="5">
        <v>0.7</v>
      </c>
      <c r="H169" s="5">
        <v>32.5</v>
      </c>
      <c r="I169" s="5">
        <v>8.3000000000000007</v>
      </c>
      <c r="J169" s="5">
        <v>4.75</v>
      </c>
      <c r="K169" s="5" t="s">
        <v>4</v>
      </c>
      <c r="L169" s="5" t="s">
        <v>4</v>
      </c>
      <c r="M169" s="5" t="s">
        <v>4</v>
      </c>
      <c r="N169" s="6"/>
      <c r="O169" s="6"/>
      <c r="P169" s="6"/>
    </row>
    <row r="170" spans="1:16" ht="16" x14ac:dyDescent="0.2">
      <c r="A170" s="4">
        <v>45846</v>
      </c>
      <c r="B170" s="19">
        <v>25189</v>
      </c>
      <c r="C170" s="37" t="s">
        <v>53</v>
      </c>
      <c r="D170" s="5">
        <v>6</v>
      </c>
      <c r="E170" s="5" t="s">
        <v>2</v>
      </c>
      <c r="F170" s="5" t="s">
        <v>6</v>
      </c>
      <c r="G170" s="5">
        <v>0.35</v>
      </c>
      <c r="H170" s="5">
        <v>25.7</v>
      </c>
      <c r="I170" s="5" t="s">
        <v>8</v>
      </c>
      <c r="J170" s="5" t="s">
        <v>8</v>
      </c>
      <c r="K170" s="5" t="s">
        <v>4</v>
      </c>
      <c r="L170" s="5" t="s">
        <v>4</v>
      </c>
      <c r="M170" s="17" t="s">
        <v>9</v>
      </c>
      <c r="N170" s="6"/>
      <c r="O170" s="6"/>
      <c r="P170" s="6"/>
    </row>
    <row r="171" spans="1:16" ht="16" x14ac:dyDescent="0.2">
      <c r="A171" s="4">
        <v>45846</v>
      </c>
      <c r="B171" s="19">
        <v>25189</v>
      </c>
      <c r="C171" s="37" t="s">
        <v>53</v>
      </c>
      <c r="D171" s="5">
        <v>7</v>
      </c>
      <c r="E171" s="5" t="s">
        <v>2</v>
      </c>
      <c r="F171" s="5" t="s">
        <v>6</v>
      </c>
      <c r="G171" s="5">
        <v>0.4</v>
      </c>
      <c r="H171" s="5">
        <v>35.950000000000003</v>
      </c>
      <c r="I171" s="5" t="s">
        <v>8</v>
      </c>
      <c r="J171" s="5" t="s">
        <v>8</v>
      </c>
      <c r="K171" s="5" t="s">
        <v>4</v>
      </c>
      <c r="L171" s="5" t="s">
        <v>4</v>
      </c>
      <c r="M171" s="5" t="s">
        <v>9</v>
      </c>
      <c r="N171" s="6"/>
      <c r="O171" s="6"/>
      <c r="P171" s="6"/>
    </row>
    <row r="172" spans="1:16" ht="16" x14ac:dyDescent="0.2">
      <c r="A172" s="4">
        <v>45846</v>
      </c>
      <c r="B172" s="19">
        <v>25189</v>
      </c>
      <c r="C172" s="37" t="s">
        <v>53</v>
      </c>
      <c r="D172" s="5">
        <v>8</v>
      </c>
      <c r="E172" s="5" t="s">
        <v>2</v>
      </c>
      <c r="F172" s="5" t="s">
        <v>6</v>
      </c>
      <c r="G172" s="5">
        <v>0.35</v>
      </c>
      <c r="H172" s="5">
        <v>25.45</v>
      </c>
      <c r="I172" s="5" t="s">
        <v>8</v>
      </c>
      <c r="J172" s="5" t="s">
        <v>8</v>
      </c>
      <c r="K172" s="5" t="s">
        <v>4</v>
      </c>
      <c r="L172" s="5" t="s">
        <v>4</v>
      </c>
      <c r="M172" s="5" t="s">
        <v>9</v>
      </c>
      <c r="N172" s="6"/>
      <c r="O172" s="6"/>
      <c r="P172" s="6"/>
    </row>
    <row r="173" spans="1:16" ht="16" x14ac:dyDescent="0.2">
      <c r="A173" s="4">
        <v>45846</v>
      </c>
      <c r="B173" s="19">
        <v>25189</v>
      </c>
      <c r="C173" s="37" t="s">
        <v>53</v>
      </c>
      <c r="D173" s="5">
        <v>9</v>
      </c>
      <c r="E173" s="5" t="s">
        <v>2</v>
      </c>
      <c r="F173" s="5" t="s">
        <v>3</v>
      </c>
      <c r="G173" s="5">
        <v>1.1000000000000001</v>
      </c>
      <c r="H173" s="5">
        <v>36.700000000000003</v>
      </c>
      <c r="I173" s="5">
        <v>10.1</v>
      </c>
      <c r="J173" s="5">
        <v>5.75</v>
      </c>
      <c r="K173" s="5" t="s">
        <v>4</v>
      </c>
      <c r="L173" s="5" t="s">
        <v>4</v>
      </c>
      <c r="M173" s="5" t="s">
        <v>4</v>
      </c>
      <c r="N173" s="5" t="s">
        <v>241</v>
      </c>
      <c r="O173" s="6"/>
      <c r="P173" s="6"/>
    </row>
    <row r="174" spans="1:16" ht="16" x14ac:dyDescent="0.2">
      <c r="A174" s="4">
        <v>45846</v>
      </c>
      <c r="B174" s="19">
        <v>25189</v>
      </c>
      <c r="C174" s="37" t="s">
        <v>53</v>
      </c>
      <c r="D174" s="5">
        <v>10</v>
      </c>
      <c r="E174" s="5" t="s">
        <v>2</v>
      </c>
      <c r="F174" s="5" t="s">
        <v>3</v>
      </c>
      <c r="G174" s="5">
        <v>1</v>
      </c>
      <c r="H174" s="5">
        <v>36.1</v>
      </c>
      <c r="I174" s="5">
        <v>9</v>
      </c>
      <c r="J174" s="5">
        <v>5.5</v>
      </c>
      <c r="K174" s="5" t="s">
        <v>4</v>
      </c>
      <c r="L174" s="5" t="s">
        <v>4</v>
      </c>
      <c r="M174" s="5" t="s">
        <v>4</v>
      </c>
      <c r="N174" s="5" t="s">
        <v>215</v>
      </c>
      <c r="O174" s="6"/>
      <c r="P174" s="6"/>
    </row>
    <row r="175" spans="1:16" ht="16" x14ac:dyDescent="0.2">
      <c r="A175" s="4">
        <v>45846</v>
      </c>
      <c r="B175" s="19">
        <v>25189</v>
      </c>
      <c r="C175" s="37" t="s">
        <v>53</v>
      </c>
      <c r="D175" s="5">
        <v>11</v>
      </c>
      <c r="E175" s="5" t="s">
        <v>2</v>
      </c>
      <c r="F175" s="5" t="s">
        <v>6</v>
      </c>
      <c r="G175" s="5">
        <v>0.25</v>
      </c>
      <c r="H175" s="5">
        <v>21.5</v>
      </c>
      <c r="I175" s="5" t="s">
        <v>8</v>
      </c>
      <c r="J175" s="5" t="s">
        <v>8</v>
      </c>
      <c r="K175" s="5" t="s">
        <v>4</v>
      </c>
      <c r="L175" s="5" t="s">
        <v>9</v>
      </c>
      <c r="M175" s="5" t="s">
        <v>9</v>
      </c>
      <c r="N175" s="5" t="s">
        <v>215</v>
      </c>
      <c r="O175" s="6"/>
      <c r="P175" s="6"/>
    </row>
    <row r="176" spans="1:16" ht="16" x14ac:dyDescent="0.2">
      <c r="A176" s="4">
        <v>45846</v>
      </c>
      <c r="B176" s="19">
        <v>25189</v>
      </c>
      <c r="C176" s="37" t="s">
        <v>53</v>
      </c>
      <c r="D176" s="5">
        <v>12</v>
      </c>
      <c r="E176" s="5" t="s">
        <v>2</v>
      </c>
      <c r="F176" s="5" t="s">
        <v>6</v>
      </c>
      <c r="G176" s="5">
        <v>0.3</v>
      </c>
      <c r="H176" s="5">
        <v>24.1</v>
      </c>
      <c r="I176" s="5" t="s">
        <v>8</v>
      </c>
      <c r="J176" s="5" t="s">
        <v>8</v>
      </c>
      <c r="K176" s="5" t="s">
        <v>4</v>
      </c>
      <c r="L176" s="5" t="s">
        <v>4</v>
      </c>
      <c r="M176" s="5" t="s">
        <v>9</v>
      </c>
      <c r="N176" s="5" t="s">
        <v>215</v>
      </c>
      <c r="O176" s="6"/>
      <c r="P176" s="6"/>
    </row>
    <row r="177" spans="1:16" ht="16" x14ac:dyDescent="0.2">
      <c r="A177" s="4">
        <v>45847</v>
      </c>
      <c r="B177" s="19">
        <v>25190</v>
      </c>
      <c r="C177" s="37" t="s">
        <v>37</v>
      </c>
      <c r="D177" s="5">
        <v>4</v>
      </c>
      <c r="E177" s="5" t="s">
        <v>2</v>
      </c>
      <c r="F177" s="5" t="s">
        <v>3</v>
      </c>
      <c r="G177" s="5">
        <v>1.05</v>
      </c>
      <c r="H177" s="5">
        <v>37.4</v>
      </c>
      <c r="I177" s="5">
        <v>9.15</v>
      </c>
      <c r="J177" s="5">
        <v>5.0999999999999996</v>
      </c>
      <c r="K177" s="5" t="s">
        <v>4</v>
      </c>
      <c r="L177" s="5" t="s">
        <v>4</v>
      </c>
      <c r="M177" s="5" t="s">
        <v>4</v>
      </c>
      <c r="N177" s="6"/>
      <c r="O177" s="6"/>
      <c r="P177" s="6"/>
    </row>
    <row r="178" spans="1:16" ht="16" x14ac:dyDescent="0.2">
      <c r="A178" s="4">
        <v>45847</v>
      </c>
      <c r="B178" s="19">
        <v>25190</v>
      </c>
      <c r="C178" s="37" t="s">
        <v>37</v>
      </c>
      <c r="D178" s="5">
        <v>5</v>
      </c>
      <c r="E178" s="5" t="s">
        <v>2</v>
      </c>
      <c r="F178" s="5" t="s">
        <v>6</v>
      </c>
      <c r="G178" s="5">
        <v>0.35</v>
      </c>
      <c r="H178" s="5">
        <v>27</v>
      </c>
      <c r="I178" s="5" t="s">
        <v>8</v>
      </c>
      <c r="J178" s="5" t="s">
        <v>8</v>
      </c>
      <c r="K178" s="5" t="s">
        <v>4</v>
      </c>
      <c r="L178" s="5" t="s">
        <v>9</v>
      </c>
      <c r="M178" s="5" t="s">
        <v>9</v>
      </c>
      <c r="N178" s="6"/>
      <c r="O178" s="6"/>
      <c r="P178" s="6"/>
    </row>
    <row r="179" spans="1:16" ht="16" x14ac:dyDescent="0.2">
      <c r="A179" s="4">
        <v>45847</v>
      </c>
      <c r="B179" s="19">
        <v>25190</v>
      </c>
      <c r="C179" s="37" t="s">
        <v>37</v>
      </c>
      <c r="D179" s="5">
        <v>6</v>
      </c>
      <c r="E179" s="5" t="s">
        <v>2</v>
      </c>
      <c r="F179" s="5" t="s">
        <v>6</v>
      </c>
      <c r="G179" s="5">
        <v>0.25</v>
      </c>
      <c r="H179" s="5">
        <v>25.8</v>
      </c>
      <c r="I179" s="5" t="s">
        <v>8</v>
      </c>
      <c r="J179" s="5" t="s">
        <v>8</v>
      </c>
      <c r="K179" s="5" t="s">
        <v>4</v>
      </c>
      <c r="L179" s="5" t="s">
        <v>9</v>
      </c>
      <c r="M179" s="5" t="s">
        <v>9</v>
      </c>
      <c r="N179" s="6"/>
      <c r="O179" s="6"/>
      <c r="P179" s="6"/>
    </row>
    <row r="180" spans="1:16" ht="16" x14ac:dyDescent="0.2">
      <c r="A180" s="4">
        <v>45847</v>
      </c>
      <c r="B180" s="19">
        <v>25190</v>
      </c>
      <c r="C180" s="37" t="s">
        <v>37</v>
      </c>
      <c r="D180" s="5">
        <v>7</v>
      </c>
      <c r="E180" s="5" t="s">
        <v>2</v>
      </c>
      <c r="F180" s="5" t="s">
        <v>3</v>
      </c>
      <c r="G180" s="5">
        <v>0.75</v>
      </c>
      <c r="H180" s="5">
        <v>36.25</v>
      </c>
      <c r="I180" s="5">
        <v>8.4499999999999993</v>
      </c>
      <c r="J180" s="5">
        <v>5.0999999999999996</v>
      </c>
      <c r="K180" s="5" t="s">
        <v>4</v>
      </c>
      <c r="L180" s="5" t="s">
        <v>4</v>
      </c>
      <c r="M180" s="5" t="s">
        <v>4</v>
      </c>
      <c r="N180" s="5" t="s">
        <v>243</v>
      </c>
      <c r="O180" s="6"/>
      <c r="P180" s="6"/>
    </row>
    <row r="181" spans="1:16" ht="16" x14ac:dyDescent="0.2">
      <c r="A181" s="4">
        <v>45847</v>
      </c>
      <c r="B181" s="19">
        <v>25190</v>
      </c>
      <c r="C181" s="37" t="s">
        <v>37</v>
      </c>
      <c r="D181" s="5">
        <v>8</v>
      </c>
      <c r="E181" s="5" t="s">
        <v>2</v>
      </c>
      <c r="F181" s="5" t="s">
        <v>3</v>
      </c>
      <c r="G181" s="5">
        <v>0.7</v>
      </c>
      <c r="H181" s="5">
        <v>34.5</v>
      </c>
      <c r="I181" s="5">
        <v>8.6</v>
      </c>
      <c r="J181" s="5">
        <v>4.9000000000000004</v>
      </c>
      <c r="K181" s="5" t="s">
        <v>4</v>
      </c>
      <c r="L181" s="5" t="s">
        <v>4</v>
      </c>
      <c r="M181" s="5" t="s">
        <v>4</v>
      </c>
      <c r="N181" s="6"/>
      <c r="O181" s="6"/>
      <c r="P181" s="6"/>
    </row>
    <row r="182" spans="1:16" ht="16" x14ac:dyDescent="0.2">
      <c r="A182" s="4">
        <v>45847</v>
      </c>
      <c r="B182" s="19">
        <v>25190</v>
      </c>
      <c r="C182" s="37" t="s">
        <v>37</v>
      </c>
      <c r="D182" s="5">
        <v>9</v>
      </c>
      <c r="E182" s="5" t="s">
        <v>2</v>
      </c>
      <c r="F182" s="5" t="s">
        <v>6</v>
      </c>
      <c r="G182" s="5">
        <v>0.25</v>
      </c>
      <c r="H182" s="5">
        <v>25.3</v>
      </c>
      <c r="I182" s="5" t="s">
        <v>8</v>
      </c>
      <c r="J182" s="5" t="s">
        <v>8</v>
      </c>
      <c r="K182" s="5" t="s">
        <v>4</v>
      </c>
      <c r="L182" s="5" t="s">
        <v>9</v>
      </c>
      <c r="M182" s="5" t="s">
        <v>9</v>
      </c>
      <c r="N182" s="6"/>
      <c r="O182" s="6"/>
      <c r="P182" s="6"/>
    </row>
    <row r="183" spans="1:16" ht="16" x14ac:dyDescent="0.2">
      <c r="A183" s="4">
        <v>45847</v>
      </c>
      <c r="B183" s="19">
        <v>25190</v>
      </c>
      <c r="C183" s="37" t="s">
        <v>37</v>
      </c>
      <c r="D183" s="5">
        <v>10</v>
      </c>
      <c r="E183" s="5" t="s">
        <v>2</v>
      </c>
      <c r="F183" s="5" t="s">
        <v>5</v>
      </c>
      <c r="G183" s="5">
        <v>1.05</v>
      </c>
      <c r="H183" s="5">
        <v>34.9</v>
      </c>
      <c r="I183" s="5">
        <v>9.6999999999999993</v>
      </c>
      <c r="J183" s="5">
        <v>5.25</v>
      </c>
      <c r="K183" s="5" t="s">
        <v>4</v>
      </c>
      <c r="L183" s="5" t="s">
        <v>4</v>
      </c>
      <c r="M183" s="5" t="s">
        <v>4</v>
      </c>
      <c r="N183" s="6"/>
      <c r="O183" s="6"/>
      <c r="P183" s="6"/>
    </row>
    <row r="184" spans="1:16" ht="16" x14ac:dyDescent="0.2">
      <c r="A184" s="4">
        <v>45847</v>
      </c>
      <c r="B184" s="19">
        <v>25190</v>
      </c>
      <c r="C184" s="37" t="s">
        <v>37</v>
      </c>
      <c r="D184" s="5">
        <v>11</v>
      </c>
      <c r="E184" s="5" t="s">
        <v>2</v>
      </c>
      <c r="F184" s="5" t="s">
        <v>5</v>
      </c>
      <c r="G184" s="5">
        <v>1.05</v>
      </c>
      <c r="H184" s="5">
        <v>37.75</v>
      </c>
      <c r="I184" s="5">
        <v>9.5</v>
      </c>
      <c r="J184" s="5">
        <v>5.45</v>
      </c>
      <c r="K184" s="5" t="s">
        <v>4</v>
      </c>
      <c r="L184" s="5" t="s">
        <v>4</v>
      </c>
      <c r="M184" s="5" t="s">
        <v>4</v>
      </c>
      <c r="N184" s="6"/>
      <c r="O184" s="6"/>
      <c r="P184" s="6"/>
    </row>
    <row r="185" spans="1:16" ht="16" x14ac:dyDescent="0.2">
      <c r="A185" s="4">
        <v>45847</v>
      </c>
      <c r="B185" s="19">
        <v>25190</v>
      </c>
      <c r="C185" s="37" t="s">
        <v>37</v>
      </c>
      <c r="D185" s="5">
        <v>12</v>
      </c>
      <c r="E185" s="5" t="s">
        <v>2</v>
      </c>
      <c r="F185" s="5" t="s">
        <v>6</v>
      </c>
      <c r="G185" s="5">
        <v>0.25</v>
      </c>
      <c r="H185" s="5">
        <v>27</v>
      </c>
      <c r="I185" s="5" t="s">
        <v>8</v>
      </c>
      <c r="J185" s="5" t="s">
        <v>8</v>
      </c>
      <c r="K185" s="5" t="s">
        <v>4</v>
      </c>
      <c r="L185" s="5" t="s">
        <v>9</v>
      </c>
      <c r="M185" s="5" t="s">
        <v>9</v>
      </c>
      <c r="N185" s="6"/>
      <c r="O185" s="6"/>
      <c r="P185" s="6"/>
    </row>
    <row r="186" spans="1:16" ht="16" x14ac:dyDescent="0.2">
      <c r="A186" s="4">
        <v>45847</v>
      </c>
      <c r="B186" s="19">
        <v>25190</v>
      </c>
      <c r="C186" s="37" t="s">
        <v>37</v>
      </c>
      <c r="D186" s="26">
        <v>13</v>
      </c>
      <c r="E186" s="5" t="s">
        <v>2</v>
      </c>
      <c r="F186" s="5" t="s">
        <v>6</v>
      </c>
      <c r="G186" s="5">
        <v>0.25</v>
      </c>
      <c r="H186" s="5">
        <v>24.4</v>
      </c>
      <c r="I186" s="5" t="s">
        <v>8</v>
      </c>
      <c r="J186" s="5" t="s">
        <v>8</v>
      </c>
      <c r="K186" s="5" t="s">
        <v>4</v>
      </c>
      <c r="L186" s="5" t="s">
        <v>9</v>
      </c>
      <c r="M186" s="5" t="s">
        <v>9</v>
      </c>
      <c r="N186" s="6"/>
      <c r="O186" s="6"/>
      <c r="P186" s="6"/>
    </row>
    <row r="187" spans="1:16" ht="16" x14ac:dyDescent="0.2">
      <c r="A187" s="4">
        <v>45847</v>
      </c>
      <c r="B187" s="19">
        <v>25190</v>
      </c>
      <c r="C187" s="37" t="s">
        <v>37</v>
      </c>
      <c r="D187" s="5">
        <v>14</v>
      </c>
      <c r="E187" s="5" t="s">
        <v>2</v>
      </c>
      <c r="F187" s="5" t="s">
        <v>6</v>
      </c>
      <c r="G187" s="5">
        <v>0.25</v>
      </c>
      <c r="H187" s="5">
        <v>28.5</v>
      </c>
      <c r="I187" s="5" t="s">
        <v>8</v>
      </c>
      <c r="J187" s="5" t="s">
        <v>8</v>
      </c>
      <c r="K187" s="5" t="s">
        <v>4</v>
      </c>
      <c r="L187" s="5" t="s">
        <v>9</v>
      </c>
      <c r="M187" s="5" t="s">
        <v>9</v>
      </c>
      <c r="N187" s="6"/>
      <c r="O187" s="6"/>
      <c r="P187" s="6"/>
    </row>
    <row r="188" spans="1:16" ht="16" x14ac:dyDescent="0.2">
      <c r="A188" s="4">
        <v>45847</v>
      </c>
      <c r="B188" s="19">
        <v>25190</v>
      </c>
      <c r="C188" s="37" t="s">
        <v>37</v>
      </c>
      <c r="D188" s="5">
        <v>15</v>
      </c>
      <c r="E188" s="5" t="s">
        <v>2</v>
      </c>
      <c r="F188" s="5" t="s">
        <v>3</v>
      </c>
      <c r="G188" s="5">
        <v>0.7</v>
      </c>
      <c r="H188" s="5">
        <v>32.9</v>
      </c>
      <c r="I188" s="5">
        <v>8.4499999999999993</v>
      </c>
      <c r="J188" s="5">
        <v>4.8499999999999996</v>
      </c>
      <c r="K188" s="5" t="s">
        <v>4</v>
      </c>
      <c r="L188" s="5" t="s">
        <v>4</v>
      </c>
      <c r="M188" s="5" t="s">
        <v>4</v>
      </c>
      <c r="N188" s="6"/>
      <c r="O188" s="6"/>
      <c r="P188" s="6"/>
    </row>
    <row r="189" spans="1:16" ht="16" x14ac:dyDescent="0.2">
      <c r="A189" s="4">
        <v>45847</v>
      </c>
      <c r="B189" s="19">
        <v>25190</v>
      </c>
      <c r="C189" s="37" t="s">
        <v>37</v>
      </c>
      <c r="D189" s="5">
        <v>16</v>
      </c>
      <c r="E189" s="5" t="s">
        <v>2</v>
      </c>
      <c r="F189" s="5" t="s">
        <v>3</v>
      </c>
      <c r="G189" s="5">
        <v>0.4</v>
      </c>
      <c r="H189" s="5">
        <v>29.7</v>
      </c>
      <c r="I189" s="5" t="s">
        <v>8</v>
      </c>
      <c r="J189" s="5" t="s">
        <v>8</v>
      </c>
      <c r="K189" s="5" t="s">
        <v>4</v>
      </c>
      <c r="L189" s="5" t="s">
        <v>9</v>
      </c>
      <c r="M189" s="5" t="s">
        <v>9</v>
      </c>
      <c r="N189" s="6"/>
      <c r="O189" s="6"/>
      <c r="P189" s="6"/>
    </row>
    <row r="190" spans="1:16" ht="16" x14ac:dyDescent="0.2">
      <c r="A190" s="4">
        <v>45847</v>
      </c>
      <c r="B190" s="19">
        <v>25190</v>
      </c>
      <c r="C190" s="37" t="s">
        <v>37</v>
      </c>
      <c r="D190" s="5">
        <v>17</v>
      </c>
      <c r="E190" s="5" t="s">
        <v>2</v>
      </c>
      <c r="F190" s="5" t="s">
        <v>6</v>
      </c>
      <c r="G190" s="5">
        <v>0.2</v>
      </c>
      <c r="H190" s="5">
        <v>27.5</v>
      </c>
      <c r="I190" s="5" t="s">
        <v>8</v>
      </c>
      <c r="J190" s="5" t="s">
        <v>8</v>
      </c>
      <c r="K190" s="5" t="s">
        <v>4</v>
      </c>
      <c r="L190" s="5" t="s">
        <v>9</v>
      </c>
      <c r="M190" s="5" t="s">
        <v>9</v>
      </c>
      <c r="N190" s="6"/>
      <c r="O190" s="6"/>
      <c r="P190" s="6"/>
    </row>
    <row r="191" spans="1:16" ht="16" x14ac:dyDescent="0.2">
      <c r="A191" s="4">
        <v>45847</v>
      </c>
      <c r="B191" s="19">
        <v>25190</v>
      </c>
      <c r="C191" s="37" t="s">
        <v>37</v>
      </c>
      <c r="D191" s="5">
        <v>18</v>
      </c>
      <c r="E191" s="5" t="s">
        <v>2</v>
      </c>
      <c r="F191" s="5" t="s">
        <v>5</v>
      </c>
      <c r="G191" s="5">
        <v>1.45</v>
      </c>
      <c r="H191" s="5">
        <v>45.6</v>
      </c>
      <c r="I191" s="5">
        <v>10.3</v>
      </c>
      <c r="J191" s="5">
        <v>6</v>
      </c>
      <c r="K191" s="5" t="s">
        <v>4</v>
      </c>
      <c r="L191" s="5" t="s">
        <v>4</v>
      </c>
      <c r="M191" s="5" t="s">
        <v>4</v>
      </c>
      <c r="N191" s="6"/>
      <c r="O191" s="6"/>
      <c r="P191" s="6"/>
    </row>
    <row r="192" spans="1:16" ht="16" x14ac:dyDescent="0.2">
      <c r="A192" s="4">
        <v>45847</v>
      </c>
      <c r="B192" s="19">
        <v>25190</v>
      </c>
      <c r="C192" s="37" t="s">
        <v>37</v>
      </c>
      <c r="D192" s="5">
        <v>19</v>
      </c>
      <c r="E192" s="5" t="s">
        <v>2</v>
      </c>
      <c r="F192" s="5" t="s">
        <v>5</v>
      </c>
      <c r="G192" s="5">
        <v>0.85</v>
      </c>
      <c r="H192" s="5">
        <v>36.6</v>
      </c>
      <c r="I192" s="5">
        <v>9.8000000000000007</v>
      </c>
      <c r="J192" s="5">
        <v>5.35</v>
      </c>
      <c r="K192" s="5" t="s">
        <v>4</v>
      </c>
      <c r="L192" s="5" t="s">
        <v>4</v>
      </c>
      <c r="M192" s="5" t="s">
        <v>4</v>
      </c>
      <c r="N192" s="6"/>
      <c r="O192" s="6"/>
      <c r="P192" s="6"/>
    </row>
    <row r="193" spans="1:16" ht="16" x14ac:dyDescent="0.2">
      <c r="A193" s="4">
        <v>45848</v>
      </c>
      <c r="B193" s="19">
        <v>25191</v>
      </c>
      <c r="C193" s="5" t="s">
        <v>38</v>
      </c>
      <c r="D193" s="5">
        <v>2</v>
      </c>
      <c r="E193" s="5" t="s">
        <v>2</v>
      </c>
      <c r="F193" s="5" t="s">
        <v>6</v>
      </c>
      <c r="G193" s="5">
        <v>0.35</v>
      </c>
      <c r="H193" s="5">
        <v>25.85</v>
      </c>
      <c r="I193" s="5" t="s">
        <v>8</v>
      </c>
      <c r="J193" s="5" t="s">
        <v>8</v>
      </c>
      <c r="K193" s="5" t="s">
        <v>4</v>
      </c>
      <c r="L193" s="5" t="s">
        <v>9</v>
      </c>
      <c r="M193" s="5" t="s">
        <v>9</v>
      </c>
      <c r="N193" s="6"/>
      <c r="O193" s="6"/>
      <c r="P193" s="6"/>
    </row>
    <row r="194" spans="1:16" ht="16" x14ac:dyDescent="0.2">
      <c r="A194" s="4">
        <v>45848</v>
      </c>
      <c r="B194" s="19">
        <v>25191</v>
      </c>
      <c r="C194" s="5" t="s">
        <v>38</v>
      </c>
      <c r="D194" s="5">
        <v>3</v>
      </c>
      <c r="E194" s="5" t="s">
        <v>2</v>
      </c>
      <c r="F194" s="5" t="s">
        <v>3</v>
      </c>
      <c r="G194" s="5">
        <v>0.85</v>
      </c>
      <c r="H194" s="5">
        <v>33.6</v>
      </c>
      <c r="I194" s="5">
        <v>8.5</v>
      </c>
      <c r="J194" s="5">
        <v>5</v>
      </c>
      <c r="K194" s="5" t="s">
        <v>4</v>
      </c>
      <c r="L194" s="5" t="s">
        <v>4</v>
      </c>
      <c r="M194" s="5" t="s">
        <v>4</v>
      </c>
      <c r="N194" s="6"/>
      <c r="O194" s="6"/>
      <c r="P194" s="6"/>
    </row>
    <row r="195" spans="1:16" ht="16" x14ac:dyDescent="0.2">
      <c r="A195" s="4">
        <v>45848</v>
      </c>
      <c r="B195" s="19">
        <v>25191</v>
      </c>
      <c r="C195" s="5" t="s">
        <v>38</v>
      </c>
      <c r="D195" s="5">
        <v>4</v>
      </c>
      <c r="E195" s="5" t="s">
        <v>2</v>
      </c>
      <c r="F195" s="5" t="s">
        <v>6</v>
      </c>
      <c r="G195" s="5">
        <v>0.25</v>
      </c>
      <c r="H195" s="5">
        <v>23.9</v>
      </c>
      <c r="I195" s="5" t="s">
        <v>8</v>
      </c>
      <c r="J195" s="5" t="s">
        <v>8</v>
      </c>
      <c r="K195" s="5" t="s">
        <v>4</v>
      </c>
      <c r="L195" s="5" t="s">
        <v>9</v>
      </c>
      <c r="M195" s="5" t="s">
        <v>9</v>
      </c>
      <c r="N195" s="6"/>
      <c r="O195" s="6"/>
      <c r="P195" s="6"/>
    </row>
    <row r="196" spans="1:16" ht="16" x14ac:dyDescent="0.2">
      <c r="A196" s="4">
        <v>45848</v>
      </c>
      <c r="B196" s="19">
        <v>25191</v>
      </c>
      <c r="C196" s="5" t="s">
        <v>38</v>
      </c>
      <c r="D196" s="5">
        <v>5</v>
      </c>
      <c r="E196" s="5" t="s">
        <v>2</v>
      </c>
      <c r="F196" s="5" t="s">
        <v>5</v>
      </c>
      <c r="G196" s="5">
        <v>1</v>
      </c>
      <c r="H196" s="5">
        <v>36.65</v>
      </c>
      <c r="I196" s="5">
        <v>9</v>
      </c>
      <c r="J196" s="5">
        <v>5.0999999999999996</v>
      </c>
      <c r="K196" s="5" t="s">
        <v>4</v>
      </c>
      <c r="L196" s="5" t="s">
        <v>4</v>
      </c>
      <c r="M196" s="5" t="s">
        <v>4</v>
      </c>
      <c r="N196" s="6"/>
      <c r="O196" s="6"/>
      <c r="P196" s="6"/>
    </row>
    <row r="197" spans="1:16" ht="16" x14ac:dyDescent="0.2">
      <c r="A197" s="4">
        <v>45848</v>
      </c>
      <c r="B197" s="19">
        <v>25191</v>
      </c>
      <c r="C197" s="5" t="s">
        <v>38</v>
      </c>
      <c r="D197" s="5">
        <v>6</v>
      </c>
      <c r="E197" s="5" t="s">
        <v>2</v>
      </c>
      <c r="F197" s="5" t="s">
        <v>3</v>
      </c>
      <c r="G197" s="5">
        <v>0.45</v>
      </c>
      <c r="H197" s="5">
        <v>28.9</v>
      </c>
      <c r="I197" s="5">
        <v>7.2</v>
      </c>
      <c r="J197" s="5">
        <v>4</v>
      </c>
      <c r="K197" s="5" t="s">
        <v>4</v>
      </c>
      <c r="L197" s="5" t="s">
        <v>4</v>
      </c>
      <c r="M197" s="5" t="s">
        <v>9</v>
      </c>
      <c r="N197" s="5" t="s">
        <v>244</v>
      </c>
      <c r="O197" s="6"/>
      <c r="P197" s="6"/>
    </row>
    <row r="198" spans="1:16" ht="16" x14ac:dyDescent="0.2">
      <c r="A198" s="4">
        <v>45848</v>
      </c>
      <c r="B198" s="19">
        <v>25191</v>
      </c>
      <c r="C198" s="5" t="s">
        <v>38</v>
      </c>
      <c r="D198" s="5">
        <v>7</v>
      </c>
      <c r="E198" s="5" t="s">
        <v>2</v>
      </c>
      <c r="F198" s="5" t="s">
        <v>3</v>
      </c>
      <c r="G198" s="5">
        <v>0.25</v>
      </c>
      <c r="H198" s="5">
        <v>28.2</v>
      </c>
      <c r="I198" s="5">
        <v>7.4</v>
      </c>
      <c r="J198" s="5">
        <v>4.2</v>
      </c>
      <c r="K198" s="5" t="s">
        <v>4</v>
      </c>
      <c r="L198" s="5" t="s">
        <v>4</v>
      </c>
      <c r="M198" s="5" t="s">
        <v>9</v>
      </c>
      <c r="N198" s="5" t="s">
        <v>244</v>
      </c>
      <c r="O198" s="6"/>
      <c r="P198" s="6"/>
    </row>
    <row r="199" spans="1:16" ht="16" x14ac:dyDescent="0.2">
      <c r="A199" s="4">
        <v>45848</v>
      </c>
      <c r="B199" s="19">
        <v>25191</v>
      </c>
      <c r="C199" s="5" t="s">
        <v>38</v>
      </c>
      <c r="D199" s="5">
        <v>8</v>
      </c>
      <c r="E199" s="5" t="s">
        <v>2</v>
      </c>
      <c r="F199" s="5" t="s">
        <v>5</v>
      </c>
      <c r="G199" s="5">
        <v>0.7</v>
      </c>
      <c r="H199" s="5">
        <v>35.85</v>
      </c>
      <c r="I199" s="5">
        <v>9.35</v>
      </c>
      <c r="J199" s="5">
        <v>5.5</v>
      </c>
      <c r="K199" s="5" t="s">
        <v>4</v>
      </c>
      <c r="L199" s="5" t="s">
        <v>4</v>
      </c>
      <c r="M199" s="5" t="s">
        <v>4</v>
      </c>
      <c r="N199" s="6"/>
      <c r="O199" s="6"/>
      <c r="P199" s="6"/>
    </row>
    <row r="200" spans="1:16" ht="16" x14ac:dyDescent="0.2">
      <c r="A200" s="4">
        <v>45848</v>
      </c>
      <c r="B200" s="19">
        <v>25191</v>
      </c>
      <c r="C200" s="5" t="s">
        <v>38</v>
      </c>
      <c r="D200" s="5">
        <v>9</v>
      </c>
      <c r="E200" s="5" t="s">
        <v>2</v>
      </c>
      <c r="F200" s="5" t="s">
        <v>3</v>
      </c>
      <c r="G200" s="5">
        <v>0.85</v>
      </c>
      <c r="H200" s="5">
        <v>38.700000000000003</v>
      </c>
      <c r="I200" s="5">
        <v>9.4</v>
      </c>
      <c r="J200" s="5">
        <v>5.4</v>
      </c>
      <c r="K200" s="5" t="s">
        <v>4</v>
      </c>
      <c r="L200" s="5" t="s">
        <v>4</v>
      </c>
      <c r="M200" s="5" t="s">
        <v>4</v>
      </c>
      <c r="N200" s="6"/>
      <c r="O200" s="6"/>
      <c r="P200" s="6"/>
    </row>
    <row r="201" spans="1:16" ht="16" x14ac:dyDescent="0.2">
      <c r="A201" s="4">
        <v>45848</v>
      </c>
      <c r="B201" s="19">
        <v>25191</v>
      </c>
      <c r="C201" s="5" t="s">
        <v>38</v>
      </c>
      <c r="D201" s="5">
        <v>10</v>
      </c>
      <c r="E201" s="5" t="s">
        <v>2</v>
      </c>
      <c r="F201" s="5" t="s">
        <v>3</v>
      </c>
      <c r="G201" s="5">
        <v>1.3</v>
      </c>
      <c r="H201" s="5">
        <v>37.950000000000003</v>
      </c>
      <c r="I201" s="5">
        <v>9.5</v>
      </c>
      <c r="J201" s="5">
        <v>5.9</v>
      </c>
      <c r="K201" s="5" t="s">
        <v>4</v>
      </c>
      <c r="L201" s="5" t="s">
        <v>4</v>
      </c>
      <c r="M201" s="5" t="s">
        <v>4</v>
      </c>
      <c r="N201" s="6"/>
      <c r="O201" s="6"/>
      <c r="P201" s="6"/>
    </row>
    <row r="202" spans="1:16" ht="16" x14ac:dyDescent="0.2">
      <c r="A202" s="4">
        <v>45848</v>
      </c>
      <c r="B202" s="19">
        <v>25191</v>
      </c>
      <c r="C202" s="5" t="s">
        <v>38</v>
      </c>
      <c r="D202" s="5">
        <v>11</v>
      </c>
      <c r="E202" s="5" t="s">
        <v>2</v>
      </c>
      <c r="F202" s="5" t="s">
        <v>6</v>
      </c>
      <c r="G202" s="5">
        <v>0.15</v>
      </c>
      <c r="H202" s="5">
        <v>20.75</v>
      </c>
      <c r="I202" s="5" t="s">
        <v>8</v>
      </c>
      <c r="J202" s="5" t="s">
        <v>8</v>
      </c>
      <c r="K202" s="5" t="s">
        <v>4</v>
      </c>
      <c r="L202" s="5" t="s">
        <v>9</v>
      </c>
      <c r="M202" s="5" t="s">
        <v>9</v>
      </c>
      <c r="N202" s="6"/>
      <c r="O202" s="6"/>
      <c r="P202" s="6"/>
    </row>
    <row r="203" spans="1:16" ht="16" x14ac:dyDescent="0.2">
      <c r="A203" s="4">
        <v>45848</v>
      </c>
      <c r="B203" s="19">
        <v>25191</v>
      </c>
      <c r="C203" s="5" t="s">
        <v>38</v>
      </c>
      <c r="D203" s="5">
        <v>12</v>
      </c>
      <c r="E203" s="5" t="s">
        <v>2</v>
      </c>
      <c r="F203" s="5" t="s">
        <v>3</v>
      </c>
      <c r="G203" s="5">
        <v>0.5</v>
      </c>
      <c r="H203" s="5">
        <v>32.75</v>
      </c>
      <c r="I203" s="5">
        <v>8.15</v>
      </c>
      <c r="J203" s="5">
        <v>4.6500000000000004</v>
      </c>
      <c r="K203" s="5" t="s">
        <v>4</v>
      </c>
      <c r="L203" s="5" t="s">
        <v>4</v>
      </c>
      <c r="M203" s="5" t="s">
        <v>4</v>
      </c>
      <c r="N203" s="5" t="s">
        <v>245</v>
      </c>
      <c r="O203" s="6"/>
      <c r="P203" s="6"/>
    </row>
    <row r="204" spans="1:16" ht="16" x14ac:dyDescent="0.2">
      <c r="A204" s="4">
        <v>45848</v>
      </c>
      <c r="B204" s="19">
        <v>25191</v>
      </c>
      <c r="C204" s="5" t="s">
        <v>38</v>
      </c>
      <c r="D204" s="5">
        <v>13</v>
      </c>
      <c r="E204" s="5" t="s">
        <v>2</v>
      </c>
      <c r="F204" s="5" t="s">
        <v>3</v>
      </c>
      <c r="G204" s="5">
        <v>0.45</v>
      </c>
      <c r="H204" s="5">
        <v>30.5</v>
      </c>
      <c r="I204" s="5">
        <v>8.15</v>
      </c>
      <c r="J204" s="5">
        <v>4.6500000000000004</v>
      </c>
      <c r="K204" s="5" t="s">
        <v>4</v>
      </c>
      <c r="L204" s="5" t="s">
        <v>4</v>
      </c>
      <c r="M204" s="5" t="s">
        <v>9</v>
      </c>
      <c r="N204" s="6"/>
      <c r="O204" s="6"/>
      <c r="P204" s="6"/>
    </row>
    <row r="205" spans="1:16" ht="16" x14ac:dyDescent="0.2">
      <c r="A205" s="4">
        <v>45848</v>
      </c>
      <c r="B205" s="19">
        <v>25191</v>
      </c>
      <c r="C205" s="5" t="s">
        <v>38</v>
      </c>
      <c r="D205" s="5">
        <v>14</v>
      </c>
      <c r="E205" s="5" t="s">
        <v>2</v>
      </c>
      <c r="F205" s="5" t="s">
        <v>5</v>
      </c>
      <c r="G205" s="5">
        <v>0.5</v>
      </c>
      <c r="H205" s="5">
        <v>29.5</v>
      </c>
      <c r="I205" s="5">
        <v>7.5</v>
      </c>
      <c r="J205" s="5">
        <v>4.5999999999999996</v>
      </c>
      <c r="K205" s="5" t="s">
        <v>4</v>
      </c>
      <c r="L205" s="5" t="s">
        <v>4</v>
      </c>
      <c r="M205" s="5" t="s">
        <v>9</v>
      </c>
      <c r="N205" s="6"/>
      <c r="O205" s="6"/>
      <c r="P205" s="6"/>
    </row>
    <row r="206" spans="1:16" ht="16" x14ac:dyDescent="0.2">
      <c r="A206" s="4">
        <v>45848</v>
      </c>
      <c r="B206" s="19">
        <v>25191</v>
      </c>
      <c r="C206" s="5" t="s">
        <v>38</v>
      </c>
      <c r="D206" s="5">
        <v>15</v>
      </c>
      <c r="E206" s="5" t="s">
        <v>2</v>
      </c>
      <c r="F206" s="5" t="s">
        <v>3</v>
      </c>
      <c r="G206" s="5">
        <v>0.65</v>
      </c>
      <c r="H206" s="5">
        <v>32.1</v>
      </c>
      <c r="I206" s="5">
        <v>8</v>
      </c>
      <c r="J206" s="5">
        <v>4.5999999999999996</v>
      </c>
      <c r="K206" s="5" t="s">
        <v>4</v>
      </c>
      <c r="L206" s="5" t="s">
        <v>4</v>
      </c>
      <c r="M206" s="5" t="s">
        <v>4</v>
      </c>
      <c r="N206" s="6"/>
      <c r="O206" s="6"/>
      <c r="P206" s="6"/>
    </row>
    <row r="207" spans="1:16" ht="15.75" customHeight="1" x14ac:dyDescent="0.15">
      <c r="M207">
        <f>COUNTIF(M2:M206, "Y")</f>
        <v>132</v>
      </c>
    </row>
  </sheetData>
  <autoFilter ref="A1:N207" xr:uid="{00000000-0001-0000-0200-000000000000}"/>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148"/>
  <sheetViews>
    <sheetView workbookViewId="0">
      <pane xSplit="3" ySplit="1" topLeftCell="K51" activePane="bottomRight" state="frozen"/>
      <selection pane="topRight" activeCell="C1" sqref="C1"/>
      <selection pane="bottomLeft" activeCell="A2" sqref="A2"/>
      <selection pane="bottomRight" activeCell="Q72" sqref="Q72"/>
    </sheetView>
  </sheetViews>
  <sheetFormatPr baseColWidth="10" defaultColWidth="12.6640625" defaultRowHeight="15.75" customHeight="1" x14ac:dyDescent="0.15"/>
  <cols>
    <col min="3" max="3" width="28.83203125" bestFit="1" customWidth="1"/>
    <col min="4" max="6" width="29" customWidth="1"/>
    <col min="8" max="8" width="11.5" customWidth="1"/>
    <col min="9" max="9" width="9.5" customWidth="1"/>
    <col min="12" max="12" width="8.6640625" customWidth="1"/>
    <col min="13" max="13" width="10.1640625" customWidth="1"/>
    <col min="14" max="14" width="15.5" customWidth="1"/>
    <col min="17" max="18" width="7.83203125" customWidth="1"/>
    <col min="19" max="19" width="9.33203125" customWidth="1"/>
    <col min="21" max="21" width="17.33203125" customWidth="1"/>
  </cols>
  <sheetData>
    <row r="1" spans="1:22" ht="36" x14ac:dyDescent="0.2">
      <c r="A1" s="1" t="s">
        <v>298</v>
      </c>
      <c r="B1" s="1" t="s">
        <v>341</v>
      </c>
      <c r="C1" s="1" t="s">
        <v>299</v>
      </c>
      <c r="D1" s="1" t="s">
        <v>331</v>
      </c>
      <c r="E1" s="1" t="s">
        <v>333</v>
      </c>
      <c r="F1" s="1" t="s">
        <v>334</v>
      </c>
      <c r="G1" s="1" t="s">
        <v>312</v>
      </c>
      <c r="H1" s="1" t="s">
        <v>313</v>
      </c>
      <c r="I1" s="1" t="s">
        <v>314</v>
      </c>
      <c r="J1" s="1" t="s">
        <v>317</v>
      </c>
      <c r="K1" s="1" t="s">
        <v>315</v>
      </c>
      <c r="L1" s="1" t="s">
        <v>316</v>
      </c>
      <c r="M1" s="1" t="s">
        <v>318</v>
      </c>
      <c r="N1" s="1" t="s">
        <v>332</v>
      </c>
      <c r="O1" s="1" t="s">
        <v>323</v>
      </c>
      <c r="P1" s="1" t="s">
        <v>324</v>
      </c>
      <c r="Q1" s="1" t="s">
        <v>325</v>
      </c>
      <c r="R1" s="1" t="s">
        <v>326</v>
      </c>
      <c r="S1" s="1" t="s">
        <v>327</v>
      </c>
      <c r="T1" s="1" t="s">
        <v>328</v>
      </c>
      <c r="U1" s="1" t="s">
        <v>329</v>
      </c>
      <c r="V1" s="1" t="s">
        <v>0</v>
      </c>
    </row>
    <row r="2" spans="1:22" ht="15.75" customHeight="1" x14ac:dyDescent="0.2">
      <c r="A2" s="4">
        <v>45824</v>
      </c>
      <c r="B2" s="19">
        <v>25167</v>
      </c>
      <c r="C2" s="5" t="s">
        <v>1</v>
      </c>
      <c r="D2" s="5" t="s">
        <v>246</v>
      </c>
      <c r="E2" s="15">
        <v>42.080227777799998</v>
      </c>
      <c r="F2" s="15">
        <v>-75.971408333300005</v>
      </c>
      <c r="G2" s="5" t="s">
        <v>78</v>
      </c>
      <c r="H2" s="5">
        <v>64</v>
      </c>
      <c r="I2" s="5">
        <v>82.9</v>
      </c>
      <c r="J2" s="10">
        <v>0.35555555555555557</v>
      </c>
      <c r="K2" s="5">
        <v>68.400000000000006</v>
      </c>
      <c r="L2" s="5">
        <v>77.8</v>
      </c>
      <c r="M2" s="10">
        <v>0.61458333333333337</v>
      </c>
      <c r="N2" s="11">
        <f>AVERAGE(90,96,96,94)*1.04</f>
        <v>97.76</v>
      </c>
      <c r="O2" s="5" t="s">
        <v>8</v>
      </c>
      <c r="P2" s="5" t="s">
        <v>8</v>
      </c>
      <c r="Q2" s="5" t="s">
        <v>8</v>
      </c>
      <c r="R2" s="5" t="s">
        <v>8</v>
      </c>
      <c r="S2" s="5" t="s">
        <v>8</v>
      </c>
      <c r="T2" s="5" t="s">
        <v>8</v>
      </c>
      <c r="U2" s="5" t="s">
        <v>9</v>
      </c>
      <c r="V2" s="6"/>
    </row>
    <row r="3" spans="1:22" ht="15.75" customHeight="1" x14ac:dyDescent="0.2">
      <c r="A3" s="4">
        <v>45826</v>
      </c>
      <c r="B3" s="19">
        <v>25169</v>
      </c>
      <c r="C3" s="5" t="s">
        <v>13</v>
      </c>
      <c r="D3" s="5" t="s">
        <v>247</v>
      </c>
      <c r="E3" s="15">
        <v>41.988944444399998</v>
      </c>
      <c r="F3" s="15">
        <v>-76.196891666699997</v>
      </c>
      <c r="G3" s="5" t="s">
        <v>78</v>
      </c>
      <c r="H3" s="5">
        <v>71</v>
      </c>
      <c r="I3" s="5">
        <v>86.7</v>
      </c>
      <c r="J3" s="5" t="s">
        <v>8</v>
      </c>
      <c r="K3" s="5" t="s">
        <v>8</v>
      </c>
      <c r="L3" s="5" t="s">
        <v>8</v>
      </c>
      <c r="M3" s="10">
        <v>0.43472222222222223</v>
      </c>
      <c r="N3" s="11">
        <f t="shared" ref="N3:N16" si="0">AVERAGE(96,96,96,96)*1.04</f>
        <v>99.84</v>
      </c>
      <c r="O3" s="5" t="s">
        <v>4</v>
      </c>
      <c r="P3" s="5" t="s">
        <v>56</v>
      </c>
      <c r="Q3" s="5">
        <v>16.8</v>
      </c>
      <c r="R3" s="5">
        <v>5.8</v>
      </c>
      <c r="S3" s="5">
        <v>51</v>
      </c>
      <c r="T3" s="5">
        <v>4</v>
      </c>
      <c r="U3" s="5" t="s">
        <v>67</v>
      </c>
      <c r="V3" s="5" t="s">
        <v>213</v>
      </c>
    </row>
    <row r="4" spans="1:22" ht="15.75" customHeight="1" x14ac:dyDescent="0.2">
      <c r="A4" s="4">
        <v>45826</v>
      </c>
      <c r="B4" s="19">
        <v>25169</v>
      </c>
      <c r="C4" s="5" t="s">
        <v>13</v>
      </c>
      <c r="D4" s="6"/>
      <c r="E4" s="15">
        <v>41.988944444399998</v>
      </c>
      <c r="F4" s="15">
        <v>-76.196891666699997</v>
      </c>
      <c r="G4" s="5" t="s">
        <v>78</v>
      </c>
      <c r="H4" s="5">
        <v>71</v>
      </c>
      <c r="I4" s="5">
        <v>86.7</v>
      </c>
      <c r="J4" s="5" t="s">
        <v>8</v>
      </c>
      <c r="K4" s="5" t="s">
        <v>8</v>
      </c>
      <c r="L4" s="5" t="s">
        <v>8</v>
      </c>
      <c r="M4" s="10">
        <v>0.43472222222222223</v>
      </c>
      <c r="N4" s="11">
        <f t="shared" si="0"/>
        <v>99.84</v>
      </c>
      <c r="O4" s="5" t="s">
        <v>9</v>
      </c>
      <c r="P4" s="5" t="s">
        <v>55</v>
      </c>
      <c r="Q4" s="5">
        <v>17.600000000000001</v>
      </c>
      <c r="R4" s="5">
        <v>6.1</v>
      </c>
      <c r="S4" s="5">
        <v>59</v>
      </c>
      <c r="T4" s="5">
        <v>3.5</v>
      </c>
      <c r="U4" s="5" t="s">
        <v>67</v>
      </c>
      <c r="V4" s="5" t="s">
        <v>213</v>
      </c>
    </row>
    <row r="5" spans="1:22" ht="15.75" customHeight="1" x14ac:dyDescent="0.2">
      <c r="A5" s="4">
        <v>45826</v>
      </c>
      <c r="B5" s="19">
        <v>25169</v>
      </c>
      <c r="C5" s="5" t="s">
        <v>13</v>
      </c>
      <c r="D5" s="5" t="s">
        <v>248</v>
      </c>
      <c r="E5" s="15">
        <v>41.984099999999998</v>
      </c>
      <c r="F5" s="15">
        <v>-76.196399999999997</v>
      </c>
      <c r="G5" s="5" t="s">
        <v>78</v>
      </c>
      <c r="H5" s="5">
        <v>73.400000000000006</v>
      </c>
      <c r="I5" s="5">
        <v>83.8</v>
      </c>
      <c r="J5" s="10">
        <v>0.46111111111111114</v>
      </c>
      <c r="K5" s="5">
        <v>77.099999999999994</v>
      </c>
      <c r="L5" s="5">
        <v>73.5</v>
      </c>
      <c r="M5" s="10">
        <v>0.66041666666666665</v>
      </c>
      <c r="N5" s="11">
        <f t="shared" si="0"/>
        <v>99.84</v>
      </c>
      <c r="O5" s="5" t="s">
        <v>4</v>
      </c>
      <c r="P5" s="5" t="s">
        <v>62</v>
      </c>
      <c r="Q5" s="5">
        <v>20.2</v>
      </c>
      <c r="R5" s="5">
        <v>5.4</v>
      </c>
      <c r="S5" s="5">
        <v>70</v>
      </c>
      <c r="T5" s="5">
        <v>3.5</v>
      </c>
      <c r="U5" s="5" t="s">
        <v>67</v>
      </c>
      <c r="V5" s="5" t="s">
        <v>215</v>
      </c>
    </row>
    <row r="6" spans="1:22" ht="15.75" customHeight="1" x14ac:dyDescent="0.2">
      <c r="A6" s="4">
        <v>45826</v>
      </c>
      <c r="B6" s="19">
        <v>25169</v>
      </c>
      <c r="C6" s="5" t="s">
        <v>13</v>
      </c>
      <c r="D6" s="6"/>
      <c r="E6" s="15">
        <v>41.984099999999998</v>
      </c>
      <c r="F6" s="15">
        <v>-76.196399999999997</v>
      </c>
      <c r="G6" s="5" t="s">
        <v>78</v>
      </c>
      <c r="H6" s="5">
        <v>73.400000000000006</v>
      </c>
      <c r="I6" s="5">
        <v>83.8</v>
      </c>
      <c r="J6" s="10">
        <v>0.46111111111111114</v>
      </c>
      <c r="K6" s="5">
        <v>77.099999999999994</v>
      </c>
      <c r="L6" s="5">
        <v>73.5</v>
      </c>
      <c r="M6" s="10">
        <v>0.66041666666666665</v>
      </c>
      <c r="N6" s="11">
        <f t="shared" si="0"/>
        <v>99.84</v>
      </c>
      <c r="O6" s="5" t="s">
        <v>9</v>
      </c>
      <c r="P6" s="5" t="s">
        <v>55</v>
      </c>
      <c r="Q6" s="5">
        <v>21.4</v>
      </c>
      <c r="R6" s="5">
        <v>5.9</v>
      </c>
      <c r="S6" s="5">
        <v>50</v>
      </c>
      <c r="T6" s="5">
        <v>2.5</v>
      </c>
      <c r="U6" s="5" t="s">
        <v>67</v>
      </c>
      <c r="V6" s="5"/>
    </row>
    <row r="7" spans="1:22" ht="15.75" customHeight="1" x14ac:dyDescent="0.2">
      <c r="A7" s="4">
        <v>45826</v>
      </c>
      <c r="B7" s="19">
        <v>25169</v>
      </c>
      <c r="C7" s="5" t="s">
        <v>13</v>
      </c>
      <c r="D7" s="6"/>
      <c r="E7" s="15">
        <v>41.984099999999998</v>
      </c>
      <c r="F7" s="15">
        <v>-76.196399999999997</v>
      </c>
      <c r="G7" s="5" t="s">
        <v>78</v>
      </c>
      <c r="H7" s="5">
        <v>73.400000000000006</v>
      </c>
      <c r="I7" s="5">
        <v>83.8</v>
      </c>
      <c r="J7" s="10">
        <v>0.46111111111111114</v>
      </c>
      <c r="K7" s="5">
        <v>77.099999999999994</v>
      </c>
      <c r="L7" s="5">
        <v>73.5</v>
      </c>
      <c r="M7" s="10">
        <v>0.66041666666666665</v>
      </c>
      <c r="N7" s="11">
        <f t="shared" si="0"/>
        <v>99.84</v>
      </c>
      <c r="O7" s="5" t="s">
        <v>4</v>
      </c>
      <c r="P7" s="5" t="s">
        <v>55</v>
      </c>
      <c r="Q7" s="5">
        <v>20.9</v>
      </c>
      <c r="R7" s="5">
        <v>5.5</v>
      </c>
      <c r="S7" s="5">
        <v>50</v>
      </c>
      <c r="T7" s="5">
        <v>2.5</v>
      </c>
      <c r="U7" s="5" t="s">
        <v>9</v>
      </c>
      <c r="V7" s="5"/>
    </row>
    <row r="8" spans="1:22" ht="15.75" customHeight="1" x14ac:dyDescent="0.2">
      <c r="A8" s="4">
        <v>45826</v>
      </c>
      <c r="B8" s="19">
        <v>25169</v>
      </c>
      <c r="C8" s="5" t="s">
        <v>13</v>
      </c>
      <c r="D8" s="6"/>
      <c r="E8" s="15">
        <v>41.984099999999998</v>
      </c>
      <c r="F8" s="15">
        <v>-76.196399999999997</v>
      </c>
      <c r="G8" s="5" t="s">
        <v>78</v>
      </c>
      <c r="H8" s="5">
        <v>73.400000000000006</v>
      </c>
      <c r="I8" s="5">
        <v>83.8</v>
      </c>
      <c r="J8" s="10">
        <v>0.46111111111111114</v>
      </c>
      <c r="K8" s="5">
        <v>77.099999999999994</v>
      </c>
      <c r="L8" s="5">
        <v>73.5</v>
      </c>
      <c r="M8" s="10">
        <v>0.66041666666666665</v>
      </c>
      <c r="N8" s="11">
        <f t="shared" si="0"/>
        <v>99.84</v>
      </c>
      <c r="O8" s="5" t="s">
        <v>9</v>
      </c>
      <c r="P8" s="5" t="s">
        <v>62</v>
      </c>
      <c r="Q8" s="5">
        <v>18.3</v>
      </c>
      <c r="R8" s="5">
        <v>6.3</v>
      </c>
      <c r="S8" s="5">
        <v>30</v>
      </c>
      <c r="T8" s="5">
        <v>2</v>
      </c>
      <c r="U8" s="5" t="s">
        <v>9</v>
      </c>
      <c r="V8" s="5"/>
    </row>
    <row r="9" spans="1:22" ht="15.75" customHeight="1" x14ac:dyDescent="0.2">
      <c r="A9" s="4">
        <v>45826</v>
      </c>
      <c r="B9" s="19">
        <v>25169</v>
      </c>
      <c r="C9" s="5" t="s">
        <v>13</v>
      </c>
      <c r="D9" s="6"/>
      <c r="E9" s="15">
        <v>41.984099999999998</v>
      </c>
      <c r="F9" s="15">
        <v>-76.196399999999997</v>
      </c>
      <c r="G9" s="5" t="s">
        <v>78</v>
      </c>
      <c r="H9" s="5">
        <v>73.400000000000006</v>
      </c>
      <c r="I9" s="5">
        <v>83.8</v>
      </c>
      <c r="J9" s="10">
        <v>0.46111111111111114</v>
      </c>
      <c r="K9" s="5">
        <v>77.099999999999994</v>
      </c>
      <c r="L9" s="5">
        <v>73.5</v>
      </c>
      <c r="M9" s="10">
        <v>0.66041666666666665</v>
      </c>
      <c r="N9" s="11">
        <f t="shared" si="0"/>
        <v>99.84</v>
      </c>
      <c r="O9" s="5" t="s">
        <v>4</v>
      </c>
      <c r="P9" s="5" t="s">
        <v>55</v>
      </c>
      <c r="Q9" s="5">
        <v>21.4</v>
      </c>
      <c r="R9" s="5">
        <v>5.5</v>
      </c>
      <c r="S9" s="5">
        <v>45</v>
      </c>
      <c r="T9" s="5">
        <v>2</v>
      </c>
      <c r="U9" s="5" t="s">
        <v>9</v>
      </c>
      <c r="V9" s="6"/>
    </row>
    <row r="10" spans="1:22" ht="15.75" customHeight="1" x14ac:dyDescent="0.2">
      <c r="A10" s="4">
        <v>45826</v>
      </c>
      <c r="B10" s="19">
        <v>25169</v>
      </c>
      <c r="C10" s="5" t="s">
        <v>13</v>
      </c>
      <c r="D10" s="6"/>
      <c r="E10" s="15">
        <v>41.984099999999998</v>
      </c>
      <c r="F10" s="15">
        <v>-76.196399999999997</v>
      </c>
      <c r="G10" s="5" t="s">
        <v>78</v>
      </c>
      <c r="H10" s="5">
        <v>73.400000000000006</v>
      </c>
      <c r="I10" s="5">
        <v>83.8</v>
      </c>
      <c r="J10" s="10">
        <v>0.46111111111111114</v>
      </c>
      <c r="K10" s="5">
        <v>77.099999999999994</v>
      </c>
      <c r="L10" s="5">
        <v>73.5</v>
      </c>
      <c r="M10" s="10">
        <v>0.66041666666666665</v>
      </c>
      <c r="N10" s="11">
        <f t="shared" si="0"/>
        <v>99.84</v>
      </c>
      <c r="O10" s="5" t="s">
        <v>9</v>
      </c>
      <c r="P10" s="5" t="s">
        <v>55</v>
      </c>
      <c r="Q10" s="5">
        <v>21.7</v>
      </c>
      <c r="R10" s="5">
        <v>5.4</v>
      </c>
      <c r="S10" s="5">
        <v>49</v>
      </c>
      <c r="T10" s="5">
        <v>2.5</v>
      </c>
      <c r="U10" s="5" t="s">
        <v>9</v>
      </c>
      <c r="V10" s="5" t="s">
        <v>249</v>
      </c>
    </row>
    <row r="11" spans="1:22" ht="15.75" customHeight="1" x14ac:dyDescent="0.2">
      <c r="A11" s="4">
        <v>45827</v>
      </c>
      <c r="B11" s="19">
        <v>25170</v>
      </c>
      <c r="C11" s="5" t="s">
        <v>40</v>
      </c>
      <c r="D11" s="5" t="s">
        <v>250</v>
      </c>
      <c r="E11" s="15">
        <v>41.031313888900002</v>
      </c>
      <c r="F11" s="15">
        <v>-75.734505555599995</v>
      </c>
      <c r="G11" s="5" t="s">
        <v>120</v>
      </c>
      <c r="H11" s="5">
        <v>72.2</v>
      </c>
      <c r="I11" s="5">
        <v>88.2</v>
      </c>
      <c r="J11" s="10">
        <v>0.36388888888888887</v>
      </c>
      <c r="K11" s="5">
        <v>86.1</v>
      </c>
      <c r="L11" s="5">
        <v>53</v>
      </c>
      <c r="M11" s="10">
        <v>0.66805555555555551</v>
      </c>
      <c r="N11" s="11">
        <f t="shared" si="0"/>
        <v>99.84</v>
      </c>
      <c r="O11" s="5" t="s">
        <v>4</v>
      </c>
      <c r="P11" s="5" t="s">
        <v>55</v>
      </c>
      <c r="Q11" s="5">
        <v>22.5</v>
      </c>
      <c r="R11" s="5">
        <v>5.3</v>
      </c>
      <c r="S11" s="5">
        <v>60</v>
      </c>
      <c r="T11" s="5">
        <v>4</v>
      </c>
      <c r="U11" s="5" t="s">
        <v>9</v>
      </c>
      <c r="V11" s="6"/>
    </row>
    <row r="12" spans="1:22" ht="15.75" customHeight="1" x14ac:dyDescent="0.2">
      <c r="A12" s="4">
        <v>45827</v>
      </c>
      <c r="B12" s="19">
        <v>25170</v>
      </c>
      <c r="C12" s="5" t="s">
        <v>40</v>
      </c>
      <c r="D12" s="6"/>
      <c r="E12" s="15">
        <v>41.031313888900002</v>
      </c>
      <c r="F12" s="15">
        <v>-75.734505555599995</v>
      </c>
      <c r="G12" s="5" t="s">
        <v>120</v>
      </c>
      <c r="H12" s="5">
        <v>72.2</v>
      </c>
      <c r="I12" s="5">
        <v>88.2</v>
      </c>
      <c r="J12" s="10">
        <v>0.36388888888888887</v>
      </c>
      <c r="K12" s="5">
        <v>86.1</v>
      </c>
      <c r="L12" s="5">
        <v>53</v>
      </c>
      <c r="M12" s="10">
        <v>0.66805555555555551</v>
      </c>
      <c r="N12" s="11">
        <f t="shared" si="0"/>
        <v>99.84</v>
      </c>
      <c r="O12" s="5" t="s">
        <v>9</v>
      </c>
      <c r="P12" s="5" t="s">
        <v>55</v>
      </c>
      <c r="Q12" s="5">
        <v>22.1</v>
      </c>
      <c r="R12" s="5">
        <v>4.9000000000000004</v>
      </c>
      <c r="S12" s="5">
        <v>95</v>
      </c>
      <c r="T12" s="5">
        <v>4.5</v>
      </c>
      <c r="U12" s="5" t="s">
        <v>9</v>
      </c>
      <c r="V12" s="6"/>
    </row>
    <row r="13" spans="1:22" ht="15.75" customHeight="1" x14ac:dyDescent="0.2">
      <c r="A13" s="4">
        <v>45827</v>
      </c>
      <c r="B13" s="19">
        <v>25170</v>
      </c>
      <c r="C13" s="5" t="s">
        <v>40</v>
      </c>
      <c r="D13" s="6"/>
      <c r="E13" s="15">
        <v>41.031313888900002</v>
      </c>
      <c r="F13" s="15">
        <v>-75.734505555599995</v>
      </c>
      <c r="G13" s="5" t="s">
        <v>120</v>
      </c>
      <c r="H13" s="5">
        <v>72.2</v>
      </c>
      <c r="I13" s="5">
        <v>88.2</v>
      </c>
      <c r="J13" s="10">
        <v>0.36388888888888887</v>
      </c>
      <c r="K13" s="5">
        <v>86.1</v>
      </c>
      <c r="L13" s="5">
        <v>53</v>
      </c>
      <c r="M13" s="10">
        <v>0.66805555555555551</v>
      </c>
      <c r="N13" s="11">
        <f t="shared" si="0"/>
        <v>99.84</v>
      </c>
      <c r="O13" s="5" t="s">
        <v>4</v>
      </c>
      <c r="P13" s="5" t="s">
        <v>55</v>
      </c>
      <c r="Q13" s="5">
        <v>21.6</v>
      </c>
      <c r="R13" s="5">
        <v>5.4</v>
      </c>
      <c r="S13" s="5">
        <v>40</v>
      </c>
      <c r="T13" s="5">
        <v>4.5</v>
      </c>
      <c r="U13" s="5" t="s">
        <v>9</v>
      </c>
      <c r="V13" s="6"/>
    </row>
    <row r="14" spans="1:22" ht="15.75" customHeight="1" x14ac:dyDescent="0.2">
      <c r="A14" s="4">
        <v>45827</v>
      </c>
      <c r="B14" s="19">
        <v>25170</v>
      </c>
      <c r="C14" s="5" t="s">
        <v>40</v>
      </c>
      <c r="D14" s="6"/>
      <c r="E14" s="15">
        <v>41.031313888900002</v>
      </c>
      <c r="F14" s="15">
        <v>-75.734505555599995</v>
      </c>
      <c r="G14" s="5" t="s">
        <v>120</v>
      </c>
      <c r="H14" s="5">
        <v>72.2</v>
      </c>
      <c r="I14" s="5">
        <v>88.2</v>
      </c>
      <c r="J14" s="10">
        <v>0.36388888888888887</v>
      </c>
      <c r="K14" s="5">
        <v>86.1</v>
      </c>
      <c r="L14" s="5">
        <v>53</v>
      </c>
      <c r="M14" s="10">
        <v>0.66805555555555551</v>
      </c>
      <c r="N14" s="11">
        <f t="shared" si="0"/>
        <v>99.84</v>
      </c>
      <c r="O14" s="5" t="s">
        <v>9</v>
      </c>
      <c r="P14" s="5" t="s">
        <v>251</v>
      </c>
      <c r="Q14" s="5">
        <v>21.7</v>
      </c>
      <c r="R14" s="5">
        <v>4.5999999999999996</v>
      </c>
      <c r="S14" s="5">
        <v>70</v>
      </c>
      <c r="T14" s="5">
        <v>2</v>
      </c>
      <c r="U14" s="5" t="s">
        <v>9</v>
      </c>
      <c r="V14" s="6"/>
    </row>
    <row r="15" spans="1:22" ht="15.75" customHeight="1" x14ac:dyDescent="0.2">
      <c r="A15" s="4">
        <v>45827</v>
      </c>
      <c r="B15" s="19">
        <v>25170</v>
      </c>
      <c r="C15" s="5" t="s">
        <v>40</v>
      </c>
      <c r="D15" s="6"/>
      <c r="E15" s="15">
        <v>41.031313888900002</v>
      </c>
      <c r="F15" s="15">
        <v>-75.734505555599995</v>
      </c>
      <c r="G15" s="5" t="s">
        <v>120</v>
      </c>
      <c r="H15" s="5">
        <v>72.2</v>
      </c>
      <c r="I15" s="5">
        <v>88.2</v>
      </c>
      <c r="J15" s="10">
        <v>0.36388888888888887</v>
      </c>
      <c r="K15" s="5">
        <v>86.1</v>
      </c>
      <c r="L15" s="5">
        <v>53</v>
      </c>
      <c r="M15" s="10">
        <v>0.66805555555555551</v>
      </c>
      <c r="N15" s="11">
        <f t="shared" si="0"/>
        <v>99.84</v>
      </c>
      <c r="O15" s="5" t="s">
        <v>4</v>
      </c>
      <c r="P15" s="5" t="s">
        <v>62</v>
      </c>
      <c r="Q15" s="5">
        <v>20.100000000000001</v>
      </c>
      <c r="R15" s="5" t="s">
        <v>8</v>
      </c>
      <c r="S15" s="5" t="s">
        <v>8</v>
      </c>
      <c r="T15" s="5">
        <v>4</v>
      </c>
      <c r="U15" s="5" t="s">
        <v>9</v>
      </c>
      <c r="V15" s="5" t="s">
        <v>123</v>
      </c>
    </row>
    <row r="16" spans="1:22" ht="15.75" customHeight="1" x14ac:dyDescent="0.2">
      <c r="A16" s="4">
        <v>45827</v>
      </c>
      <c r="B16" s="19">
        <v>25170</v>
      </c>
      <c r="C16" s="5" t="s">
        <v>40</v>
      </c>
      <c r="D16" s="6"/>
      <c r="E16" s="15">
        <v>41.031313888900002</v>
      </c>
      <c r="F16" s="15">
        <v>-75.734505555599995</v>
      </c>
      <c r="G16" s="5" t="s">
        <v>120</v>
      </c>
      <c r="H16" s="5">
        <v>72.2</v>
      </c>
      <c r="I16" s="5">
        <v>88.2</v>
      </c>
      <c r="J16" s="10">
        <v>0.36388888888888887</v>
      </c>
      <c r="K16" s="5">
        <v>86.1</v>
      </c>
      <c r="L16" s="5">
        <v>53</v>
      </c>
      <c r="M16" s="10">
        <v>0.66805555555555551</v>
      </c>
      <c r="N16" s="11">
        <f t="shared" si="0"/>
        <v>99.84</v>
      </c>
      <c r="O16" s="5" t="s">
        <v>9</v>
      </c>
      <c r="P16" s="5" t="s">
        <v>62</v>
      </c>
      <c r="Q16" s="5">
        <v>19.8</v>
      </c>
      <c r="R16" s="5">
        <v>5.0999999999999996</v>
      </c>
      <c r="S16" s="5">
        <v>70</v>
      </c>
      <c r="T16" s="5">
        <v>4.5</v>
      </c>
      <c r="U16" s="5" t="s">
        <v>9</v>
      </c>
      <c r="V16" s="6"/>
    </row>
    <row r="17" spans="1:22" ht="15.75" customHeight="1" x14ac:dyDescent="0.2">
      <c r="A17" s="4">
        <v>45828</v>
      </c>
      <c r="B17" s="19">
        <v>25171</v>
      </c>
      <c r="C17" s="5" t="s">
        <v>42</v>
      </c>
      <c r="D17" s="5" t="s">
        <v>252</v>
      </c>
      <c r="E17" s="15">
        <v>41.3127527778</v>
      </c>
      <c r="F17" s="15">
        <v>-75.237241666700001</v>
      </c>
      <c r="G17" s="5" t="s">
        <v>253</v>
      </c>
      <c r="H17" s="5">
        <v>67.5</v>
      </c>
      <c r="I17" s="5">
        <v>67.900000000000006</v>
      </c>
      <c r="J17" s="10">
        <v>0.46736111111111112</v>
      </c>
      <c r="K17" s="5">
        <v>74</v>
      </c>
      <c r="L17" s="5">
        <v>63.3</v>
      </c>
      <c r="M17" s="10">
        <v>0.68333333333333335</v>
      </c>
      <c r="N17" s="11">
        <f>AVERAGE(93,96,96,96)*1.04</f>
        <v>99.06</v>
      </c>
      <c r="O17" s="5" t="s">
        <v>8</v>
      </c>
      <c r="P17" s="5" t="s">
        <v>8</v>
      </c>
      <c r="Q17" s="5" t="s">
        <v>8</v>
      </c>
      <c r="R17" s="5" t="s">
        <v>8</v>
      </c>
      <c r="S17" s="5" t="s">
        <v>8</v>
      </c>
      <c r="T17" s="5" t="s">
        <v>8</v>
      </c>
      <c r="U17" s="5" t="s">
        <v>9</v>
      </c>
      <c r="V17" s="6"/>
    </row>
    <row r="18" spans="1:22" ht="15.75" customHeight="1" x14ac:dyDescent="0.2">
      <c r="A18" s="4">
        <v>45831</v>
      </c>
      <c r="B18" s="19">
        <v>25174</v>
      </c>
      <c r="C18" s="5" t="s">
        <v>254</v>
      </c>
      <c r="D18" s="5" t="s">
        <v>255</v>
      </c>
      <c r="E18" s="15">
        <v>41.578677777800003</v>
      </c>
      <c r="F18" s="15">
        <v>-75.696347222200004</v>
      </c>
      <c r="G18" s="5" t="s">
        <v>120</v>
      </c>
      <c r="H18" s="5">
        <v>76</v>
      </c>
      <c r="I18" s="5">
        <v>89.7</v>
      </c>
      <c r="J18" s="10">
        <v>0.36736111111111114</v>
      </c>
      <c r="K18" s="5">
        <v>88</v>
      </c>
      <c r="L18" s="5">
        <v>65.7</v>
      </c>
      <c r="M18" s="10">
        <v>0.63749999999999996</v>
      </c>
      <c r="N18" s="11">
        <f t="shared" ref="N18:N43" si="1">AVERAGE(96,96,96,96)*1.04</f>
        <v>99.84</v>
      </c>
      <c r="O18" s="5" t="s">
        <v>4</v>
      </c>
      <c r="P18" s="5" t="s">
        <v>55</v>
      </c>
      <c r="Q18" s="5">
        <v>22.3</v>
      </c>
      <c r="R18" s="5">
        <v>5.8</v>
      </c>
      <c r="S18" s="5">
        <v>42</v>
      </c>
      <c r="T18" s="5">
        <v>3</v>
      </c>
      <c r="U18" s="5" t="s">
        <v>9</v>
      </c>
      <c r="V18" s="6"/>
    </row>
    <row r="19" spans="1:22" ht="15.75" customHeight="1" x14ac:dyDescent="0.2">
      <c r="A19" s="4">
        <v>45831</v>
      </c>
      <c r="B19" s="19">
        <v>25174</v>
      </c>
      <c r="C19" s="5" t="s">
        <v>254</v>
      </c>
      <c r="D19" s="6"/>
      <c r="E19" s="15">
        <v>41.578677777800003</v>
      </c>
      <c r="F19" s="15">
        <v>-75.696347222200004</v>
      </c>
      <c r="G19" s="5" t="s">
        <v>120</v>
      </c>
      <c r="H19" s="5">
        <v>76</v>
      </c>
      <c r="I19" s="5">
        <v>89.7</v>
      </c>
      <c r="J19" s="10">
        <v>0.36736111111111114</v>
      </c>
      <c r="K19" s="5">
        <v>88</v>
      </c>
      <c r="L19" s="5">
        <v>65.7</v>
      </c>
      <c r="M19" s="10">
        <v>0.63749999999999996</v>
      </c>
      <c r="N19" s="11">
        <f t="shared" si="1"/>
        <v>99.84</v>
      </c>
      <c r="O19" s="5" t="s">
        <v>9</v>
      </c>
      <c r="P19" s="5" t="s">
        <v>55</v>
      </c>
      <c r="Q19" s="5">
        <v>21.3</v>
      </c>
      <c r="R19" s="5">
        <v>5.7</v>
      </c>
      <c r="S19" s="5">
        <v>49</v>
      </c>
      <c r="T19" s="5">
        <v>2</v>
      </c>
      <c r="U19" s="5" t="s">
        <v>108</v>
      </c>
      <c r="V19" s="5" t="s">
        <v>256</v>
      </c>
    </row>
    <row r="20" spans="1:22" ht="15.75" customHeight="1" x14ac:dyDescent="0.2">
      <c r="A20" s="4">
        <v>45831</v>
      </c>
      <c r="B20" s="19">
        <v>25174</v>
      </c>
      <c r="C20" s="5" t="s">
        <v>254</v>
      </c>
      <c r="D20" s="6"/>
      <c r="E20" s="15">
        <v>41.578677777800003</v>
      </c>
      <c r="F20" s="15">
        <v>-75.696347222200004</v>
      </c>
      <c r="G20" s="5" t="s">
        <v>120</v>
      </c>
      <c r="H20" s="5">
        <v>76</v>
      </c>
      <c r="I20" s="5">
        <v>89.7</v>
      </c>
      <c r="J20" s="10">
        <v>0.36736111111111114</v>
      </c>
      <c r="K20" s="5">
        <v>88</v>
      </c>
      <c r="L20" s="5">
        <v>65.7</v>
      </c>
      <c r="M20" s="10">
        <v>0.63749999999999996</v>
      </c>
      <c r="N20" s="11">
        <f t="shared" si="1"/>
        <v>99.84</v>
      </c>
      <c r="O20" s="5" t="s">
        <v>4</v>
      </c>
      <c r="P20" s="5" t="s">
        <v>62</v>
      </c>
      <c r="Q20" s="5">
        <v>22.7</v>
      </c>
      <c r="R20" s="5">
        <v>5.2</v>
      </c>
      <c r="S20" s="5">
        <v>57</v>
      </c>
      <c r="T20" s="5">
        <v>4</v>
      </c>
      <c r="U20" s="5" t="s">
        <v>9</v>
      </c>
      <c r="V20" s="6"/>
    </row>
    <row r="21" spans="1:22" ht="15.75" customHeight="1" x14ac:dyDescent="0.2">
      <c r="A21" s="4">
        <v>45831</v>
      </c>
      <c r="B21" s="19">
        <v>25174</v>
      </c>
      <c r="C21" s="5" t="s">
        <v>254</v>
      </c>
      <c r="D21" s="6"/>
      <c r="E21" s="15">
        <v>41.578677777800003</v>
      </c>
      <c r="F21" s="15">
        <v>-75.696347222200004</v>
      </c>
      <c r="G21" s="5" t="s">
        <v>120</v>
      </c>
      <c r="H21" s="5">
        <v>76</v>
      </c>
      <c r="I21" s="5">
        <v>89.7</v>
      </c>
      <c r="J21" s="10">
        <v>0.36736111111111114</v>
      </c>
      <c r="K21" s="5">
        <v>88</v>
      </c>
      <c r="L21" s="5">
        <v>65.7</v>
      </c>
      <c r="M21" s="10">
        <v>0.63749999999999996</v>
      </c>
      <c r="N21" s="11">
        <f t="shared" si="1"/>
        <v>99.84</v>
      </c>
      <c r="O21" s="5" t="s">
        <v>9</v>
      </c>
      <c r="P21" s="5" t="s">
        <v>64</v>
      </c>
      <c r="Q21" s="5">
        <v>25.2</v>
      </c>
      <c r="R21" s="5">
        <v>5.4</v>
      </c>
      <c r="S21" s="5">
        <v>52</v>
      </c>
      <c r="T21" s="5">
        <v>2.5</v>
      </c>
      <c r="U21" s="5" t="s">
        <v>9</v>
      </c>
      <c r="V21" s="6"/>
    </row>
    <row r="22" spans="1:22" ht="15.75" customHeight="1" x14ac:dyDescent="0.2">
      <c r="A22" s="4">
        <v>45831</v>
      </c>
      <c r="B22" s="19">
        <v>25174</v>
      </c>
      <c r="C22" s="5" t="s">
        <v>254</v>
      </c>
      <c r="D22" s="6"/>
      <c r="E22" s="15">
        <v>41.578677777800003</v>
      </c>
      <c r="F22" s="15">
        <v>-75.696347222200004</v>
      </c>
      <c r="G22" s="5" t="s">
        <v>120</v>
      </c>
      <c r="H22" s="5">
        <v>76</v>
      </c>
      <c r="I22" s="5">
        <v>89.7</v>
      </c>
      <c r="J22" s="10">
        <v>0.36736111111111114</v>
      </c>
      <c r="K22" s="5">
        <v>88</v>
      </c>
      <c r="L22" s="5">
        <v>65.7</v>
      </c>
      <c r="M22" s="10">
        <v>0.63749999999999996</v>
      </c>
      <c r="N22" s="11">
        <f t="shared" si="1"/>
        <v>99.84</v>
      </c>
      <c r="O22" s="5" t="s">
        <v>4</v>
      </c>
      <c r="P22" s="5" t="s">
        <v>55</v>
      </c>
      <c r="Q22" s="5">
        <v>21.6</v>
      </c>
      <c r="R22" s="5">
        <v>5.7</v>
      </c>
      <c r="S22" s="5">
        <v>58</v>
      </c>
      <c r="T22" s="5">
        <v>2.5</v>
      </c>
      <c r="U22" s="5" t="s">
        <v>9</v>
      </c>
      <c r="V22" s="6"/>
    </row>
    <row r="23" spans="1:22" ht="15.75" customHeight="1" x14ac:dyDescent="0.2">
      <c r="A23" s="4">
        <v>45831</v>
      </c>
      <c r="B23" s="19">
        <v>25174</v>
      </c>
      <c r="C23" s="5" t="s">
        <v>254</v>
      </c>
      <c r="D23" s="6"/>
      <c r="E23" s="15">
        <v>41.578677777800003</v>
      </c>
      <c r="F23" s="15">
        <v>-75.696347222200004</v>
      </c>
      <c r="G23" s="5" t="s">
        <v>120</v>
      </c>
      <c r="H23" s="5">
        <v>76</v>
      </c>
      <c r="I23" s="5">
        <v>89.7</v>
      </c>
      <c r="J23" s="10">
        <v>0.36736111111111114</v>
      </c>
      <c r="K23" s="5">
        <v>88</v>
      </c>
      <c r="L23" s="5">
        <v>65.7</v>
      </c>
      <c r="M23" s="10">
        <v>0.63749999999999996</v>
      </c>
      <c r="N23" s="11">
        <f t="shared" si="1"/>
        <v>99.84</v>
      </c>
      <c r="O23" s="5" t="s">
        <v>9</v>
      </c>
      <c r="P23" s="5" t="s">
        <v>55</v>
      </c>
      <c r="Q23" s="5">
        <v>22.8</v>
      </c>
      <c r="R23" s="5">
        <v>5.3</v>
      </c>
      <c r="S23" s="5">
        <v>65</v>
      </c>
      <c r="T23" s="5">
        <v>2.5</v>
      </c>
      <c r="U23" s="5" t="s">
        <v>9</v>
      </c>
      <c r="V23" s="5" t="s">
        <v>257</v>
      </c>
    </row>
    <row r="24" spans="1:22" ht="15.75" customHeight="1" x14ac:dyDescent="0.2">
      <c r="A24" s="4">
        <v>45831</v>
      </c>
      <c r="B24" s="19">
        <v>25174</v>
      </c>
      <c r="C24" s="5" t="s">
        <v>254</v>
      </c>
      <c r="D24" s="6"/>
      <c r="E24" s="15">
        <v>41.578677777800003</v>
      </c>
      <c r="F24" s="15">
        <v>-75.696347222200004</v>
      </c>
      <c r="G24" s="5" t="s">
        <v>120</v>
      </c>
      <c r="H24" s="5">
        <v>76</v>
      </c>
      <c r="I24" s="5">
        <v>89.7</v>
      </c>
      <c r="J24" s="10">
        <v>0.36736111111111114</v>
      </c>
      <c r="K24" s="5">
        <v>88</v>
      </c>
      <c r="L24" s="5">
        <v>65.7</v>
      </c>
      <c r="M24" s="10">
        <v>0.63749999999999996</v>
      </c>
      <c r="N24" s="11">
        <f t="shared" si="1"/>
        <v>99.84</v>
      </c>
      <c r="O24" s="5" t="s">
        <v>4</v>
      </c>
      <c r="P24" s="5" t="s">
        <v>55</v>
      </c>
      <c r="Q24" s="5">
        <v>24.1</v>
      </c>
      <c r="R24" s="5">
        <v>5.9</v>
      </c>
      <c r="S24" s="5">
        <v>30</v>
      </c>
      <c r="T24" s="5">
        <v>3</v>
      </c>
      <c r="U24" s="5" t="s">
        <v>9</v>
      </c>
      <c r="V24" s="6"/>
    </row>
    <row r="25" spans="1:22" ht="15.75" customHeight="1" x14ac:dyDescent="0.2">
      <c r="A25" s="4">
        <v>45831</v>
      </c>
      <c r="B25" s="19">
        <v>25174</v>
      </c>
      <c r="C25" s="5" t="s">
        <v>254</v>
      </c>
      <c r="D25" s="6"/>
      <c r="E25" s="15">
        <v>41.578677777800003</v>
      </c>
      <c r="F25" s="15">
        <v>-75.696347222200004</v>
      </c>
      <c r="G25" s="5" t="s">
        <v>120</v>
      </c>
      <c r="H25" s="5">
        <v>76</v>
      </c>
      <c r="I25" s="5">
        <v>89.7</v>
      </c>
      <c r="J25" s="10">
        <v>0.36736111111111114</v>
      </c>
      <c r="K25" s="5">
        <v>88</v>
      </c>
      <c r="L25" s="5">
        <v>65.7</v>
      </c>
      <c r="M25" s="10">
        <v>0.63749999999999996</v>
      </c>
      <c r="N25" s="11">
        <f t="shared" si="1"/>
        <v>99.84</v>
      </c>
      <c r="O25" s="5" t="s">
        <v>9</v>
      </c>
      <c r="P25" s="5" t="s">
        <v>55</v>
      </c>
      <c r="Q25" s="5">
        <v>25.1</v>
      </c>
      <c r="R25" s="5" t="s">
        <v>8</v>
      </c>
      <c r="S25" s="5" t="s">
        <v>8</v>
      </c>
      <c r="T25" s="5">
        <v>4</v>
      </c>
      <c r="U25" s="5" t="s">
        <v>9</v>
      </c>
      <c r="V25" s="5" t="s">
        <v>123</v>
      </c>
    </row>
    <row r="26" spans="1:22" ht="15.75" customHeight="1" x14ac:dyDescent="0.2">
      <c r="A26" s="4">
        <v>45831</v>
      </c>
      <c r="B26" s="19">
        <v>25174</v>
      </c>
      <c r="C26" s="5" t="s">
        <v>254</v>
      </c>
      <c r="D26" s="6"/>
      <c r="E26" s="15">
        <v>41.578677777800003</v>
      </c>
      <c r="F26" s="15">
        <v>-75.696347222200004</v>
      </c>
      <c r="G26" s="5" t="s">
        <v>120</v>
      </c>
      <c r="H26" s="5">
        <v>76</v>
      </c>
      <c r="I26" s="5">
        <v>89.7</v>
      </c>
      <c r="J26" s="10">
        <v>0.36736111111111114</v>
      </c>
      <c r="K26" s="5">
        <v>88</v>
      </c>
      <c r="L26" s="5">
        <v>65.7</v>
      </c>
      <c r="M26" s="10">
        <v>0.63749999999999996</v>
      </c>
      <c r="N26" s="11">
        <f t="shared" si="1"/>
        <v>99.84</v>
      </c>
      <c r="O26" s="5" t="s">
        <v>9</v>
      </c>
      <c r="P26" s="5" t="s">
        <v>55</v>
      </c>
      <c r="Q26" s="5">
        <v>22.8</v>
      </c>
      <c r="R26" s="5">
        <v>5.0999999999999996</v>
      </c>
      <c r="S26" s="5">
        <v>57</v>
      </c>
      <c r="T26" s="5">
        <v>2.5</v>
      </c>
      <c r="U26" s="5" t="s">
        <v>9</v>
      </c>
      <c r="V26" s="6"/>
    </row>
    <row r="27" spans="1:22" ht="15.75" customHeight="1" x14ac:dyDescent="0.2">
      <c r="A27" s="4">
        <v>45831</v>
      </c>
      <c r="B27" s="19">
        <v>25174</v>
      </c>
      <c r="C27" s="5" t="s">
        <v>254</v>
      </c>
      <c r="D27" s="6"/>
      <c r="E27" s="15">
        <v>41.578677777800003</v>
      </c>
      <c r="F27" s="15">
        <v>-75.696347222200004</v>
      </c>
      <c r="G27" s="5" t="s">
        <v>120</v>
      </c>
      <c r="H27" s="5">
        <v>76</v>
      </c>
      <c r="I27" s="5">
        <v>89.7</v>
      </c>
      <c r="J27" s="10">
        <v>0.36736111111111114</v>
      </c>
      <c r="K27" s="5">
        <v>88</v>
      </c>
      <c r="L27" s="5">
        <v>65.7</v>
      </c>
      <c r="M27" s="10">
        <v>0.63749999999999996</v>
      </c>
      <c r="N27" s="11">
        <f t="shared" si="1"/>
        <v>99.84</v>
      </c>
      <c r="O27" s="5" t="s">
        <v>9</v>
      </c>
      <c r="P27" s="5" t="s">
        <v>55</v>
      </c>
      <c r="Q27" s="5">
        <v>22.1</v>
      </c>
      <c r="R27" s="5">
        <v>5.8</v>
      </c>
      <c r="S27" s="5">
        <v>70</v>
      </c>
      <c r="T27" s="5">
        <v>2</v>
      </c>
      <c r="U27" s="5" t="s">
        <v>9</v>
      </c>
      <c r="V27" s="6"/>
    </row>
    <row r="28" spans="1:22" ht="15.75" customHeight="1" x14ac:dyDescent="0.2">
      <c r="A28" s="4">
        <v>45831</v>
      </c>
      <c r="B28" s="19">
        <v>25174</v>
      </c>
      <c r="C28" s="5" t="s">
        <v>254</v>
      </c>
      <c r="D28" s="6"/>
      <c r="E28" s="15">
        <v>41.578677777800003</v>
      </c>
      <c r="F28" s="15">
        <v>-75.696347222200004</v>
      </c>
      <c r="G28" s="5" t="s">
        <v>120</v>
      </c>
      <c r="H28" s="5">
        <v>76</v>
      </c>
      <c r="I28" s="5">
        <v>89.7</v>
      </c>
      <c r="J28" s="10">
        <v>0.36736111111111114</v>
      </c>
      <c r="K28" s="5">
        <v>88</v>
      </c>
      <c r="L28" s="5">
        <v>65.7</v>
      </c>
      <c r="M28" s="10">
        <v>0.63749999999999996</v>
      </c>
      <c r="N28" s="11">
        <f t="shared" si="1"/>
        <v>99.84</v>
      </c>
      <c r="O28" s="5" t="s">
        <v>4</v>
      </c>
      <c r="P28" s="5" t="s">
        <v>56</v>
      </c>
      <c r="Q28" s="5">
        <v>22.8</v>
      </c>
      <c r="R28" s="5" t="s">
        <v>8</v>
      </c>
      <c r="S28" s="5" t="s">
        <v>8</v>
      </c>
      <c r="T28" s="5">
        <v>2.5</v>
      </c>
      <c r="U28" s="5" t="s">
        <v>108</v>
      </c>
      <c r="V28" s="5" t="s">
        <v>123</v>
      </c>
    </row>
    <row r="29" spans="1:22" ht="15.75" customHeight="1" x14ac:dyDescent="0.2">
      <c r="A29" s="4">
        <v>45831</v>
      </c>
      <c r="B29" s="19">
        <v>25174</v>
      </c>
      <c r="C29" s="5" t="s">
        <v>254</v>
      </c>
      <c r="D29" s="6"/>
      <c r="E29" s="15">
        <v>41.578677777800003</v>
      </c>
      <c r="F29" s="15">
        <v>-75.696347222200004</v>
      </c>
      <c r="G29" s="5" t="s">
        <v>120</v>
      </c>
      <c r="H29" s="5">
        <v>76</v>
      </c>
      <c r="I29" s="5">
        <v>89.7</v>
      </c>
      <c r="J29" s="10">
        <v>0.36736111111111114</v>
      </c>
      <c r="K29" s="5">
        <v>88</v>
      </c>
      <c r="L29" s="5">
        <v>65.7</v>
      </c>
      <c r="M29" s="10">
        <v>0.63749999999999996</v>
      </c>
      <c r="N29" s="11">
        <f t="shared" si="1"/>
        <v>99.84</v>
      </c>
      <c r="O29" s="5" t="s">
        <v>9</v>
      </c>
      <c r="P29" s="5" t="s">
        <v>56</v>
      </c>
      <c r="Q29" s="5">
        <v>24.4</v>
      </c>
      <c r="R29" s="5" t="s">
        <v>8</v>
      </c>
      <c r="S29" s="5" t="s">
        <v>8</v>
      </c>
      <c r="T29" s="5">
        <v>3.5</v>
      </c>
      <c r="U29" s="5" t="s">
        <v>9</v>
      </c>
      <c r="V29" s="5" t="s">
        <v>123</v>
      </c>
    </row>
    <row r="30" spans="1:22" ht="15.75" customHeight="1" x14ac:dyDescent="0.2">
      <c r="A30" s="4">
        <v>45832</v>
      </c>
      <c r="B30" s="19">
        <v>25175</v>
      </c>
      <c r="C30" s="5" t="s">
        <v>23</v>
      </c>
      <c r="D30" s="5" t="s">
        <v>258</v>
      </c>
      <c r="E30" s="15">
        <v>41.650933333300003</v>
      </c>
      <c r="F30" s="15">
        <v>-76.567038888900001</v>
      </c>
      <c r="G30" s="5" t="s">
        <v>96</v>
      </c>
      <c r="H30" s="5">
        <v>85.2</v>
      </c>
      <c r="I30" s="5">
        <v>63.9</v>
      </c>
      <c r="J30" s="10">
        <v>0.42708333333333331</v>
      </c>
      <c r="K30" s="5">
        <v>88.4</v>
      </c>
      <c r="L30" s="5">
        <v>56.4</v>
      </c>
      <c r="M30" s="10">
        <v>0.47013888888888888</v>
      </c>
      <c r="N30" s="11">
        <f t="shared" si="1"/>
        <v>99.84</v>
      </c>
      <c r="O30" s="5" t="s">
        <v>8</v>
      </c>
      <c r="P30" s="5" t="s">
        <v>8</v>
      </c>
      <c r="Q30" s="5" t="s">
        <v>8</v>
      </c>
      <c r="R30" s="5" t="s">
        <v>8</v>
      </c>
      <c r="S30" s="5" t="s">
        <v>8</v>
      </c>
      <c r="T30" s="5" t="s">
        <v>8</v>
      </c>
      <c r="U30" s="5" t="s">
        <v>9</v>
      </c>
      <c r="V30" s="6"/>
    </row>
    <row r="31" spans="1:22" ht="15.75" customHeight="1" x14ac:dyDescent="0.2">
      <c r="A31" s="4">
        <v>45832</v>
      </c>
      <c r="B31" s="19">
        <v>25175</v>
      </c>
      <c r="C31" s="5" t="s">
        <v>23</v>
      </c>
      <c r="D31" s="5" t="s">
        <v>259</v>
      </c>
      <c r="E31" s="15">
        <v>41.636561111100001</v>
      </c>
      <c r="F31" s="15">
        <v>-76.607675</v>
      </c>
      <c r="G31" s="5" t="s">
        <v>96</v>
      </c>
      <c r="H31" s="5">
        <v>91.1</v>
      </c>
      <c r="I31" s="5">
        <v>45.5</v>
      </c>
      <c r="J31" s="10">
        <v>0.52638888888888891</v>
      </c>
      <c r="K31" s="5">
        <v>91.4</v>
      </c>
      <c r="L31" s="5">
        <v>39.9</v>
      </c>
      <c r="M31" s="10">
        <v>0.58263888888888893</v>
      </c>
      <c r="N31" s="11">
        <f t="shared" si="1"/>
        <v>99.84</v>
      </c>
      <c r="O31" s="5" t="s">
        <v>8</v>
      </c>
      <c r="P31" s="5" t="s">
        <v>8</v>
      </c>
      <c r="Q31" s="5" t="s">
        <v>8</v>
      </c>
      <c r="R31" s="5" t="s">
        <v>8</v>
      </c>
      <c r="S31" s="5" t="s">
        <v>8</v>
      </c>
      <c r="T31" s="5" t="s">
        <v>8</v>
      </c>
      <c r="U31" s="5" t="s">
        <v>9</v>
      </c>
      <c r="V31" s="6"/>
    </row>
    <row r="32" spans="1:22" ht="15.75" customHeight="1" x14ac:dyDescent="0.2">
      <c r="A32" s="4">
        <v>45833</v>
      </c>
      <c r="B32" s="19">
        <v>25176</v>
      </c>
      <c r="C32" s="5" t="s">
        <v>24</v>
      </c>
      <c r="D32" s="5" t="s">
        <v>260</v>
      </c>
      <c r="E32" s="15">
        <v>41.764733333300001</v>
      </c>
      <c r="F32" s="15">
        <v>-75.283411111099994</v>
      </c>
      <c r="G32" s="5" t="s">
        <v>96</v>
      </c>
      <c r="H32" s="5">
        <v>78.5</v>
      </c>
      <c r="I32" s="5">
        <v>72.599999999999994</v>
      </c>
      <c r="J32" s="10">
        <v>0.37430555555555556</v>
      </c>
      <c r="K32" s="5">
        <v>87.4</v>
      </c>
      <c r="L32" s="5">
        <v>52.6</v>
      </c>
      <c r="M32" s="5" t="s">
        <v>8</v>
      </c>
      <c r="N32" s="11">
        <f t="shared" si="1"/>
        <v>99.84</v>
      </c>
      <c r="O32" s="5" t="s">
        <v>4</v>
      </c>
      <c r="P32" s="5" t="s">
        <v>55</v>
      </c>
      <c r="Q32" s="5">
        <v>22.7</v>
      </c>
      <c r="R32" s="5">
        <v>6.2</v>
      </c>
      <c r="S32" s="5">
        <v>52</v>
      </c>
      <c r="T32" s="5">
        <v>5</v>
      </c>
      <c r="U32" s="5" t="s">
        <v>9</v>
      </c>
      <c r="V32" s="6"/>
    </row>
    <row r="33" spans="1:22" ht="15.75" customHeight="1" x14ac:dyDescent="0.2">
      <c r="A33" s="4">
        <v>45833</v>
      </c>
      <c r="B33" s="19">
        <v>25176</v>
      </c>
      <c r="C33" s="5" t="s">
        <v>24</v>
      </c>
      <c r="D33" s="5"/>
      <c r="E33" s="15">
        <v>41.764733333300001</v>
      </c>
      <c r="F33" s="15">
        <v>-75.283411111099994</v>
      </c>
      <c r="G33" s="5" t="s">
        <v>96</v>
      </c>
      <c r="H33" s="5">
        <v>78.5</v>
      </c>
      <c r="I33" s="5">
        <v>72.599999999999994</v>
      </c>
      <c r="J33" s="10">
        <v>0.37430555555555556</v>
      </c>
      <c r="K33" s="5">
        <v>87.4</v>
      </c>
      <c r="L33" s="5">
        <v>52.6</v>
      </c>
      <c r="M33" s="5" t="s">
        <v>8</v>
      </c>
      <c r="N33" s="11">
        <f t="shared" si="1"/>
        <v>99.84</v>
      </c>
      <c r="O33" s="5" t="s">
        <v>9</v>
      </c>
      <c r="P33" s="5" t="s">
        <v>55</v>
      </c>
      <c r="Q33" s="5">
        <v>22.8</v>
      </c>
      <c r="R33" s="5" t="s">
        <v>8</v>
      </c>
      <c r="S33" s="5" t="s">
        <v>8</v>
      </c>
      <c r="T33" s="5">
        <v>4.5</v>
      </c>
      <c r="U33" s="5" t="s">
        <v>108</v>
      </c>
      <c r="V33" s="5" t="s">
        <v>261</v>
      </c>
    </row>
    <row r="34" spans="1:22" ht="15.75" customHeight="1" x14ac:dyDescent="0.2">
      <c r="A34" s="4">
        <v>45833</v>
      </c>
      <c r="B34" s="19">
        <v>25176</v>
      </c>
      <c r="C34" s="5" t="s">
        <v>24</v>
      </c>
      <c r="D34" s="6"/>
      <c r="E34" s="15">
        <v>41.764733333300001</v>
      </c>
      <c r="F34" s="15">
        <v>-75.283411111099994</v>
      </c>
      <c r="G34" s="5" t="s">
        <v>96</v>
      </c>
      <c r="H34" s="5">
        <v>78.5</v>
      </c>
      <c r="I34" s="5">
        <v>72.599999999999994</v>
      </c>
      <c r="J34" s="10">
        <v>0.37430555555555556</v>
      </c>
      <c r="K34" s="5">
        <v>87.4</v>
      </c>
      <c r="L34" s="5">
        <v>52.6</v>
      </c>
      <c r="M34" s="5" t="s">
        <v>8</v>
      </c>
      <c r="N34" s="11">
        <f t="shared" si="1"/>
        <v>99.84</v>
      </c>
      <c r="O34" s="5" t="s">
        <v>4</v>
      </c>
      <c r="P34" s="5" t="s">
        <v>62</v>
      </c>
      <c r="Q34" s="5">
        <v>23.3</v>
      </c>
      <c r="R34" s="5">
        <v>6.2</v>
      </c>
      <c r="S34" s="5">
        <v>58</v>
      </c>
      <c r="T34" s="5">
        <v>2.5</v>
      </c>
      <c r="U34" s="5" t="s">
        <v>9</v>
      </c>
      <c r="V34" s="6"/>
    </row>
    <row r="35" spans="1:22" ht="15.75" customHeight="1" x14ac:dyDescent="0.2">
      <c r="A35" s="4">
        <v>45833</v>
      </c>
      <c r="B35" s="19">
        <v>25176</v>
      </c>
      <c r="C35" s="5" t="s">
        <v>24</v>
      </c>
      <c r="D35" s="6"/>
      <c r="E35" s="15">
        <v>41.764733333300001</v>
      </c>
      <c r="F35" s="15">
        <v>-75.283411111099994</v>
      </c>
      <c r="G35" s="5" t="s">
        <v>96</v>
      </c>
      <c r="H35" s="5">
        <v>78.5</v>
      </c>
      <c r="I35" s="5">
        <v>72.599999999999994</v>
      </c>
      <c r="J35" s="10">
        <v>0.37430555555555556</v>
      </c>
      <c r="K35" s="5">
        <v>87.4</v>
      </c>
      <c r="L35" s="5">
        <v>52.6</v>
      </c>
      <c r="M35" s="5" t="s">
        <v>8</v>
      </c>
      <c r="N35" s="11">
        <f t="shared" si="1"/>
        <v>99.84</v>
      </c>
      <c r="O35" s="5" t="s">
        <v>9</v>
      </c>
      <c r="P35" s="5" t="s">
        <v>55</v>
      </c>
      <c r="Q35" s="5">
        <v>24.5</v>
      </c>
      <c r="R35" s="5">
        <v>5.5</v>
      </c>
      <c r="S35" s="5">
        <v>60</v>
      </c>
      <c r="T35" s="5">
        <v>4.5</v>
      </c>
      <c r="U35" s="5" t="s">
        <v>9</v>
      </c>
      <c r="V35" s="6"/>
    </row>
    <row r="36" spans="1:22" ht="15.75" customHeight="1" x14ac:dyDescent="0.2">
      <c r="A36" s="4">
        <v>45833</v>
      </c>
      <c r="B36" s="19">
        <v>25176</v>
      </c>
      <c r="C36" s="5" t="s">
        <v>24</v>
      </c>
      <c r="D36" s="6"/>
      <c r="E36" s="15">
        <v>41.764733333300001</v>
      </c>
      <c r="F36" s="15">
        <v>-75.283411111099994</v>
      </c>
      <c r="G36" s="5" t="s">
        <v>96</v>
      </c>
      <c r="H36" s="5">
        <v>78.5</v>
      </c>
      <c r="I36" s="5">
        <v>72.599999999999994</v>
      </c>
      <c r="J36" s="10">
        <v>0.37430555555555556</v>
      </c>
      <c r="K36" s="5">
        <v>87.4</v>
      </c>
      <c r="L36" s="5">
        <v>52.6</v>
      </c>
      <c r="M36" s="5" t="s">
        <v>8</v>
      </c>
      <c r="N36" s="11">
        <f t="shared" si="1"/>
        <v>99.84</v>
      </c>
      <c r="O36" s="5" t="s">
        <v>4</v>
      </c>
      <c r="P36" s="5" t="s">
        <v>262</v>
      </c>
      <c r="Q36" s="5">
        <v>24.4</v>
      </c>
      <c r="R36" s="5" t="s">
        <v>8</v>
      </c>
      <c r="S36" s="5" t="s">
        <v>8</v>
      </c>
      <c r="T36" s="5">
        <v>3</v>
      </c>
      <c r="U36" s="5" t="s">
        <v>9</v>
      </c>
      <c r="V36" s="5" t="s">
        <v>123</v>
      </c>
    </row>
    <row r="37" spans="1:22" ht="15.75" customHeight="1" x14ac:dyDescent="0.2">
      <c r="A37" s="4">
        <v>45833</v>
      </c>
      <c r="B37" s="19">
        <v>25176</v>
      </c>
      <c r="C37" s="5" t="s">
        <v>24</v>
      </c>
      <c r="D37" s="6"/>
      <c r="E37" s="15">
        <v>41.764733333300001</v>
      </c>
      <c r="F37" s="15">
        <v>-75.283411111099994</v>
      </c>
      <c r="G37" s="5" t="s">
        <v>96</v>
      </c>
      <c r="H37" s="5">
        <v>78.5</v>
      </c>
      <c r="I37" s="5">
        <v>72.599999999999994</v>
      </c>
      <c r="J37" s="10">
        <v>0.37430555555555556</v>
      </c>
      <c r="K37" s="5">
        <v>87.4</v>
      </c>
      <c r="L37" s="5">
        <v>52.6</v>
      </c>
      <c r="M37" s="5" t="s">
        <v>8</v>
      </c>
      <c r="N37" s="11">
        <f t="shared" si="1"/>
        <v>99.84</v>
      </c>
      <c r="O37" s="5" t="s">
        <v>9</v>
      </c>
      <c r="P37" s="5" t="s">
        <v>55</v>
      </c>
      <c r="Q37" s="5">
        <v>22.3</v>
      </c>
      <c r="R37" s="5" t="s">
        <v>8</v>
      </c>
      <c r="S37" s="5" t="s">
        <v>8</v>
      </c>
      <c r="T37" s="5">
        <v>3</v>
      </c>
      <c r="U37" s="5" t="s">
        <v>9</v>
      </c>
      <c r="V37" s="5" t="s">
        <v>123</v>
      </c>
    </row>
    <row r="38" spans="1:22" ht="15.75" customHeight="1" x14ac:dyDescent="0.2">
      <c r="A38" s="4">
        <v>45833</v>
      </c>
      <c r="B38" s="19">
        <v>25176</v>
      </c>
      <c r="C38" s="5" t="s">
        <v>24</v>
      </c>
      <c r="D38" s="6"/>
      <c r="E38" s="15">
        <v>41.764733333300001</v>
      </c>
      <c r="F38" s="15">
        <v>-75.283411111099994</v>
      </c>
      <c r="G38" s="5" t="s">
        <v>96</v>
      </c>
      <c r="H38" s="5">
        <v>78.5</v>
      </c>
      <c r="I38" s="5">
        <v>72.599999999999994</v>
      </c>
      <c r="J38" s="10">
        <v>0.37430555555555556</v>
      </c>
      <c r="K38" s="5">
        <v>87.4</v>
      </c>
      <c r="L38" s="5">
        <v>52.6</v>
      </c>
      <c r="M38" s="5" t="s">
        <v>8</v>
      </c>
      <c r="N38" s="11">
        <f t="shared" si="1"/>
        <v>99.84</v>
      </c>
      <c r="O38" s="5" t="s">
        <v>4</v>
      </c>
      <c r="P38" s="5" t="s">
        <v>55</v>
      </c>
      <c r="Q38" s="5">
        <v>23</v>
      </c>
      <c r="R38" s="5">
        <v>5.4</v>
      </c>
      <c r="S38" s="5">
        <v>80</v>
      </c>
      <c r="T38" s="5">
        <v>2.5</v>
      </c>
      <c r="U38" s="5" t="s">
        <v>9</v>
      </c>
      <c r="V38" s="6"/>
    </row>
    <row r="39" spans="1:22" ht="15.75" customHeight="1" x14ac:dyDescent="0.2">
      <c r="A39" s="4">
        <v>45833</v>
      </c>
      <c r="B39" s="19">
        <v>25176</v>
      </c>
      <c r="C39" s="5" t="s">
        <v>24</v>
      </c>
      <c r="D39" s="6"/>
      <c r="E39" s="15">
        <v>41.764733333300001</v>
      </c>
      <c r="F39" s="15">
        <v>-75.283411111099994</v>
      </c>
      <c r="G39" s="5" t="s">
        <v>96</v>
      </c>
      <c r="H39" s="5">
        <v>78.5</v>
      </c>
      <c r="I39" s="5">
        <v>72.599999999999994</v>
      </c>
      <c r="J39" s="10">
        <v>0.37430555555555556</v>
      </c>
      <c r="K39" s="5">
        <v>87.4</v>
      </c>
      <c r="L39" s="5">
        <v>52.6</v>
      </c>
      <c r="M39" s="5" t="s">
        <v>8</v>
      </c>
      <c r="N39" s="11">
        <f t="shared" si="1"/>
        <v>99.84</v>
      </c>
      <c r="O39" s="5" t="s">
        <v>9</v>
      </c>
      <c r="P39" s="5" t="s">
        <v>56</v>
      </c>
      <c r="Q39" s="5">
        <v>21</v>
      </c>
      <c r="R39" s="5" t="s">
        <v>8</v>
      </c>
      <c r="S39" s="5" t="s">
        <v>8</v>
      </c>
      <c r="T39" s="5">
        <v>3</v>
      </c>
      <c r="U39" s="5" t="s">
        <v>9</v>
      </c>
      <c r="V39" s="5" t="s">
        <v>123</v>
      </c>
    </row>
    <row r="40" spans="1:22" ht="15.75" customHeight="1" x14ac:dyDescent="0.2">
      <c r="A40" s="4">
        <v>45833</v>
      </c>
      <c r="B40" s="19">
        <v>25176</v>
      </c>
      <c r="C40" s="5" t="s">
        <v>24</v>
      </c>
      <c r="D40" s="6"/>
      <c r="E40" s="15">
        <v>41.764733333300001</v>
      </c>
      <c r="F40" s="15">
        <v>-75.283411111099994</v>
      </c>
      <c r="G40" s="5" t="s">
        <v>96</v>
      </c>
      <c r="H40" s="5">
        <v>78.5</v>
      </c>
      <c r="I40" s="5">
        <v>72.599999999999994</v>
      </c>
      <c r="J40" s="10">
        <v>0.37430555555555556</v>
      </c>
      <c r="K40" s="5">
        <v>87.4</v>
      </c>
      <c r="L40" s="5">
        <v>52.6</v>
      </c>
      <c r="M40" s="5" t="s">
        <v>8</v>
      </c>
      <c r="N40" s="11">
        <f t="shared" si="1"/>
        <v>99.84</v>
      </c>
      <c r="O40" s="5" t="s">
        <v>4</v>
      </c>
      <c r="P40" s="5" t="s">
        <v>56</v>
      </c>
      <c r="Q40" s="5">
        <v>20.3</v>
      </c>
      <c r="R40" s="5" t="s">
        <v>8</v>
      </c>
      <c r="S40" s="5" t="s">
        <v>8</v>
      </c>
      <c r="T40" s="5">
        <v>1.5</v>
      </c>
      <c r="U40" s="5" t="s">
        <v>108</v>
      </c>
      <c r="V40" s="5" t="s">
        <v>263</v>
      </c>
    </row>
    <row r="41" spans="1:22" ht="15.75" customHeight="1" x14ac:dyDescent="0.2">
      <c r="A41" s="4">
        <v>45833</v>
      </c>
      <c r="B41" s="19">
        <v>25176</v>
      </c>
      <c r="C41" s="5" t="s">
        <v>24</v>
      </c>
      <c r="D41" s="6"/>
      <c r="E41" s="15">
        <v>41.764733333300001</v>
      </c>
      <c r="F41" s="15">
        <v>-75.283411111099994</v>
      </c>
      <c r="G41" s="5" t="s">
        <v>96</v>
      </c>
      <c r="H41" s="5">
        <v>78.5</v>
      </c>
      <c r="I41" s="5">
        <v>72.599999999999994</v>
      </c>
      <c r="J41" s="10">
        <v>0.37430555555555556</v>
      </c>
      <c r="K41" s="5">
        <v>87.4</v>
      </c>
      <c r="L41" s="5">
        <v>52.6</v>
      </c>
      <c r="M41" s="5" t="s">
        <v>8</v>
      </c>
      <c r="N41" s="11">
        <f t="shared" si="1"/>
        <v>99.84</v>
      </c>
      <c r="O41" s="5" t="s">
        <v>9</v>
      </c>
      <c r="P41" s="5" t="s">
        <v>55</v>
      </c>
      <c r="Q41" s="5">
        <v>22.2</v>
      </c>
      <c r="R41" s="5">
        <v>6.2</v>
      </c>
      <c r="S41" s="5">
        <v>15</v>
      </c>
      <c r="T41" s="5">
        <v>3</v>
      </c>
      <c r="U41" s="5" t="s">
        <v>9</v>
      </c>
      <c r="V41" s="6"/>
    </row>
    <row r="42" spans="1:22" ht="15.75" customHeight="1" x14ac:dyDescent="0.2">
      <c r="A42" s="4">
        <v>45833</v>
      </c>
      <c r="B42" s="19">
        <v>25176</v>
      </c>
      <c r="C42" s="5" t="s">
        <v>24</v>
      </c>
      <c r="D42" s="6"/>
      <c r="E42" s="15">
        <v>41.764733333300001</v>
      </c>
      <c r="F42" s="15">
        <v>-75.283411111099994</v>
      </c>
      <c r="G42" s="5" t="s">
        <v>96</v>
      </c>
      <c r="H42" s="5">
        <v>78.5</v>
      </c>
      <c r="I42" s="5">
        <v>72.599999999999994</v>
      </c>
      <c r="J42" s="10">
        <v>0.37430555555555556</v>
      </c>
      <c r="K42" s="5">
        <v>87.4</v>
      </c>
      <c r="L42" s="5">
        <v>52.6</v>
      </c>
      <c r="M42" s="5" t="s">
        <v>8</v>
      </c>
      <c r="N42" s="11">
        <f t="shared" si="1"/>
        <v>99.84</v>
      </c>
      <c r="O42" s="5" t="s">
        <v>4</v>
      </c>
      <c r="P42" s="5" t="s">
        <v>55</v>
      </c>
      <c r="Q42" s="5">
        <v>22.7</v>
      </c>
      <c r="R42" s="5" t="s">
        <v>8</v>
      </c>
      <c r="S42" s="5" t="s">
        <v>8</v>
      </c>
      <c r="T42" s="5">
        <v>2</v>
      </c>
      <c r="U42" s="5" t="s">
        <v>9</v>
      </c>
      <c r="V42" s="5" t="s">
        <v>123</v>
      </c>
    </row>
    <row r="43" spans="1:22" ht="15.75" customHeight="1" x14ac:dyDescent="0.2">
      <c r="A43" s="4">
        <v>45833</v>
      </c>
      <c r="B43" s="19">
        <v>25176</v>
      </c>
      <c r="C43" s="5" t="s">
        <v>24</v>
      </c>
      <c r="D43" s="6"/>
      <c r="E43" s="15">
        <v>41.764733333300001</v>
      </c>
      <c r="F43" s="15">
        <v>-75.283411111099994</v>
      </c>
      <c r="G43" s="5" t="s">
        <v>96</v>
      </c>
      <c r="H43" s="5">
        <v>78.5</v>
      </c>
      <c r="I43" s="5">
        <v>72.599999999999994</v>
      </c>
      <c r="J43" s="10">
        <v>0.37430555555555556</v>
      </c>
      <c r="K43" s="5">
        <v>87.4</v>
      </c>
      <c r="L43" s="5">
        <v>52.6</v>
      </c>
      <c r="M43" s="5" t="s">
        <v>8</v>
      </c>
      <c r="N43" s="11">
        <f t="shared" si="1"/>
        <v>99.84</v>
      </c>
      <c r="O43" s="5" t="s">
        <v>9</v>
      </c>
      <c r="P43" s="5" t="s">
        <v>55</v>
      </c>
      <c r="Q43" s="5">
        <v>23</v>
      </c>
      <c r="R43" s="5" t="s">
        <v>8</v>
      </c>
      <c r="S43" s="5" t="s">
        <v>8</v>
      </c>
      <c r="T43" s="5">
        <v>3</v>
      </c>
      <c r="U43" s="5" t="s">
        <v>9</v>
      </c>
      <c r="V43" s="5" t="s">
        <v>264</v>
      </c>
    </row>
    <row r="44" spans="1:22" ht="15.75" customHeight="1" x14ac:dyDescent="0.2">
      <c r="A44" s="4">
        <v>45834</v>
      </c>
      <c r="B44" s="19">
        <v>25177</v>
      </c>
      <c r="C44" s="5" t="s">
        <v>265</v>
      </c>
      <c r="D44" s="5" t="s">
        <v>266</v>
      </c>
      <c r="E44" s="15">
        <v>41.958311111100002</v>
      </c>
      <c r="F44" s="15">
        <v>-75.661211111100002</v>
      </c>
      <c r="G44" s="5" t="s">
        <v>78</v>
      </c>
      <c r="H44" s="5">
        <v>74.8</v>
      </c>
      <c r="I44" s="5">
        <v>77.7</v>
      </c>
      <c r="J44" s="10">
        <v>0.34444444444444444</v>
      </c>
      <c r="K44" s="5">
        <v>75.900000000000006</v>
      </c>
      <c r="L44" s="5">
        <v>83.6</v>
      </c>
      <c r="M44" s="10">
        <v>0.41458333333333336</v>
      </c>
      <c r="N44" s="11">
        <f>AVERAGE(92,96,96,96)*1.04</f>
        <v>98.8</v>
      </c>
      <c r="O44" s="5" t="s">
        <v>8</v>
      </c>
      <c r="P44" s="5" t="s">
        <v>8</v>
      </c>
      <c r="Q44" s="5" t="s">
        <v>8</v>
      </c>
      <c r="R44" s="5" t="s">
        <v>8</v>
      </c>
      <c r="S44" s="5" t="s">
        <v>8</v>
      </c>
      <c r="T44" s="5" t="s">
        <v>8</v>
      </c>
      <c r="U44" s="5" t="s">
        <v>9</v>
      </c>
      <c r="V44" s="5" t="s">
        <v>267</v>
      </c>
    </row>
    <row r="45" spans="1:22" ht="15.75" customHeight="1" x14ac:dyDescent="0.2">
      <c r="A45" s="4">
        <v>45834</v>
      </c>
      <c r="B45" s="19">
        <v>25177</v>
      </c>
      <c r="C45" s="5" t="s">
        <v>228</v>
      </c>
      <c r="D45" s="5" t="s">
        <v>268</v>
      </c>
      <c r="E45" s="15">
        <v>41.941086111099999</v>
      </c>
      <c r="F45" s="15">
        <v>-75.709255555599995</v>
      </c>
      <c r="G45" s="5" t="s">
        <v>78</v>
      </c>
      <c r="H45" s="5">
        <v>76.599999999999994</v>
      </c>
      <c r="I45" s="5">
        <v>81.900000000000006</v>
      </c>
      <c r="J45" s="10">
        <v>0.45624999999999999</v>
      </c>
      <c r="K45" s="5">
        <v>76.8</v>
      </c>
      <c r="L45" s="5">
        <v>79.099999999999994</v>
      </c>
      <c r="M45" s="10">
        <v>0.48402777777777778</v>
      </c>
      <c r="N45" s="11">
        <f>AVERAGE(96,96,94,96)*1.04</f>
        <v>99.320000000000007</v>
      </c>
      <c r="O45" s="5" t="s">
        <v>8</v>
      </c>
      <c r="P45" s="5" t="s">
        <v>8</v>
      </c>
      <c r="Q45" s="5" t="s">
        <v>8</v>
      </c>
      <c r="R45" s="5" t="s">
        <v>8</v>
      </c>
      <c r="S45" s="5" t="s">
        <v>8</v>
      </c>
      <c r="T45" s="5" t="s">
        <v>8</v>
      </c>
      <c r="U45" s="5" t="s">
        <v>9</v>
      </c>
      <c r="V45" s="5" t="s">
        <v>267</v>
      </c>
    </row>
    <row r="46" spans="1:22" ht="15.75" customHeight="1" x14ac:dyDescent="0.2">
      <c r="A46" s="4">
        <v>45838</v>
      </c>
      <c r="B46" s="19">
        <v>25181</v>
      </c>
      <c r="C46" s="5" t="s">
        <v>269</v>
      </c>
      <c r="D46" s="5" t="s">
        <v>270</v>
      </c>
      <c r="E46" s="15">
        <v>42.298352777799998</v>
      </c>
      <c r="F46" s="15">
        <v>-76.487955555599996</v>
      </c>
      <c r="G46" s="5" t="s">
        <v>120</v>
      </c>
      <c r="H46" s="5">
        <v>69.5</v>
      </c>
      <c r="I46" s="5">
        <v>75.900000000000006</v>
      </c>
      <c r="J46" s="5" t="s">
        <v>8</v>
      </c>
      <c r="K46" s="5">
        <v>81.599999999999994</v>
      </c>
      <c r="L46" s="5">
        <v>68.7</v>
      </c>
      <c r="M46" s="10">
        <v>0.66041666666666665</v>
      </c>
      <c r="N46" s="11">
        <f t="shared" ref="N46:N69" si="2">AVERAGE(96,96,96,96)*1.04</f>
        <v>99.84</v>
      </c>
      <c r="O46" s="5" t="s">
        <v>8</v>
      </c>
      <c r="P46" s="5" t="s">
        <v>8</v>
      </c>
      <c r="Q46" s="5" t="s">
        <v>8</v>
      </c>
      <c r="R46" s="5" t="s">
        <v>8</v>
      </c>
      <c r="S46" s="5" t="s">
        <v>8</v>
      </c>
      <c r="T46" s="5" t="s">
        <v>8</v>
      </c>
      <c r="U46" s="5" t="s">
        <v>9</v>
      </c>
      <c r="V46" s="5" t="s">
        <v>267</v>
      </c>
    </row>
    <row r="47" spans="1:22" ht="15.75" customHeight="1" x14ac:dyDescent="0.2">
      <c r="A47" s="4">
        <v>45839</v>
      </c>
      <c r="B47" s="19">
        <v>25182</v>
      </c>
      <c r="C47" s="5" t="s">
        <v>46</v>
      </c>
      <c r="D47" s="5" t="s">
        <v>271</v>
      </c>
      <c r="E47" s="15">
        <v>42.172066666699997</v>
      </c>
      <c r="F47" s="15">
        <v>-75.404127777799999</v>
      </c>
      <c r="G47" s="5" t="s">
        <v>164</v>
      </c>
      <c r="H47" s="5">
        <v>72.400000000000006</v>
      </c>
      <c r="I47" s="5">
        <v>93.8</v>
      </c>
      <c r="J47" s="10">
        <v>0.42222222222222222</v>
      </c>
      <c r="K47" s="5">
        <v>77.8</v>
      </c>
      <c r="L47" s="5">
        <v>82.2</v>
      </c>
      <c r="M47" s="10">
        <v>0.50763888888888886</v>
      </c>
      <c r="N47" s="11">
        <f t="shared" si="2"/>
        <v>99.84</v>
      </c>
      <c r="O47" s="5" t="s">
        <v>8</v>
      </c>
      <c r="P47" s="5" t="s">
        <v>8</v>
      </c>
      <c r="Q47" s="5" t="s">
        <v>8</v>
      </c>
      <c r="R47" s="5" t="s">
        <v>8</v>
      </c>
      <c r="S47" s="5" t="s">
        <v>8</v>
      </c>
      <c r="T47" s="5" t="s">
        <v>8</v>
      </c>
      <c r="U47" s="5" t="s">
        <v>9</v>
      </c>
      <c r="V47" s="5" t="s">
        <v>267</v>
      </c>
    </row>
    <row r="48" spans="1:22" ht="15.75" customHeight="1" x14ac:dyDescent="0.2">
      <c r="A48" s="4">
        <v>45840</v>
      </c>
      <c r="B48" s="19">
        <v>25183</v>
      </c>
      <c r="C48" s="5" t="s">
        <v>49</v>
      </c>
      <c r="D48" s="5" t="s">
        <v>272</v>
      </c>
      <c r="E48" s="15">
        <v>42.442827777799998</v>
      </c>
      <c r="F48" s="15">
        <v>-76.406855555600004</v>
      </c>
      <c r="G48" s="5" t="s">
        <v>96</v>
      </c>
      <c r="H48" s="5">
        <v>69.5</v>
      </c>
      <c r="I48" s="5">
        <v>72.400000000000006</v>
      </c>
      <c r="J48" s="10">
        <v>0.35555555555555557</v>
      </c>
      <c r="K48" s="5">
        <v>79.7</v>
      </c>
      <c r="L48" s="5">
        <v>53.7</v>
      </c>
      <c r="M48" s="10">
        <v>0.66041666666666665</v>
      </c>
      <c r="N48" s="11">
        <f t="shared" si="2"/>
        <v>99.84</v>
      </c>
      <c r="O48" s="5" t="s">
        <v>4</v>
      </c>
      <c r="P48" s="5" t="s">
        <v>55</v>
      </c>
      <c r="Q48" s="5">
        <v>20.399999999999999</v>
      </c>
      <c r="R48" s="5" t="s">
        <v>8</v>
      </c>
      <c r="S48" s="5" t="s">
        <v>8</v>
      </c>
      <c r="T48" s="5">
        <v>1.5</v>
      </c>
      <c r="U48" s="5" t="s">
        <v>9</v>
      </c>
      <c r="V48" s="5" t="s">
        <v>123</v>
      </c>
    </row>
    <row r="49" spans="1:22" ht="15.75" customHeight="1" x14ac:dyDescent="0.2">
      <c r="A49" s="4">
        <v>45840</v>
      </c>
      <c r="B49" s="19">
        <v>25183</v>
      </c>
      <c r="C49" s="5" t="s">
        <v>49</v>
      </c>
      <c r="D49" s="6"/>
      <c r="E49" s="15">
        <v>42.442827777799998</v>
      </c>
      <c r="F49" s="15">
        <v>-76.406855555600004</v>
      </c>
      <c r="G49" s="5" t="s">
        <v>96</v>
      </c>
      <c r="H49" s="5">
        <v>69.5</v>
      </c>
      <c r="I49" s="5">
        <v>72.400000000000006</v>
      </c>
      <c r="J49" s="10">
        <v>0.35555555555555557</v>
      </c>
      <c r="K49" s="5">
        <v>79.7</v>
      </c>
      <c r="L49" s="5">
        <v>53.7</v>
      </c>
      <c r="M49" s="10">
        <v>0.66041666666666665</v>
      </c>
      <c r="N49" s="11">
        <f t="shared" si="2"/>
        <v>99.84</v>
      </c>
      <c r="O49" s="5" t="s">
        <v>9</v>
      </c>
      <c r="P49" s="5" t="s">
        <v>55</v>
      </c>
      <c r="Q49" s="5">
        <v>19.399999999999999</v>
      </c>
      <c r="R49" s="5" t="s">
        <v>8</v>
      </c>
      <c r="S49" s="5" t="s">
        <v>8</v>
      </c>
      <c r="T49" s="5">
        <v>2.5</v>
      </c>
      <c r="U49" s="5" t="s">
        <v>9</v>
      </c>
      <c r="V49" s="5" t="s">
        <v>123</v>
      </c>
    </row>
    <row r="50" spans="1:22" ht="15.75" customHeight="1" x14ac:dyDescent="0.2">
      <c r="A50" s="4">
        <v>45840</v>
      </c>
      <c r="B50" s="19">
        <v>25183</v>
      </c>
      <c r="C50" s="5" t="s">
        <v>49</v>
      </c>
      <c r="D50" s="6"/>
      <c r="E50" s="15">
        <v>42.442827777799998</v>
      </c>
      <c r="F50" s="15">
        <v>-76.406855555600004</v>
      </c>
      <c r="G50" s="5" t="s">
        <v>96</v>
      </c>
      <c r="H50" s="5">
        <v>69.5</v>
      </c>
      <c r="I50" s="5">
        <v>72.400000000000006</v>
      </c>
      <c r="J50" s="10">
        <v>0.35555555555555557</v>
      </c>
      <c r="K50" s="5">
        <v>79.7</v>
      </c>
      <c r="L50" s="5">
        <v>53.7</v>
      </c>
      <c r="M50" s="10">
        <v>0.66041666666666665</v>
      </c>
      <c r="N50" s="11">
        <f t="shared" si="2"/>
        <v>99.84</v>
      </c>
      <c r="O50" s="5" t="s">
        <v>4</v>
      </c>
      <c r="P50" s="5" t="s">
        <v>55</v>
      </c>
      <c r="Q50" s="5">
        <v>19.600000000000001</v>
      </c>
      <c r="R50" s="5" t="s">
        <v>8</v>
      </c>
      <c r="S50" s="5" t="s">
        <v>8</v>
      </c>
      <c r="T50" s="5">
        <v>3</v>
      </c>
      <c r="U50" s="5" t="s">
        <v>9</v>
      </c>
      <c r="V50" s="5" t="s">
        <v>123</v>
      </c>
    </row>
    <row r="51" spans="1:22" ht="16" x14ac:dyDescent="0.2">
      <c r="A51" s="4">
        <v>45840</v>
      </c>
      <c r="B51" s="19">
        <v>25183</v>
      </c>
      <c r="C51" s="5" t="s">
        <v>49</v>
      </c>
      <c r="D51" s="6"/>
      <c r="E51" s="15">
        <v>42.442827777799998</v>
      </c>
      <c r="F51" s="15">
        <v>-76.406855555600004</v>
      </c>
      <c r="G51" s="5" t="s">
        <v>96</v>
      </c>
      <c r="H51" s="5">
        <v>69.5</v>
      </c>
      <c r="I51" s="5">
        <v>72.400000000000006</v>
      </c>
      <c r="J51" s="10">
        <v>0.35555555555555557</v>
      </c>
      <c r="K51" s="5">
        <v>79.7</v>
      </c>
      <c r="L51" s="5">
        <v>53.7</v>
      </c>
      <c r="M51" s="10">
        <v>0.66041666666666665</v>
      </c>
      <c r="N51" s="11">
        <f t="shared" si="2"/>
        <v>99.84</v>
      </c>
      <c r="O51" s="5" t="s">
        <v>9</v>
      </c>
      <c r="P51" s="5" t="s">
        <v>62</v>
      </c>
      <c r="Q51" s="5">
        <v>19.399999999999999</v>
      </c>
      <c r="R51" s="5" t="s">
        <v>8</v>
      </c>
      <c r="S51" s="5" t="s">
        <v>8</v>
      </c>
      <c r="T51" s="5">
        <v>2.5</v>
      </c>
      <c r="U51" s="5" t="s">
        <v>9</v>
      </c>
      <c r="V51" s="5" t="s">
        <v>123</v>
      </c>
    </row>
    <row r="52" spans="1:22" ht="16" x14ac:dyDescent="0.2">
      <c r="A52" s="4">
        <v>45840</v>
      </c>
      <c r="B52" s="19">
        <v>25183</v>
      </c>
      <c r="C52" s="5" t="s">
        <v>49</v>
      </c>
      <c r="D52" s="6"/>
      <c r="E52" s="15">
        <v>42.442827777799998</v>
      </c>
      <c r="F52" s="15">
        <v>-76.406855555600004</v>
      </c>
      <c r="G52" s="5" t="s">
        <v>96</v>
      </c>
      <c r="H52" s="5">
        <v>69.5</v>
      </c>
      <c r="I52" s="5">
        <v>72.400000000000006</v>
      </c>
      <c r="J52" s="10">
        <v>0.35555555555555557</v>
      </c>
      <c r="K52" s="5">
        <v>79.7</v>
      </c>
      <c r="L52" s="5">
        <v>53.7</v>
      </c>
      <c r="M52" s="10">
        <v>0.66041666666666665</v>
      </c>
      <c r="N52" s="11">
        <f t="shared" si="2"/>
        <v>99.84</v>
      </c>
      <c r="O52" s="5" t="s">
        <v>4</v>
      </c>
      <c r="P52" s="5" t="s">
        <v>62</v>
      </c>
      <c r="Q52" s="5">
        <v>18.899999999999999</v>
      </c>
      <c r="R52" s="5" t="s">
        <v>8</v>
      </c>
      <c r="S52" s="5" t="s">
        <v>8</v>
      </c>
      <c r="T52" s="5">
        <v>2</v>
      </c>
      <c r="U52" s="5" t="s">
        <v>9</v>
      </c>
      <c r="V52" s="5" t="s">
        <v>123</v>
      </c>
    </row>
    <row r="53" spans="1:22" ht="16" x14ac:dyDescent="0.2">
      <c r="A53" s="4">
        <v>45840</v>
      </c>
      <c r="B53" s="19">
        <v>25183</v>
      </c>
      <c r="C53" s="5" t="s">
        <v>49</v>
      </c>
      <c r="D53" s="6"/>
      <c r="E53" s="15">
        <v>42.442827777799998</v>
      </c>
      <c r="F53" s="15">
        <v>-76.406855555600004</v>
      </c>
      <c r="G53" s="5" t="s">
        <v>96</v>
      </c>
      <c r="H53" s="5">
        <v>69.5</v>
      </c>
      <c r="I53" s="5">
        <v>72.400000000000006</v>
      </c>
      <c r="J53" s="10">
        <v>0.35555555555555557</v>
      </c>
      <c r="K53" s="5">
        <v>79.7</v>
      </c>
      <c r="L53" s="5">
        <v>53.7</v>
      </c>
      <c r="M53" s="10">
        <v>0.66041666666666665</v>
      </c>
      <c r="N53" s="11">
        <f t="shared" si="2"/>
        <v>99.84</v>
      </c>
      <c r="O53" s="5" t="s">
        <v>9</v>
      </c>
      <c r="P53" s="5" t="s">
        <v>55</v>
      </c>
      <c r="Q53" s="5">
        <v>19.7</v>
      </c>
      <c r="R53" s="5" t="s">
        <v>8</v>
      </c>
      <c r="S53" s="5" t="s">
        <v>8</v>
      </c>
      <c r="T53" s="5">
        <v>2</v>
      </c>
      <c r="U53" s="5" t="s">
        <v>9</v>
      </c>
      <c r="V53" s="5" t="s">
        <v>123</v>
      </c>
    </row>
    <row r="54" spans="1:22" ht="16" x14ac:dyDescent="0.2">
      <c r="A54" s="4">
        <v>45842</v>
      </c>
      <c r="B54" s="19">
        <v>25185</v>
      </c>
      <c r="C54" s="5" t="s">
        <v>52</v>
      </c>
      <c r="D54" s="5" t="s">
        <v>273</v>
      </c>
      <c r="E54" s="15">
        <v>42.449333000000003</v>
      </c>
      <c r="F54" s="15">
        <v>-75.690630999999996</v>
      </c>
      <c r="G54" s="5" t="s">
        <v>96</v>
      </c>
      <c r="H54" s="5">
        <v>61.6</v>
      </c>
      <c r="I54" s="5">
        <v>77.2</v>
      </c>
      <c r="J54" s="10">
        <v>0.34791666666666665</v>
      </c>
      <c r="K54" s="5">
        <v>72.400000000000006</v>
      </c>
      <c r="L54" s="5">
        <v>48</v>
      </c>
      <c r="M54" s="10">
        <v>0.56527777777777777</v>
      </c>
      <c r="N54" s="11">
        <f t="shared" si="2"/>
        <v>99.84</v>
      </c>
      <c r="O54" s="5" t="s">
        <v>8</v>
      </c>
      <c r="P54" s="5" t="s">
        <v>8</v>
      </c>
      <c r="Q54" s="5" t="s">
        <v>8</v>
      </c>
      <c r="R54" s="5" t="s">
        <v>8</v>
      </c>
      <c r="S54" s="5" t="s">
        <v>8</v>
      </c>
      <c r="T54" s="5" t="s">
        <v>8</v>
      </c>
      <c r="U54" s="5" t="s">
        <v>9</v>
      </c>
      <c r="V54" s="5" t="s">
        <v>267</v>
      </c>
    </row>
    <row r="55" spans="1:22" ht="16" x14ac:dyDescent="0.2">
      <c r="A55" s="4">
        <v>45845</v>
      </c>
      <c r="B55" s="19">
        <v>25188</v>
      </c>
      <c r="C55" s="5" t="s">
        <v>35</v>
      </c>
      <c r="D55" s="5" t="s">
        <v>274</v>
      </c>
      <c r="E55" s="15">
        <v>42.591736111099998</v>
      </c>
      <c r="F55" s="15">
        <v>-74.524605555600004</v>
      </c>
      <c r="G55" s="5" t="s">
        <v>275</v>
      </c>
      <c r="H55" s="5">
        <v>72.599999999999994</v>
      </c>
      <c r="I55" s="5">
        <v>80.599999999999994</v>
      </c>
      <c r="J55" s="10">
        <v>0.3659722222222222</v>
      </c>
      <c r="K55" s="5">
        <v>80.5</v>
      </c>
      <c r="L55" s="5">
        <v>60.4</v>
      </c>
      <c r="M55" s="10">
        <v>0.62708333333333333</v>
      </c>
      <c r="N55" s="11">
        <f t="shared" si="2"/>
        <v>99.84</v>
      </c>
      <c r="O55" s="5" t="s">
        <v>4</v>
      </c>
      <c r="P55" s="5" t="s">
        <v>64</v>
      </c>
      <c r="Q55" s="5">
        <v>21.6</v>
      </c>
      <c r="R55" s="5" t="s">
        <v>8</v>
      </c>
      <c r="S55" s="5" t="s">
        <v>8</v>
      </c>
      <c r="T55" s="5">
        <v>3.5</v>
      </c>
      <c r="U55" s="5" t="s">
        <v>9</v>
      </c>
      <c r="V55" s="5" t="s">
        <v>123</v>
      </c>
    </row>
    <row r="56" spans="1:22" ht="16" x14ac:dyDescent="0.2">
      <c r="A56" s="4">
        <v>45845</v>
      </c>
      <c r="B56" s="19">
        <v>25188</v>
      </c>
      <c r="C56" s="5" t="s">
        <v>35</v>
      </c>
      <c r="D56" s="6"/>
      <c r="E56" s="15">
        <v>42.591736111099998</v>
      </c>
      <c r="F56" s="15">
        <v>-74.524605555600004</v>
      </c>
      <c r="G56" s="5" t="s">
        <v>275</v>
      </c>
      <c r="H56" s="5">
        <v>72.599999999999994</v>
      </c>
      <c r="I56" s="5">
        <v>80.599999999999994</v>
      </c>
      <c r="J56" s="10">
        <v>0.3659722222222222</v>
      </c>
      <c r="K56" s="5">
        <v>80.5</v>
      </c>
      <c r="L56" s="5">
        <v>60.4</v>
      </c>
      <c r="M56" s="10">
        <v>0.62708333333333333</v>
      </c>
      <c r="N56" s="11">
        <f t="shared" si="2"/>
        <v>99.84</v>
      </c>
      <c r="O56" s="5" t="s">
        <v>9</v>
      </c>
      <c r="P56" s="5" t="s">
        <v>55</v>
      </c>
      <c r="Q56" s="5">
        <v>21.7</v>
      </c>
      <c r="R56" s="5" t="s">
        <v>8</v>
      </c>
      <c r="S56" s="5" t="s">
        <v>8</v>
      </c>
      <c r="T56" s="5">
        <v>5.5</v>
      </c>
      <c r="U56" s="5" t="s">
        <v>9</v>
      </c>
      <c r="V56" s="5" t="s">
        <v>123</v>
      </c>
    </row>
    <row r="57" spans="1:22" ht="16" x14ac:dyDescent="0.2">
      <c r="A57" s="4">
        <v>45845</v>
      </c>
      <c r="B57" s="19">
        <v>25188</v>
      </c>
      <c r="C57" s="5" t="s">
        <v>35</v>
      </c>
      <c r="D57" s="6"/>
      <c r="E57" s="15">
        <v>42.591736111099998</v>
      </c>
      <c r="F57" s="15">
        <v>-74.524605555600004</v>
      </c>
      <c r="G57" s="5" t="s">
        <v>275</v>
      </c>
      <c r="H57" s="5">
        <v>72.599999999999994</v>
      </c>
      <c r="I57" s="5">
        <v>80.599999999999994</v>
      </c>
      <c r="J57" s="10">
        <v>0.3659722222222222</v>
      </c>
      <c r="K57" s="5">
        <v>80.5</v>
      </c>
      <c r="L57" s="5">
        <v>60.4</v>
      </c>
      <c r="M57" s="10">
        <v>0.62708333333333333</v>
      </c>
      <c r="N57" s="11">
        <f t="shared" si="2"/>
        <v>99.84</v>
      </c>
      <c r="O57" s="5" t="s">
        <v>4</v>
      </c>
      <c r="P57" s="5" t="s">
        <v>64</v>
      </c>
      <c r="Q57" s="5">
        <v>21.5</v>
      </c>
      <c r="R57" s="5" t="s">
        <v>8</v>
      </c>
      <c r="S57" s="5" t="s">
        <v>8</v>
      </c>
      <c r="T57" s="5">
        <v>7.5</v>
      </c>
      <c r="U57" s="5" t="s">
        <v>9</v>
      </c>
      <c r="V57" s="5" t="s">
        <v>276</v>
      </c>
    </row>
    <row r="58" spans="1:22" ht="16" x14ac:dyDescent="0.2">
      <c r="A58" s="4">
        <v>45845</v>
      </c>
      <c r="B58" s="19">
        <v>25188</v>
      </c>
      <c r="C58" s="5" t="s">
        <v>35</v>
      </c>
      <c r="D58" s="6"/>
      <c r="E58" s="15">
        <v>42.591736111099998</v>
      </c>
      <c r="F58" s="15">
        <v>-74.524605555600004</v>
      </c>
      <c r="G58" s="5" t="s">
        <v>275</v>
      </c>
      <c r="H58" s="5">
        <v>72.599999999999994</v>
      </c>
      <c r="I58" s="5">
        <v>80.599999999999994</v>
      </c>
      <c r="J58" s="10">
        <v>0.3659722222222222</v>
      </c>
      <c r="K58" s="5">
        <v>80.5</v>
      </c>
      <c r="L58" s="5">
        <v>60.4</v>
      </c>
      <c r="M58" s="10">
        <v>0.62708333333333333</v>
      </c>
      <c r="N58" s="11">
        <f t="shared" si="2"/>
        <v>99.84</v>
      </c>
      <c r="O58" s="5" t="s">
        <v>9</v>
      </c>
      <c r="P58" s="5" t="s">
        <v>55</v>
      </c>
      <c r="Q58" s="5">
        <v>21.3</v>
      </c>
      <c r="R58" s="5">
        <v>6.6</v>
      </c>
      <c r="S58" s="5">
        <v>41</v>
      </c>
      <c r="T58" s="5">
        <v>5.5</v>
      </c>
      <c r="U58" s="5" t="s">
        <v>108</v>
      </c>
      <c r="V58" s="5" t="s">
        <v>277</v>
      </c>
    </row>
    <row r="59" spans="1:22" ht="16" x14ac:dyDescent="0.2">
      <c r="A59" s="4">
        <v>45845</v>
      </c>
      <c r="B59" s="19">
        <v>25188</v>
      </c>
      <c r="C59" s="5" t="s">
        <v>35</v>
      </c>
      <c r="D59" s="6"/>
      <c r="E59" s="15">
        <v>42.591736111099998</v>
      </c>
      <c r="F59" s="15">
        <v>-74.524605555600004</v>
      </c>
      <c r="G59" s="5" t="s">
        <v>275</v>
      </c>
      <c r="H59" s="5">
        <v>72.599999999999994</v>
      </c>
      <c r="I59" s="5">
        <v>80.599999999999994</v>
      </c>
      <c r="J59" s="10">
        <v>0.3659722222222222</v>
      </c>
      <c r="K59" s="5">
        <v>80.5</v>
      </c>
      <c r="L59" s="5">
        <v>60.4</v>
      </c>
      <c r="M59" s="10">
        <v>0.62708333333333333</v>
      </c>
      <c r="N59" s="11">
        <f t="shared" si="2"/>
        <v>99.84</v>
      </c>
      <c r="O59" s="5" t="s">
        <v>4</v>
      </c>
      <c r="P59" s="5" t="s">
        <v>55</v>
      </c>
      <c r="Q59" s="5">
        <v>19.600000000000001</v>
      </c>
      <c r="R59" s="5" t="s">
        <v>8</v>
      </c>
      <c r="S59" s="5" t="s">
        <v>8</v>
      </c>
      <c r="T59" s="5">
        <v>5</v>
      </c>
      <c r="U59" s="5" t="s">
        <v>9</v>
      </c>
      <c r="V59" s="5" t="s">
        <v>123</v>
      </c>
    </row>
    <row r="60" spans="1:22" ht="16" x14ac:dyDescent="0.2">
      <c r="A60" s="4">
        <v>45845</v>
      </c>
      <c r="B60" s="19">
        <v>25188</v>
      </c>
      <c r="C60" s="5" t="s">
        <v>35</v>
      </c>
      <c r="D60" s="6"/>
      <c r="E60" s="15">
        <v>42.591736111099998</v>
      </c>
      <c r="F60" s="15">
        <v>-74.524605555600004</v>
      </c>
      <c r="G60" s="5" t="s">
        <v>275</v>
      </c>
      <c r="H60" s="5">
        <v>72.599999999999994</v>
      </c>
      <c r="I60" s="5">
        <v>80.599999999999994</v>
      </c>
      <c r="J60" s="10">
        <v>0.3659722222222222</v>
      </c>
      <c r="K60" s="5">
        <v>80.5</v>
      </c>
      <c r="L60" s="5">
        <v>60.4</v>
      </c>
      <c r="M60" s="10">
        <v>0.62708333333333333</v>
      </c>
      <c r="N60" s="11">
        <f t="shared" si="2"/>
        <v>99.84</v>
      </c>
      <c r="O60" s="5" t="s">
        <v>9</v>
      </c>
      <c r="P60" s="5" t="s">
        <v>55</v>
      </c>
      <c r="Q60" s="5">
        <v>21.5</v>
      </c>
      <c r="R60" s="5">
        <v>6</v>
      </c>
      <c r="S60" s="5">
        <v>50</v>
      </c>
      <c r="T60" s="5">
        <v>7.5</v>
      </c>
      <c r="U60" s="5" t="s">
        <v>9</v>
      </c>
      <c r="V60" s="6"/>
    </row>
    <row r="61" spans="1:22" ht="16" x14ac:dyDescent="0.2">
      <c r="A61" s="4">
        <v>45846</v>
      </c>
      <c r="B61" s="19">
        <v>25189</v>
      </c>
      <c r="C61" s="5" t="s">
        <v>240</v>
      </c>
      <c r="D61" s="5" t="s">
        <v>278</v>
      </c>
      <c r="E61" s="6">
        <v>42.756517000000002</v>
      </c>
      <c r="F61" s="6">
        <v>-75.367716999999999</v>
      </c>
      <c r="G61" s="5" t="s">
        <v>279</v>
      </c>
      <c r="H61" s="5">
        <v>69.900000000000006</v>
      </c>
      <c r="I61" s="5">
        <v>91.7</v>
      </c>
      <c r="J61" s="10">
        <v>0.37083333333333335</v>
      </c>
      <c r="K61" s="5">
        <v>70.3</v>
      </c>
      <c r="L61" s="5">
        <v>88.3</v>
      </c>
      <c r="M61" s="10">
        <v>0.53194444444444444</v>
      </c>
      <c r="N61" s="11">
        <f t="shared" si="2"/>
        <v>99.84</v>
      </c>
      <c r="O61" s="5" t="s">
        <v>8</v>
      </c>
      <c r="P61" s="5" t="s">
        <v>8</v>
      </c>
      <c r="Q61" s="5" t="s">
        <v>8</v>
      </c>
      <c r="R61" s="5" t="s">
        <v>8</v>
      </c>
      <c r="S61" s="5" t="s">
        <v>8</v>
      </c>
      <c r="T61" s="5" t="s">
        <v>8</v>
      </c>
      <c r="U61" s="5" t="s">
        <v>9</v>
      </c>
      <c r="V61" s="5" t="s">
        <v>280</v>
      </c>
    </row>
    <row r="62" spans="1:22" ht="16" x14ac:dyDescent="0.2">
      <c r="A62" s="4">
        <v>45846</v>
      </c>
      <c r="B62" s="19">
        <v>25189</v>
      </c>
      <c r="C62" s="5" t="s">
        <v>240</v>
      </c>
      <c r="D62" s="5" t="s">
        <v>281</v>
      </c>
      <c r="E62" s="6">
        <v>42.76885</v>
      </c>
      <c r="F62" s="6">
        <v>-75.421028000000007</v>
      </c>
      <c r="G62" s="5" t="s">
        <v>78</v>
      </c>
      <c r="H62" s="5">
        <v>73</v>
      </c>
      <c r="I62" s="5">
        <v>77.8</v>
      </c>
      <c r="J62" s="10">
        <v>0.58888888888888891</v>
      </c>
      <c r="K62" s="5">
        <v>72.400000000000006</v>
      </c>
      <c r="L62" s="5">
        <v>79.5</v>
      </c>
      <c r="M62" s="10">
        <v>0.61805555555555558</v>
      </c>
      <c r="N62" s="11">
        <f t="shared" si="2"/>
        <v>99.84</v>
      </c>
      <c r="O62" s="5" t="s">
        <v>8</v>
      </c>
      <c r="P62" s="5" t="s">
        <v>8</v>
      </c>
      <c r="Q62" s="5" t="s">
        <v>8</v>
      </c>
      <c r="R62" s="5" t="s">
        <v>8</v>
      </c>
      <c r="S62" s="5" t="s">
        <v>8</v>
      </c>
      <c r="T62" s="5" t="s">
        <v>8</v>
      </c>
      <c r="U62" s="5" t="s">
        <v>9</v>
      </c>
      <c r="V62" s="5" t="s">
        <v>282</v>
      </c>
    </row>
    <row r="63" spans="1:22" ht="16" x14ac:dyDescent="0.2">
      <c r="A63" s="4">
        <v>45847</v>
      </c>
      <c r="B63" s="19">
        <v>25190</v>
      </c>
      <c r="C63" s="5" t="s">
        <v>242</v>
      </c>
      <c r="D63" s="5" t="s">
        <v>283</v>
      </c>
      <c r="E63" s="15">
        <v>42.749852777800001</v>
      </c>
      <c r="F63" s="15">
        <v>-76.3204666667</v>
      </c>
      <c r="G63" s="5" t="s">
        <v>164</v>
      </c>
      <c r="H63" s="5">
        <v>68</v>
      </c>
      <c r="I63" s="5">
        <v>84.5</v>
      </c>
      <c r="J63" s="10">
        <v>0.40069444444444446</v>
      </c>
      <c r="K63" s="5">
        <v>71.099999999999994</v>
      </c>
      <c r="L63" s="5">
        <v>76.599999999999994</v>
      </c>
      <c r="M63" s="10">
        <v>0.61875000000000002</v>
      </c>
      <c r="N63" s="11">
        <f t="shared" si="2"/>
        <v>99.84</v>
      </c>
      <c r="O63" s="5" t="s">
        <v>4</v>
      </c>
      <c r="P63" s="5" t="s">
        <v>62</v>
      </c>
      <c r="Q63" s="5">
        <v>19.600000000000001</v>
      </c>
      <c r="R63" s="5">
        <v>4.9000000000000004</v>
      </c>
      <c r="S63" s="5">
        <v>61</v>
      </c>
      <c r="T63" s="5">
        <v>2</v>
      </c>
      <c r="U63" s="5" t="s">
        <v>67</v>
      </c>
      <c r="V63" s="6"/>
    </row>
    <row r="64" spans="1:22" ht="16" x14ac:dyDescent="0.2">
      <c r="A64" s="4">
        <v>45847</v>
      </c>
      <c r="B64" s="19">
        <v>25190</v>
      </c>
      <c r="C64" s="5" t="s">
        <v>242</v>
      </c>
      <c r="D64" s="6"/>
      <c r="E64" s="15">
        <v>42.749852777800001</v>
      </c>
      <c r="F64" s="15">
        <v>-76.3204666667</v>
      </c>
      <c r="G64" s="5" t="s">
        <v>164</v>
      </c>
      <c r="H64" s="5">
        <v>68</v>
      </c>
      <c r="I64" s="5">
        <v>84.5</v>
      </c>
      <c r="J64" s="10">
        <v>0.40069444444444446</v>
      </c>
      <c r="K64" s="5">
        <v>71.099999999999994</v>
      </c>
      <c r="L64" s="5">
        <v>76.599999999999994</v>
      </c>
      <c r="M64" s="10">
        <v>0.61875000000000002</v>
      </c>
      <c r="N64" s="11">
        <f t="shared" si="2"/>
        <v>99.84</v>
      </c>
      <c r="O64" s="5" t="s">
        <v>9</v>
      </c>
      <c r="P64" s="5" t="s">
        <v>178</v>
      </c>
      <c r="Q64" s="5">
        <v>18.600000000000001</v>
      </c>
      <c r="R64" s="5">
        <v>5.4</v>
      </c>
      <c r="S64" s="5">
        <v>70</v>
      </c>
      <c r="T64" s="5">
        <v>3.5</v>
      </c>
      <c r="U64" s="5" t="s">
        <v>9</v>
      </c>
      <c r="V64" s="6"/>
    </row>
    <row r="65" spans="1:22" ht="16" x14ac:dyDescent="0.2">
      <c r="A65" s="4">
        <v>45847</v>
      </c>
      <c r="B65" s="19">
        <v>25190</v>
      </c>
      <c r="C65" s="5" t="s">
        <v>242</v>
      </c>
      <c r="D65" s="6"/>
      <c r="E65" s="15">
        <v>42.749852777800001</v>
      </c>
      <c r="F65" s="15">
        <v>-76.3204666667</v>
      </c>
      <c r="G65" s="5" t="s">
        <v>164</v>
      </c>
      <c r="H65" s="5">
        <v>68</v>
      </c>
      <c r="I65" s="5">
        <v>84.5</v>
      </c>
      <c r="J65" s="10">
        <v>0.40069444444444446</v>
      </c>
      <c r="K65" s="5">
        <v>71.099999999999994</v>
      </c>
      <c r="L65" s="5">
        <v>76.599999999999994</v>
      </c>
      <c r="M65" s="10">
        <v>0.61875000000000002</v>
      </c>
      <c r="N65" s="11">
        <f t="shared" si="2"/>
        <v>99.84</v>
      </c>
      <c r="O65" s="5" t="s">
        <v>4</v>
      </c>
      <c r="P65" s="5" t="s">
        <v>55</v>
      </c>
      <c r="Q65" s="5">
        <v>20.3</v>
      </c>
      <c r="R65" s="5">
        <v>5.4</v>
      </c>
      <c r="S65" s="5">
        <v>52</v>
      </c>
      <c r="T65" s="5">
        <v>6</v>
      </c>
      <c r="U65" s="5" t="s">
        <v>9</v>
      </c>
      <c r="V65" s="6"/>
    </row>
    <row r="66" spans="1:22" ht="16" x14ac:dyDescent="0.2">
      <c r="A66" s="4">
        <v>45847</v>
      </c>
      <c r="B66" s="19">
        <v>25190</v>
      </c>
      <c r="C66" s="5" t="s">
        <v>242</v>
      </c>
      <c r="D66" s="6"/>
      <c r="E66" s="15">
        <v>42.749852777800001</v>
      </c>
      <c r="F66" s="15">
        <v>-76.3204666667</v>
      </c>
      <c r="G66" s="5" t="s">
        <v>164</v>
      </c>
      <c r="H66" s="5">
        <v>68</v>
      </c>
      <c r="I66" s="5">
        <v>84.5</v>
      </c>
      <c r="J66" s="10">
        <v>0.40069444444444446</v>
      </c>
      <c r="K66" s="5">
        <v>71.099999999999994</v>
      </c>
      <c r="L66" s="5">
        <v>76.599999999999994</v>
      </c>
      <c r="M66" s="10">
        <v>0.61875000000000002</v>
      </c>
      <c r="N66" s="11">
        <f t="shared" si="2"/>
        <v>99.84</v>
      </c>
      <c r="O66" s="5" t="s">
        <v>9</v>
      </c>
      <c r="P66" s="5" t="s">
        <v>55</v>
      </c>
      <c r="Q66" s="5">
        <v>19.600000000000001</v>
      </c>
      <c r="R66" s="5">
        <v>5.3</v>
      </c>
      <c r="S66" s="5">
        <v>70</v>
      </c>
      <c r="T66" s="5">
        <v>4.5</v>
      </c>
      <c r="U66" s="5" t="s">
        <v>9</v>
      </c>
      <c r="V66" s="6"/>
    </row>
    <row r="67" spans="1:22" ht="16" x14ac:dyDescent="0.2">
      <c r="A67" s="4">
        <v>45847</v>
      </c>
      <c r="B67" s="19">
        <v>25190</v>
      </c>
      <c r="C67" s="5" t="s">
        <v>242</v>
      </c>
      <c r="D67" s="6"/>
      <c r="E67" s="15">
        <v>42.749852777800001</v>
      </c>
      <c r="F67" s="15">
        <v>-76.3204666667</v>
      </c>
      <c r="G67" s="5" t="s">
        <v>164</v>
      </c>
      <c r="H67" s="5">
        <v>68</v>
      </c>
      <c r="I67" s="5">
        <v>84.5</v>
      </c>
      <c r="J67" s="10">
        <v>0.40069444444444446</v>
      </c>
      <c r="K67" s="5">
        <v>71.099999999999994</v>
      </c>
      <c r="L67" s="5">
        <v>76.599999999999994</v>
      </c>
      <c r="M67" s="10">
        <v>0.61875000000000002</v>
      </c>
      <c r="N67" s="11">
        <f t="shared" si="2"/>
        <v>99.84</v>
      </c>
      <c r="O67" s="5" t="s">
        <v>4</v>
      </c>
      <c r="P67" s="5" t="s">
        <v>284</v>
      </c>
      <c r="Q67" s="5">
        <v>19.3</v>
      </c>
      <c r="R67" s="5">
        <v>6</v>
      </c>
      <c r="S67" s="5">
        <v>45</v>
      </c>
      <c r="T67" s="5">
        <v>5.5</v>
      </c>
      <c r="U67" s="5" t="s">
        <v>9</v>
      </c>
      <c r="V67" s="6"/>
    </row>
    <row r="68" spans="1:22" ht="16" x14ac:dyDescent="0.2">
      <c r="A68" s="4">
        <v>45847</v>
      </c>
      <c r="B68" s="19">
        <v>25190</v>
      </c>
      <c r="C68" s="5" t="s">
        <v>285</v>
      </c>
      <c r="D68" s="6"/>
      <c r="E68" s="15">
        <v>42.749852777800001</v>
      </c>
      <c r="F68" s="15">
        <v>-76.3204666667</v>
      </c>
      <c r="G68" s="5" t="s">
        <v>164</v>
      </c>
      <c r="H68" s="5">
        <v>68</v>
      </c>
      <c r="I68" s="5">
        <v>84.5</v>
      </c>
      <c r="J68" s="10">
        <v>0.40069444444444446</v>
      </c>
      <c r="K68" s="5">
        <v>71.099999999999994</v>
      </c>
      <c r="L68" s="5">
        <v>76.599999999999994</v>
      </c>
      <c r="M68" s="10">
        <v>0.61875000000000002</v>
      </c>
      <c r="N68" s="11">
        <f t="shared" si="2"/>
        <v>99.84</v>
      </c>
      <c r="O68" s="5" t="s">
        <v>9</v>
      </c>
      <c r="P68" s="5" t="s">
        <v>55</v>
      </c>
      <c r="Q68" s="5">
        <v>18.600000000000001</v>
      </c>
      <c r="R68" s="5">
        <v>5.0999999999999996</v>
      </c>
      <c r="S68" s="5">
        <v>62</v>
      </c>
      <c r="T68" s="5">
        <v>4.5</v>
      </c>
      <c r="U68" s="5" t="s">
        <v>9</v>
      </c>
      <c r="V68" s="6"/>
    </row>
    <row r="69" spans="1:22" ht="16" x14ac:dyDescent="0.2">
      <c r="A69" s="4">
        <v>45848</v>
      </c>
      <c r="B69" s="19">
        <v>25191</v>
      </c>
      <c r="C69" s="5" t="s">
        <v>38</v>
      </c>
      <c r="D69" s="5" t="s">
        <v>286</v>
      </c>
      <c r="E69" s="15">
        <v>42.780894444399998</v>
      </c>
      <c r="F69" s="15">
        <v>-76.035674999999998</v>
      </c>
      <c r="G69" s="5" t="s">
        <v>120</v>
      </c>
      <c r="H69" s="5">
        <v>68.900000000000006</v>
      </c>
      <c r="I69" s="5">
        <v>87.9</v>
      </c>
      <c r="J69" s="10">
        <v>0.36388888888888887</v>
      </c>
      <c r="K69" s="5">
        <v>79.3</v>
      </c>
      <c r="L69" s="5">
        <v>68.599999999999994</v>
      </c>
      <c r="M69" s="10">
        <v>8.611111111111111E-2</v>
      </c>
      <c r="N69" s="11">
        <f t="shared" si="2"/>
        <v>99.84</v>
      </c>
      <c r="O69" s="5" t="s">
        <v>8</v>
      </c>
      <c r="P69" s="5" t="s">
        <v>8</v>
      </c>
      <c r="Q69" s="5" t="s">
        <v>8</v>
      </c>
      <c r="R69" s="5" t="s">
        <v>8</v>
      </c>
      <c r="S69" s="5" t="s">
        <v>8</v>
      </c>
      <c r="T69" s="5" t="s">
        <v>8</v>
      </c>
      <c r="U69" s="5" t="s">
        <v>9</v>
      </c>
      <c r="V69" s="5" t="s">
        <v>287</v>
      </c>
    </row>
    <row r="70" spans="1:22" ht="16" x14ac:dyDescent="0.2">
      <c r="A70" s="6"/>
      <c r="B70" s="6"/>
      <c r="C70" s="6"/>
      <c r="D70" s="6"/>
      <c r="E70" s="6"/>
      <c r="F70" s="6"/>
      <c r="G70" s="6"/>
      <c r="H70" s="6"/>
      <c r="I70" s="6"/>
      <c r="J70" s="6"/>
      <c r="K70" s="6"/>
      <c r="L70" s="6"/>
      <c r="M70" s="6"/>
      <c r="N70" s="11"/>
      <c r="O70" s="6"/>
      <c r="P70" s="6"/>
      <c r="Q70" s="6"/>
      <c r="R70" s="6"/>
      <c r="S70" s="6"/>
      <c r="T70" s="6"/>
      <c r="U70" s="6"/>
      <c r="V70" s="6"/>
    </row>
    <row r="71" spans="1:22" ht="16" x14ac:dyDescent="0.2">
      <c r="A71" s="6"/>
      <c r="B71" s="6"/>
      <c r="C71" s="6"/>
      <c r="D71" s="6"/>
      <c r="E71" s="6"/>
      <c r="F71" s="6"/>
      <c r="G71" s="6"/>
      <c r="H71" s="6"/>
      <c r="I71" s="6"/>
      <c r="J71" s="6"/>
      <c r="K71" s="6"/>
      <c r="L71" s="6"/>
      <c r="M71" s="6"/>
      <c r="N71" s="11"/>
      <c r="O71" s="6"/>
      <c r="P71" s="6"/>
      <c r="Q71" s="6"/>
      <c r="R71" s="6"/>
      <c r="S71" s="6"/>
      <c r="T71" s="6"/>
      <c r="U71" s="6"/>
      <c r="V71" s="6"/>
    </row>
    <row r="72" spans="1:22" ht="16" x14ac:dyDescent="0.2">
      <c r="A72" s="6"/>
      <c r="B72" s="6"/>
      <c r="C72" s="6"/>
      <c r="D72" s="6"/>
      <c r="E72" s="6"/>
      <c r="F72" s="6"/>
      <c r="G72" s="6"/>
      <c r="H72" s="6"/>
      <c r="I72" s="6"/>
      <c r="J72" s="6"/>
      <c r="K72" s="6"/>
      <c r="L72" s="6"/>
      <c r="M72" s="6"/>
      <c r="N72" s="11"/>
      <c r="O72" s="6"/>
      <c r="P72" s="6"/>
      <c r="Q72" s="6"/>
      <c r="R72" s="6"/>
      <c r="S72" s="6"/>
      <c r="T72" s="6"/>
      <c r="U72" s="6"/>
      <c r="V72" s="6"/>
    </row>
    <row r="73" spans="1:22" ht="16" x14ac:dyDescent="0.2">
      <c r="A73" s="6"/>
      <c r="B73" s="6"/>
      <c r="C73" s="6"/>
      <c r="D73" s="6"/>
      <c r="E73" s="6"/>
      <c r="F73" s="6"/>
      <c r="G73" s="6"/>
      <c r="H73" s="6"/>
      <c r="I73" s="6"/>
      <c r="J73" s="6"/>
      <c r="K73" s="6"/>
      <c r="L73" s="6"/>
      <c r="M73" s="6"/>
      <c r="N73" s="11"/>
      <c r="O73" s="6"/>
      <c r="P73" s="6"/>
      <c r="Q73" s="6"/>
      <c r="R73" s="6"/>
      <c r="S73" s="6"/>
      <c r="T73" s="6"/>
      <c r="U73" s="6"/>
      <c r="V73" s="6"/>
    </row>
    <row r="74" spans="1:22" ht="16" x14ac:dyDescent="0.2">
      <c r="A74" s="6"/>
      <c r="B74" s="6"/>
      <c r="C74" s="6"/>
      <c r="D74" s="6"/>
      <c r="E74" s="6"/>
      <c r="F74" s="6"/>
      <c r="G74" s="6"/>
      <c r="H74" s="6"/>
      <c r="I74" s="6"/>
      <c r="J74" s="6"/>
      <c r="K74" s="6"/>
      <c r="L74" s="6"/>
      <c r="M74" s="6"/>
      <c r="N74" s="11"/>
      <c r="O74" s="6"/>
      <c r="P74" s="6"/>
      <c r="Q74" s="6"/>
      <c r="R74" s="6"/>
      <c r="S74" s="6"/>
      <c r="T74" s="6"/>
      <c r="U74" s="6"/>
      <c r="V74" s="6"/>
    </row>
    <row r="75" spans="1:22" ht="16" x14ac:dyDescent="0.2">
      <c r="A75" s="6"/>
      <c r="B75" s="6"/>
      <c r="C75" s="6"/>
      <c r="D75" s="6"/>
      <c r="E75" s="6"/>
      <c r="F75" s="6"/>
      <c r="G75" s="6"/>
      <c r="H75" s="6"/>
      <c r="I75" s="6"/>
      <c r="J75" s="6"/>
      <c r="K75" s="6"/>
      <c r="L75" s="6"/>
      <c r="M75" s="6"/>
      <c r="N75" s="11"/>
      <c r="O75" s="6"/>
      <c r="P75" s="6"/>
      <c r="Q75" s="6"/>
      <c r="R75" s="6"/>
      <c r="S75" s="6"/>
      <c r="T75" s="6"/>
      <c r="U75" s="6"/>
      <c r="V75" s="6"/>
    </row>
    <row r="76" spans="1:22" ht="16" x14ac:dyDescent="0.2">
      <c r="A76" s="6"/>
      <c r="B76" s="6"/>
      <c r="C76" s="6"/>
      <c r="D76" s="6"/>
      <c r="E76" s="6"/>
      <c r="F76" s="6"/>
      <c r="G76" s="6"/>
      <c r="H76" s="6"/>
      <c r="I76" s="6"/>
      <c r="J76" s="6"/>
      <c r="K76" s="6"/>
      <c r="L76" s="6"/>
      <c r="M76" s="6"/>
      <c r="N76" s="11"/>
      <c r="O76" s="6"/>
      <c r="P76" s="6"/>
      <c r="Q76" s="6"/>
      <c r="R76" s="6"/>
      <c r="S76" s="6"/>
      <c r="T76" s="6"/>
      <c r="U76" s="6"/>
      <c r="V76" s="6"/>
    </row>
    <row r="77" spans="1:22" ht="16" x14ac:dyDescent="0.2">
      <c r="A77" s="6"/>
      <c r="B77" s="6"/>
      <c r="C77" s="6"/>
      <c r="D77" s="6"/>
      <c r="E77" s="6"/>
      <c r="F77" s="6"/>
      <c r="G77" s="6"/>
      <c r="H77" s="6"/>
      <c r="I77" s="6"/>
      <c r="J77" s="6"/>
      <c r="K77" s="6"/>
      <c r="L77" s="6"/>
      <c r="M77" s="6"/>
      <c r="N77" s="11"/>
      <c r="O77" s="6"/>
      <c r="P77" s="6"/>
      <c r="Q77" s="6"/>
      <c r="R77" s="6"/>
      <c r="S77" s="6"/>
      <c r="T77" s="6"/>
      <c r="U77" s="6"/>
      <c r="V77" s="6"/>
    </row>
    <row r="78" spans="1:22" ht="16" x14ac:dyDescent="0.2">
      <c r="A78" s="6"/>
      <c r="B78" s="6"/>
      <c r="C78" s="6"/>
      <c r="D78" s="6"/>
      <c r="E78" s="6"/>
      <c r="F78" s="6"/>
      <c r="G78" s="6"/>
      <c r="H78" s="6"/>
      <c r="I78" s="6"/>
      <c r="J78" s="6"/>
      <c r="K78" s="6"/>
      <c r="L78" s="6"/>
      <c r="M78" s="6"/>
      <c r="N78" s="11"/>
      <c r="O78" s="6"/>
      <c r="P78" s="6"/>
      <c r="Q78" s="6"/>
      <c r="R78" s="6"/>
      <c r="S78" s="6"/>
      <c r="T78" s="6"/>
      <c r="U78" s="6"/>
      <c r="V78" s="6"/>
    </row>
    <row r="79" spans="1:22" ht="16" x14ac:dyDescent="0.2">
      <c r="A79" s="6"/>
      <c r="B79" s="6"/>
      <c r="C79" s="6"/>
      <c r="D79" s="6"/>
      <c r="E79" s="6"/>
      <c r="F79" s="6"/>
      <c r="G79" s="6"/>
      <c r="H79" s="6"/>
      <c r="I79" s="6"/>
      <c r="J79" s="6"/>
      <c r="K79" s="6"/>
      <c r="L79" s="6"/>
      <c r="M79" s="6"/>
      <c r="N79" s="11"/>
      <c r="O79" s="6"/>
      <c r="P79" s="6"/>
      <c r="Q79" s="6"/>
      <c r="R79" s="6"/>
      <c r="S79" s="6"/>
      <c r="T79" s="6"/>
      <c r="U79" s="6"/>
      <c r="V79" s="6"/>
    </row>
    <row r="80" spans="1:22" ht="16" x14ac:dyDescent="0.2">
      <c r="A80" s="6"/>
      <c r="B80" s="6"/>
      <c r="C80" s="6"/>
      <c r="D80" s="6"/>
      <c r="E80" s="6"/>
      <c r="F80" s="6"/>
      <c r="G80" s="6"/>
      <c r="H80" s="6"/>
      <c r="I80" s="6"/>
      <c r="J80" s="6"/>
      <c r="K80" s="6"/>
      <c r="L80" s="6"/>
      <c r="M80" s="6"/>
      <c r="N80" s="11"/>
      <c r="O80" s="6"/>
      <c r="P80" s="6"/>
      <c r="Q80" s="6"/>
      <c r="R80" s="6"/>
      <c r="S80" s="6"/>
      <c r="T80" s="6"/>
      <c r="U80" s="6"/>
      <c r="V80" s="6"/>
    </row>
    <row r="81" spans="1:22" ht="16" x14ac:dyDescent="0.2">
      <c r="A81" s="6"/>
      <c r="B81" s="6"/>
      <c r="C81" s="6"/>
      <c r="D81" s="6"/>
      <c r="E81" s="6"/>
      <c r="F81" s="6"/>
      <c r="G81" s="6"/>
      <c r="H81" s="6"/>
      <c r="I81" s="6"/>
      <c r="J81" s="6"/>
      <c r="K81" s="6"/>
      <c r="L81" s="6"/>
      <c r="M81" s="6"/>
      <c r="N81" s="11"/>
      <c r="O81" s="6"/>
      <c r="P81" s="6"/>
      <c r="Q81" s="6"/>
      <c r="R81" s="6"/>
      <c r="S81" s="6"/>
      <c r="T81" s="6"/>
      <c r="U81" s="6"/>
      <c r="V81" s="6"/>
    </row>
    <row r="82" spans="1:22" ht="16" x14ac:dyDescent="0.2">
      <c r="A82" s="6"/>
      <c r="B82" s="6"/>
      <c r="C82" s="6"/>
      <c r="D82" s="6"/>
      <c r="E82" s="6"/>
      <c r="F82" s="6"/>
      <c r="G82" s="6"/>
      <c r="H82" s="6"/>
      <c r="I82" s="6"/>
      <c r="J82" s="6"/>
      <c r="K82" s="6"/>
      <c r="L82" s="6"/>
      <c r="M82" s="6"/>
      <c r="N82" s="11"/>
      <c r="O82" s="6"/>
      <c r="P82" s="6"/>
      <c r="Q82" s="6"/>
      <c r="R82" s="6"/>
      <c r="S82" s="6"/>
      <c r="T82" s="6"/>
      <c r="U82" s="6"/>
      <c r="V82" s="6"/>
    </row>
    <row r="83" spans="1:22" ht="16" x14ac:dyDescent="0.2">
      <c r="A83" s="6"/>
      <c r="B83" s="6"/>
      <c r="C83" s="6"/>
      <c r="D83" s="6"/>
      <c r="E83" s="6"/>
      <c r="F83" s="6"/>
      <c r="G83" s="6"/>
      <c r="H83" s="6"/>
      <c r="I83" s="6"/>
      <c r="J83" s="6"/>
      <c r="K83" s="6"/>
      <c r="L83" s="6"/>
      <c r="M83" s="6"/>
      <c r="N83" s="11"/>
      <c r="O83" s="6"/>
      <c r="P83" s="6"/>
      <c r="Q83" s="6"/>
      <c r="R83" s="6"/>
      <c r="S83" s="6"/>
      <c r="T83" s="6"/>
      <c r="U83" s="6"/>
      <c r="V83" s="6"/>
    </row>
    <row r="84" spans="1:22" ht="16" x14ac:dyDescent="0.2">
      <c r="A84" s="6"/>
      <c r="B84" s="6"/>
      <c r="C84" s="6"/>
      <c r="D84" s="6"/>
      <c r="E84" s="6"/>
      <c r="F84" s="6"/>
      <c r="G84" s="6"/>
      <c r="H84" s="6"/>
      <c r="I84" s="6"/>
      <c r="J84" s="6"/>
      <c r="K84" s="6"/>
      <c r="L84" s="6"/>
      <c r="M84" s="6"/>
      <c r="N84" s="11"/>
      <c r="O84" s="6"/>
      <c r="P84" s="6"/>
      <c r="Q84" s="6"/>
      <c r="R84" s="6"/>
      <c r="S84" s="6"/>
      <c r="T84" s="6"/>
      <c r="U84" s="6"/>
      <c r="V84" s="6"/>
    </row>
    <row r="85" spans="1:22" ht="16" x14ac:dyDescent="0.2">
      <c r="A85" s="6"/>
      <c r="B85" s="6"/>
      <c r="C85" s="6"/>
      <c r="D85" s="6"/>
      <c r="E85" s="6"/>
      <c r="F85" s="6"/>
      <c r="G85" s="6"/>
      <c r="H85" s="6"/>
      <c r="I85" s="6"/>
      <c r="J85" s="6"/>
      <c r="K85" s="6"/>
      <c r="L85" s="6"/>
      <c r="M85" s="6"/>
      <c r="N85" s="11"/>
      <c r="O85" s="6"/>
      <c r="P85" s="6"/>
      <c r="Q85" s="6"/>
      <c r="R85" s="6"/>
      <c r="S85" s="6"/>
      <c r="T85" s="6"/>
      <c r="U85" s="6"/>
      <c r="V85" s="6"/>
    </row>
    <row r="86" spans="1:22" ht="16" x14ac:dyDescent="0.2">
      <c r="A86" s="6"/>
      <c r="B86" s="6"/>
      <c r="C86" s="6"/>
      <c r="D86" s="6"/>
      <c r="E86" s="6"/>
      <c r="F86" s="6"/>
      <c r="G86" s="6"/>
      <c r="H86" s="6"/>
      <c r="I86" s="6"/>
      <c r="J86" s="6"/>
      <c r="K86" s="6"/>
      <c r="L86" s="6"/>
      <c r="M86" s="6"/>
      <c r="N86" s="11"/>
      <c r="O86" s="6"/>
      <c r="P86" s="6"/>
      <c r="Q86" s="6"/>
      <c r="R86" s="6"/>
      <c r="S86" s="6"/>
      <c r="T86" s="6"/>
      <c r="U86" s="6"/>
      <c r="V86" s="6"/>
    </row>
    <row r="87" spans="1:22" ht="16" x14ac:dyDescent="0.2">
      <c r="A87" s="6"/>
      <c r="B87" s="6"/>
      <c r="C87" s="6"/>
      <c r="D87" s="6"/>
      <c r="E87" s="6"/>
      <c r="F87" s="6"/>
      <c r="G87" s="6"/>
      <c r="H87" s="6"/>
      <c r="I87" s="6"/>
      <c r="J87" s="6"/>
      <c r="K87" s="6"/>
      <c r="L87" s="6"/>
      <c r="M87" s="6"/>
      <c r="N87" s="11"/>
      <c r="O87" s="6"/>
      <c r="P87" s="6"/>
      <c r="Q87" s="6"/>
      <c r="R87" s="6"/>
      <c r="S87" s="6"/>
      <c r="T87" s="6"/>
      <c r="U87" s="6"/>
      <c r="V87" s="6"/>
    </row>
    <row r="88" spans="1:22" ht="16" x14ac:dyDescent="0.2">
      <c r="A88" s="6"/>
      <c r="B88" s="6"/>
      <c r="C88" s="6"/>
      <c r="D88" s="6"/>
      <c r="E88" s="6"/>
      <c r="F88" s="6"/>
      <c r="G88" s="6"/>
      <c r="H88" s="6"/>
      <c r="I88" s="6"/>
      <c r="J88" s="6"/>
      <c r="K88" s="6"/>
      <c r="L88" s="6"/>
      <c r="M88" s="6"/>
      <c r="N88" s="11"/>
      <c r="O88" s="6"/>
      <c r="P88" s="6"/>
      <c r="Q88" s="6"/>
      <c r="R88" s="6"/>
      <c r="S88" s="6"/>
      <c r="T88" s="6"/>
      <c r="U88" s="6"/>
      <c r="V88" s="6"/>
    </row>
    <row r="89" spans="1:22" ht="16" x14ac:dyDescent="0.2">
      <c r="A89" s="6"/>
      <c r="B89" s="6"/>
      <c r="C89" s="6"/>
      <c r="D89" s="6"/>
      <c r="E89" s="6"/>
      <c r="F89" s="6"/>
      <c r="G89" s="6"/>
      <c r="H89" s="6"/>
      <c r="I89" s="6"/>
      <c r="J89" s="6"/>
      <c r="K89" s="6"/>
      <c r="L89" s="6"/>
      <c r="M89" s="6"/>
      <c r="N89" s="11"/>
      <c r="O89" s="6"/>
      <c r="P89" s="6"/>
      <c r="Q89" s="6"/>
      <c r="R89" s="6"/>
      <c r="S89" s="6"/>
      <c r="T89" s="6"/>
      <c r="U89" s="6"/>
      <c r="V89" s="6"/>
    </row>
    <row r="90" spans="1:22" ht="16" x14ac:dyDescent="0.2">
      <c r="A90" s="6"/>
      <c r="B90" s="6"/>
      <c r="C90" s="6"/>
      <c r="D90" s="6"/>
      <c r="E90" s="6"/>
      <c r="F90" s="6"/>
      <c r="G90" s="6"/>
      <c r="H90" s="6"/>
      <c r="I90" s="6"/>
      <c r="J90" s="6"/>
      <c r="K90" s="6"/>
      <c r="L90" s="6"/>
      <c r="M90" s="6"/>
      <c r="N90" s="11"/>
      <c r="O90" s="6"/>
      <c r="P90" s="6"/>
      <c r="Q90" s="6"/>
      <c r="R90" s="6"/>
      <c r="S90" s="6"/>
      <c r="T90" s="6"/>
      <c r="U90" s="6"/>
      <c r="V90" s="6"/>
    </row>
    <row r="91" spans="1:22" ht="16" x14ac:dyDescent="0.2">
      <c r="A91" s="6"/>
      <c r="B91" s="6"/>
      <c r="C91" s="6"/>
      <c r="D91" s="6"/>
      <c r="E91" s="6"/>
      <c r="F91" s="6"/>
      <c r="G91" s="6"/>
      <c r="H91" s="6"/>
      <c r="I91" s="6"/>
      <c r="J91" s="6"/>
      <c r="K91" s="6"/>
      <c r="L91" s="6"/>
      <c r="M91" s="6"/>
      <c r="N91" s="11"/>
      <c r="O91" s="6"/>
      <c r="P91" s="6"/>
      <c r="Q91" s="6"/>
      <c r="R91" s="6"/>
      <c r="S91" s="6"/>
      <c r="T91" s="6"/>
      <c r="U91" s="6"/>
      <c r="V91" s="6"/>
    </row>
    <row r="92" spans="1:22" ht="16" x14ac:dyDescent="0.2">
      <c r="A92" s="6"/>
      <c r="B92" s="6"/>
      <c r="C92" s="6"/>
      <c r="D92" s="6"/>
      <c r="E92" s="6"/>
      <c r="F92" s="6"/>
      <c r="G92" s="6"/>
      <c r="H92" s="6"/>
      <c r="I92" s="6"/>
      <c r="J92" s="6"/>
      <c r="K92" s="6"/>
      <c r="L92" s="6"/>
      <c r="M92" s="6"/>
      <c r="N92" s="11"/>
      <c r="O92" s="6"/>
      <c r="P92" s="6"/>
      <c r="Q92" s="6"/>
      <c r="R92" s="6"/>
      <c r="S92" s="6"/>
      <c r="T92" s="6"/>
      <c r="U92" s="6"/>
      <c r="V92" s="6"/>
    </row>
    <row r="93" spans="1:22" ht="16" x14ac:dyDescent="0.2">
      <c r="A93" s="6"/>
      <c r="B93" s="6"/>
      <c r="C93" s="6"/>
      <c r="D93" s="6"/>
      <c r="E93" s="6"/>
      <c r="F93" s="6"/>
      <c r="G93" s="6"/>
      <c r="H93" s="6"/>
      <c r="I93" s="6"/>
      <c r="J93" s="6"/>
      <c r="K93" s="6"/>
      <c r="L93" s="6"/>
      <c r="M93" s="6"/>
      <c r="N93" s="11"/>
      <c r="O93" s="6"/>
      <c r="P93" s="6"/>
      <c r="Q93" s="6"/>
      <c r="R93" s="6"/>
      <c r="S93" s="6"/>
      <c r="T93" s="6"/>
      <c r="U93" s="6"/>
      <c r="V93" s="6"/>
    </row>
    <row r="94" spans="1:22" ht="16" x14ac:dyDescent="0.2">
      <c r="A94" s="6"/>
      <c r="B94" s="6"/>
      <c r="C94" s="6"/>
      <c r="D94" s="6"/>
      <c r="E94" s="6"/>
      <c r="F94" s="6"/>
      <c r="G94" s="6"/>
      <c r="H94" s="6"/>
      <c r="I94" s="6"/>
      <c r="J94" s="6"/>
      <c r="K94" s="6"/>
      <c r="L94" s="6"/>
      <c r="M94" s="6"/>
      <c r="N94" s="11"/>
      <c r="O94" s="6"/>
      <c r="P94" s="6"/>
      <c r="Q94" s="6"/>
      <c r="R94" s="6"/>
      <c r="S94" s="6"/>
      <c r="T94" s="6"/>
      <c r="U94" s="6"/>
      <c r="V94" s="6"/>
    </row>
    <row r="95" spans="1:22" ht="16" x14ac:dyDescent="0.2">
      <c r="A95" s="6"/>
      <c r="B95" s="6"/>
      <c r="C95" s="6"/>
      <c r="D95" s="6"/>
      <c r="E95" s="6"/>
      <c r="F95" s="6"/>
      <c r="G95" s="6"/>
      <c r="H95" s="6"/>
      <c r="I95" s="6"/>
      <c r="J95" s="6"/>
      <c r="K95" s="6"/>
      <c r="L95" s="6"/>
      <c r="M95" s="6"/>
      <c r="N95" s="11"/>
      <c r="O95" s="6"/>
      <c r="P95" s="6"/>
      <c r="Q95" s="6"/>
      <c r="R95" s="6"/>
      <c r="S95" s="6"/>
      <c r="T95" s="6"/>
      <c r="U95" s="6"/>
      <c r="V95" s="6"/>
    </row>
    <row r="96" spans="1:22" ht="16" x14ac:dyDescent="0.2">
      <c r="A96" s="6"/>
      <c r="B96" s="6"/>
      <c r="C96" s="6"/>
      <c r="D96" s="6"/>
      <c r="E96" s="6"/>
      <c r="F96" s="6"/>
      <c r="G96" s="6"/>
      <c r="H96" s="6"/>
      <c r="I96" s="6"/>
      <c r="J96" s="6"/>
      <c r="K96" s="6"/>
      <c r="L96" s="6"/>
      <c r="M96" s="6"/>
      <c r="N96" s="11"/>
      <c r="O96" s="6"/>
      <c r="P96" s="6"/>
      <c r="Q96" s="6"/>
      <c r="R96" s="6"/>
      <c r="S96" s="6"/>
      <c r="T96" s="6"/>
      <c r="U96" s="6"/>
      <c r="V96" s="6"/>
    </row>
    <row r="97" spans="1:22" ht="16" x14ac:dyDescent="0.2">
      <c r="A97" s="6"/>
      <c r="B97" s="6"/>
      <c r="C97" s="6"/>
      <c r="D97" s="6"/>
      <c r="E97" s="6"/>
      <c r="F97" s="6"/>
      <c r="G97" s="6"/>
      <c r="H97" s="6"/>
      <c r="I97" s="6"/>
      <c r="J97" s="6"/>
      <c r="K97" s="6"/>
      <c r="L97" s="6"/>
      <c r="M97" s="6"/>
      <c r="N97" s="11"/>
      <c r="O97" s="6"/>
      <c r="P97" s="6"/>
      <c r="Q97" s="6"/>
      <c r="R97" s="6"/>
      <c r="S97" s="6"/>
      <c r="T97" s="6"/>
      <c r="U97" s="6"/>
      <c r="V97" s="6"/>
    </row>
    <row r="98" spans="1:22" ht="16" x14ac:dyDescent="0.2">
      <c r="A98" s="6"/>
      <c r="B98" s="6"/>
      <c r="C98" s="6"/>
      <c r="D98" s="6"/>
      <c r="E98" s="6"/>
      <c r="F98" s="6"/>
      <c r="G98" s="6"/>
      <c r="H98" s="6"/>
      <c r="I98" s="6"/>
      <c r="J98" s="6"/>
      <c r="K98" s="6"/>
      <c r="L98" s="6"/>
      <c r="M98" s="6"/>
      <c r="N98" s="11"/>
      <c r="O98" s="6"/>
      <c r="P98" s="6"/>
      <c r="Q98" s="6"/>
      <c r="R98" s="6"/>
      <c r="S98" s="6"/>
      <c r="T98" s="6"/>
      <c r="U98" s="6"/>
      <c r="V98" s="6"/>
    </row>
    <row r="99" spans="1:22" ht="16" x14ac:dyDescent="0.2">
      <c r="A99" s="6"/>
      <c r="B99" s="6"/>
      <c r="C99" s="6"/>
      <c r="D99" s="6"/>
      <c r="E99" s="6"/>
      <c r="F99" s="6"/>
      <c r="G99" s="6"/>
      <c r="H99" s="6"/>
      <c r="I99" s="6"/>
      <c r="J99" s="6"/>
      <c r="K99" s="6"/>
      <c r="L99" s="6"/>
      <c r="M99" s="6"/>
      <c r="N99" s="11"/>
      <c r="O99" s="6"/>
      <c r="P99" s="6"/>
      <c r="Q99" s="6"/>
      <c r="R99" s="6"/>
      <c r="S99" s="6"/>
      <c r="T99" s="6"/>
      <c r="U99" s="6"/>
      <c r="V99" s="6"/>
    </row>
    <row r="100" spans="1:22" ht="16" x14ac:dyDescent="0.2">
      <c r="A100" s="6"/>
      <c r="B100" s="6"/>
      <c r="C100" s="6"/>
      <c r="D100" s="6"/>
      <c r="E100" s="6"/>
      <c r="F100" s="6"/>
      <c r="G100" s="6"/>
      <c r="H100" s="6"/>
      <c r="I100" s="6"/>
      <c r="J100" s="6"/>
      <c r="K100" s="6"/>
      <c r="L100" s="6"/>
      <c r="M100" s="6"/>
      <c r="N100" s="11"/>
      <c r="O100" s="6"/>
      <c r="P100" s="6"/>
      <c r="Q100" s="6"/>
      <c r="R100" s="6"/>
      <c r="S100" s="6"/>
      <c r="T100" s="6"/>
      <c r="U100" s="6"/>
      <c r="V100" s="6"/>
    </row>
    <row r="101" spans="1:22" ht="16" x14ac:dyDescent="0.2">
      <c r="A101" s="6"/>
      <c r="B101" s="6"/>
      <c r="C101" s="6"/>
      <c r="D101" s="6"/>
      <c r="E101" s="6"/>
      <c r="F101" s="6"/>
      <c r="G101" s="6"/>
      <c r="H101" s="6"/>
      <c r="I101" s="6"/>
      <c r="J101" s="6"/>
      <c r="K101" s="6"/>
      <c r="L101" s="6"/>
      <c r="M101" s="6"/>
      <c r="N101" s="11"/>
      <c r="O101" s="6"/>
      <c r="P101" s="6"/>
      <c r="Q101" s="6"/>
      <c r="R101" s="6"/>
      <c r="S101" s="6"/>
      <c r="T101" s="6"/>
      <c r="U101" s="6"/>
      <c r="V101" s="6"/>
    </row>
    <row r="102" spans="1:22" ht="13" x14ac:dyDescent="0.15">
      <c r="N102" s="2"/>
    </row>
    <row r="103" spans="1:22" ht="13" x14ac:dyDescent="0.15">
      <c r="N103" s="2"/>
    </row>
    <row r="104" spans="1:22" ht="13" x14ac:dyDescent="0.15">
      <c r="N104" s="2"/>
    </row>
    <row r="105" spans="1:22" ht="13" x14ac:dyDescent="0.15">
      <c r="N105" s="2"/>
    </row>
    <row r="106" spans="1:22" ht="13" x14ac:dyDescent="0.15">
      <c r="N106" s="2"/>
    </row>
    <row r="107" spans="1:22" ht="13" x14ac:dyDescent="0.15">
      <c r="N107" s="2"/>
    </row>
    <row r="108" spans="1:22" ht="13" x14ac:dyDescent="0.15">
      <c r="N108" s="2"/>
    </row>
    <row r="109" spans="1:22" ht="13" x14ac:dyDescent="0.15">
      <c r="N109" s="2"/>
    </row>
    <row r="110" spans="1:22" ht="13" x14ac:dyDescent="0.15">
      <c r="N110" s="2"/>
    </row>
    <row r="111" spans="1:22" ht="13" x14ac:dyDescent="0.15">
      <c r="N111" s="2"/>
    </row>
    <row r="112" spans="1:22" ht="13" x14ac:dyDescent="0.15">
      <c r="N112" s="2"/>
    </row>
    <row r="113" spans="14:14" ht="13" x14ac:dyDescent="0.15">
      <c r="N113" s="2"/>
    </row>
    <row r="114" spans="14:14" ht="13" x14ac:dyDescent="0.15">
      <c r="N114" s="2"/>
    </row>
    <row r="115" spans="14:14" ht="13" x14ac:dyDescent="0.15">
      <c r="N115" s="2"/>
    </row>
    <row r="116" spans="14:14" ht="13" x14ac:dyDescent="0.15">
      <c r="N116" s="2"/>
    </row>
    <row r="117" spans="14:14" ht="13" x14ac:dyDescent="0.15">
      <c r="N117" s="2"/>
    </row>
    <row r="118" spans="14:14" ht="13" x14ac:dyDescent="0.15">
      <c r="N118" s="2"/>
    </row>
    <row r="119" spans="14:14" ht="13" x14ac:dyDescent="0.15">
      <c r="N119" s="2"/>
    </row>
    <row r="120" spans="14:14" ht="13" x14ac:dyDescent="0.15">
      <c r="N120" s="2"/>
    </row>
    <row r="121" spans="14:14" ht="13" x14ac:dyDescent="0.15">
      <c r="N121" s="2"/>
    </row>
    <row r="122" spans="14:14" ht="13" x14ac:dyDescent="0.15">
      <c r="N122" s="2"/>
    </row>
    <row r="123" spans="14:14" ht="13" x14ac:dyDescent="0.15">
      <c r="N123" s="2"/>
    </row>
    <row r="124" spans="14:14" ht="13" x14ac:dyDescent="0.15">
      <c r="N124" s="2"/>
    </row>
    <row r="125" spans="14:14" ht="13" x14ac:dyDescent="0.15">
      <c r="N125" s="2"/>
    </row>
    <row r="126" spans="14:14" ht="13" x14ac:dyDescent="0.15">
      <c r="N126" s="2"/>
    </row>
    <row r="127" spans="14:14" ht="13" x14ac:dyDescent="0.15">
      <c r="N127" s="2"/>
    </row>
    <row r="128" spans="14:14" ht="13" x14ac:dyDescent="0.15">
      <c r="N128" s="2"/>
    </row>
    <row r="129" spans="14:14" ht="13" x14ac:dyDescent="0.15">
      <c r="N129" s="2"/>
    </row>
    <row r="130" spans="14:14" ht="13" x14ac:dyDescent="0.15">
      <c r="N130" s="2"/>
    </row>
    <row r="131" spans="14:14" ht="13" x14ac:dyDescent="0.15">
      <c r="N131" s="2"/>
    </row>
    <row r="132" spans="14:14" ht="13" x14ac:dyDescent="0.15">
      <c r="N132" s="2"/>
    </row>
    <row r="133" spans="14:14" ht="13" x14ac:dyDescent="0.15">
      <c r="N133" s="2"/>
    </row>
    <row r="134" spans="14:14" ht="13" x14ac:dyDescent="0.15">
      <c r="N134" s="2"/>
    </row>
    <row r="135" spans="14:14" ht="13" x14ac:dyDescent="0.15">
      <c r="N135" s="2"/>
    </row>
    <row r="136" spans="14:14" ht="13" x14ac:dyDescent="0.15">
      <c r="N136" s="2"/>
    </row>
    <row r="137" spans="14:14" ht="13" x14ac:dyDescent="0.15">
      <c r="N137" s="2"/>
    </row>
    <row r="138" spans="14:14" ht="13" x14ac:dyDescent="0.15">
      <c r="N138" s="2"/>
    </row>
    <row r="139" spans="14:14" ht="13" x14ac:dyDescent="0.15">
      <c r="N139" s="2"/>
    </row>
    <row r="140" spans="14:14" ht="13" x14ac:dyDescent="0.15">
      <c r="N140" s="2"/>
    </row>
    <row r="141" spans="14:14" ht="13" x14ac:dyDescent="0.15">
      <c r="N141" s="2"/>
    </row>
    <row r="142" spans="14:14" ht="13" x14ac:dyDescent="0.15">
      <c r="N142" s="2"/>
    </row>
    <row r="143" spans="14:14" ht="13" x14ac:dyDescent="0.15">
      <c r="N143" s="2"/>
    </row>
    <row r="144" spans="14:14" ht="13" x14ac:dyDescent="0.15">
      <c r="N144" s="2"/>
    </row>
    <row r="145" spans="14:14" ht="13" x14ac:dyDescent="0.15">
      <c r="N145" s="2"/>
    </row>
    <row r="146" spans="14:14" ht="13" x14ac:dyDescent="0.15">
      <c r="N146" s="2"/>
    </row>
    <row r="147" spans="14:14" ht="13" x14ac:dyDescent="0.15">
      <c r="N147" s="2"/>
    </row>
    <row r="148" spans="14:14" ht="13" x14ac:dyDescent="0.15">
      <c r="N148"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DF74-7CB1-B040-BCD9-6E3A6B7F5958}">
  <dimension ref="A1:CM462"/>
  <sheetViews>
    <sheetView tabSelected="1" zoomScale="110" zoomScaleNormal="100" workbookViewId="0">
      <pane xSplit="6" ySplit="1" topLeftCell="G2" activePane="bottomRight" state="frozen"/>
      <selection pane="topRight" activeCell="F1" sqref="F1"/>
      <selection pane="bottomLeft" activeCell="A2" sqref="A2"/>
      <selection pane="bottomRight" activeCell="F6" sqref="F6"/>
    </sheetView>
  </sheetViews>
  <sheetFormatPr baseColWidth="10" defaultRowHeight="13" x14ac:dyDescent="0.15"/>
  <cols>
    <col min="2" max="2" width="12.6640625" customWidth="1"/>
    <col min="6" max="6" width="16" customWidth="1"/>
    <col min="11" max="11" width="12.33203125" customWidth="1"/>
    <col min="12" max="14" width="13.83203125" customWidth="1"/>
    <col min="15" max="15" width="13" customWidth="1"/>
    <col min="33" max="33" width="16" bestFit="1" customWidth="1"/>
    <col min="34" max="34" width="13.33203125" bestFit="1" customWidth="1"/>
    <col min="35" max="35" width="19.6640625" bestFit="1" customWidth="1"/>
    <col min="36" max="36" width="17" bestFit="1" customWidth="1"/>
    <col min="37" max="37" width="16" bestFit="1" customWidth="1"/>
    <col min="38" max="38" width="13.33203125" bestFit="1" customWidth="1"/>
    <col min="81" max="81" width="12.83203125" customWidth="1"/>
  </cols>
  <sheetData>
    <row r="1" spans="1:91" ht="36" x14ac:dyDescent="0.2">
      <c r="A1" s="1" t="s">
        <v>298</v>
      </c>
      <c r="B1" s="1" t="s">
        <v>341</v>
      </c>
      <c r="C1" s="1" t="s">
        <v>299</v>
      </c>
      <c r="D1" s="1" t="s">
        <v>300</v>
      </c>
      <c r="E1" s="52" t="s">
        <v>1050</v>
      </c>
      <c r="F1" s="39" t="s">
        <v>461</v>
      </c>
      <c r="G1" s="1" t="s">
        <v>301</v>
      </c>
      <c r="H1" s="1" t="s">
        <v>304</v>
      </c>
      <c r="I1" s="1" t="s">
        <v>305</v>
      </c>
      <c r="J1" s="1" t="s">
        <v>306</v>
      </c>
      <c r="K1" s="1" t="s">
        <v>307</v>
      </c>
      <c r="L1" s="1" t="s">
        <v>308</v>
      </c>
      <c r="M1" s="1" t="s">
        <v>330</v>
      </c>
      <c r="N1" s="1" t="s">
        <v>333</v>
      </c>
      <c r="O1" s="31" t="s">
        <v>359</v>
      </c>
      <c r="P1" s="31" t="s">
        <v>360</v>
      </c>
      <c r="Q1" s="31" t="s">
        <v>361</v>
      </c>
      <c r="R1" s="31" t="s">
        <v>362</v>
      </c>
      <c r="S1" s="31" t="s">
        <v>363</v>
      </c>
      <c r="T1" s="31" t="s">
        <v>364</v>
      </c>
      <c r="U1" s="31" t="s">
        <v>365</v>
      </c>
      <c r="V1" s="31" t="s">
        <v>366</v>
      </c>
      <c r="W1" s="31" t="s">
        <v>367</v>
      </c>
      <c r="X1" s="31" t="s">
        <v>368</v>
      </c>
      <c r="Y1" s="31" t="s">
        <v>369</v>
      </c>
      <c r="Z1" s="31" t="s">
        <v>370</v>
      </c>
      <c r="AA1" s="31" t="s">
        <v>371</v>
      </c>
      <c r="AB1" s="31" t="s">
        <v>372</v>
      </c>
      <c r="AC1" s="31" t="s">
        <v>373</v>
      </c>
      <c r="AD1" s="31" t="s">
        <v>374</v>
      </c>
      <c r="AE1" s="31" t="s">
        <v>375</v>
      </c>
      <c r="AF1" s="31" t="s">
        <v>376</v>
      </c>
      <c r="AG1" s="31" t="s">
        <v>465</v>
      </c>
      <c r="AH1" s="31" t="s">
        <v>466</v>
      </c>
      <c r="AI1" s="31" t="s">
        <v>467</v>
      </c>
      <c r="AJ1" s="31" t="s">
        <v>468</v>
      </c>
      <c r="AK1" s="31" t="s">
        <v>379</v>
      </c>
      <c r="AL1" s="31" t="s">
        <v>469</v>
      </c>
      <c r="AM1" s="31" t="s">
        <v>462</v>
      </c>
      <c r="AN1" s="31" t="s">
        <v>409</v>
      </c>
      <c r="AO1" s="31" t="s">
        <v>410</v>
      </c>
      <c r="AP1" s="31" t="s">
        <v>411</v>
      </c>
      <c r="AQ1" s="31" t="s">
        <v>412</v>
      </c>
      <c r="AR1" s="31" t="s">
        <v>413</v>
      </c>
      <c r="AS1" s="31" t="s">
        <v>414</v>
      </c>
      <c r="AT1" s="31" t="s">
        <v>415</v>
      </c>
      <c r="AU1" s="31" t="s">
        <v>416</v>
      </c>
      <c r="AV1" s="31" t="s">
        <v>417</v>
      </c>
      <c r="AW1" s="31" t="s">
        <v>418</v>
      </c>
      <c r="AX1" s="32" t="s">
        <v>463</v>
      </c>
      <c r="AY1" s="31" t="s">
        <v>419</v>
      </c>
      <c r="AZ1" s="31" t="s">
        <v>420</v>
      </c>
      <c r="BA1" s="31" t="s">
        <v>421</v>
      </c>
      <c r="BB1" s="31" t="s">
        <v>422</v>
      </c>
      <c r="BC1" s="31" t="s">
        <v>423</v>
      </c>
      <c r="BD1" s="31" t="s">
        <v>424</v>
      </c>
      <c r="BE1" s="31" t="s">
        <v>425</v>
      </c>
      <c r="BF1" s="31" t="s">
        <v>426</v>
      </c>
      <c r="BG1" s="31" t="s">
        <v>427</v>
      </c>
      <c r="BH1" s="31" t="s">
        <v>428</v>
      </c>
      <c r="BI1" s="31" t="s">
        <v>429</v>
      </c>
      <c r="BJ1" s="31" t="s">
        <v>430</v>
      </c>
      <c r="BK1" s="31" t="s">
        <v>431</v>
      </c>
      <c r="BL1" s="31" t="s">
        <v>432</v>
      </c>
      <c r="BM1" s="31" t="s">
        <v>433</v>
      </c>
      <c r="BN1" s="31" t="s">
        <v>434</v>
      </c>
      <c r="BO1" s="31" t="s">
        <v>435</v>
      </c>
      <c r="BP1" s="31" t="s">
        <v>436</v>
      </c>
      <c r="BQ1" s="31" t="s">
        <v>437</v>
      </c>
      <c r="BR1" s="31" t="s">
        <v>438</v>
      </c>
      <c r="BS1" s="32" t="s">
        <v>464</v>
      </c>
      <c r="BT1" s="31" t="s">
        <v>439</v>
      </c>
      <c r="BU1" s="31" t="s">
        <v>440</v>
      </c>
      <c r="BV1" s="31" t="s">
        <v>441</v>
      </c>
      <c r="BW1" s="31" t="s">
        <v>442</v>
      </c>
      <c r="BX1" s="31" t="s">
        <v>443</v>
      </c>
      <c r="BY1" s="31" t="s">
        <v>444</v>
      </c>
      <c r="BZ1" s="31" t="s">
        <v>445</v>
      </c>
      <c r="CA1" s="31" t="s">
        <v>446</v>
      </c>
      <c r="CB1" s="31" t="s">
        <v>447</v>
      </c>
      <c r="CC1" s="31" t="s">
        <v>448</v>
      </c>
      <c r="CD1" s="31" t="s">
        <v>449</v>
      </c>
      <c r="CE1" s="31" t="s">
        <v>450</v>
      </c>
      <c r="CF1" s="31" t="s">
        <v>451</v>
      </c>
      <c r="CG1" s="31"/>
      <c r="CH1" s="31"/>
      <c r="CI1" s="31"/>
      <c r="CJ1" s="31"/>
      <c r="CK1" s="31"/>
      <c r="CL1" s="31"/>
      <c r="CM1" s="31"/>
    </row>
    <row r="2" spans="1:91" ht="16" x14ac:dyDescent="0.2">
      <c r="A2" s="4">
        <v>45792</v>
      </c>
      <c r="B2" s="19">
        <v>25135</v>
      </c>
      <c r="C2" s="5" t="s">
        <v>1</v>
      </c>
      <c r="D2" s="5">
        <v>1</v>
      </c>
      <c r="E2" s="53" t="s">
        <v>1051</v>
      </c>
      <c r="G2" s="5" t="s">
        <v>2</v>
      </c>
      <c r="H2" s="5" t="s">
        <v>3</v>
      </c>
      <c r="I2" s="5">
        <v>1</v>
      </c>
      <c r="J2" s="5">
        <v>38.700000000000003</v>
      </c>
      <c r="K2" s="5">
        <v>9.3000000000000007</v>
      </c>
      <c r="L2" s="5">
        <v>5.15</v>
      </c>
      <c r="M2" s="5"/>
      <c r="N2" s="5"/>
    </row>
    <row r="3" spans="1:91" ht="16" x14ac:dyDescent="0.2">
      <c r="A3" s="4">
        <v>45792</v>
      </c>
      <c r="B3" s="19">
        <v>25135</v>
      </c>
      <c r="C3" s="5" t="s">
        <v>1</v>
      </c>
      <c r="D3" s="5">
        <v>2</v>
      </c>
      <c r="E3" s="53" t="s">
        <v>1052</v>
      </c>
      <c r="G3" s="5" t="s">
        <v>2</v>
      </c>
      <c r="H3" s="5" t="s">
        <v>5</v>
      </c>
      <c r="I3" s="5">
        <v>1</v>
      </c>
      <c r="J3" s="5">
        <v>35.9</v>
      </c>
      <c r="K3" s="5">
        <v>8.35</v>
      </c>
      <c r="L3" s="5">
        <v>5.5</v>
      </c>
      <c r="M3" s="5"/>
      <c r="N3" s="5"/>
    </row>
    <row r="4" spans="1:91" ht="16" x14ac:dyDescent="0.2">
      <c r="A4" s="4">
        <v>45792</v>
      </c>
      <c r="B4" s="19">
        <v>25135</v>
      </c>
      <c r="C4" s="5" t="s">
        <v>1</v>
      </c>
      <c r="D4" s="5">
        <v>3</v>
      </c>
      <c r="E4" s="53" t="s">
        <v>1053</v>
      </c>
      <c r="G4" s="5" t="s">
        <v>2</v>
      </c>
      <c r="H4" s="5" t="s">
        <v>6</v>
      </c>
      <c r="I4" s="5">
        <v>0.25</v>
      </c>
      <c r="J4" s="5">
        <v>22.7</v>
      </c>
      <c r="K4" s="5">
        <v>6.2</v>
      </c>
      <c r="L4" s="5">
        <v>3.5</v>
      </c>
      <c r="M4" s="5"/>
      <c r="N4" s="5"/>
    </row>
    <row r="5" spans="1:91" ht="16" x14ac:dyDescent="0.2">
      <c r="A5" s="4">
        <v>45792</v>
      </c>
      <c r="B5" s="19">
        <v>25135</v>
      </c>
      <c r="C5" s="5" t="s">
        <v>1</v>
      </c>
      <c r="D5" s="5">
        <v>4</v>
      </c>
      <c r="E5" s="53" t="s">
        <v>1054</v>
      </c>
      <c r="G5" s="5" t="s">
        <v>2</v>
      </c>
      <c r="H5" s="5" t="s">
        <v>6</v>
      </c>
      <c r="I5" s="5">
        <v>1</v>
      </c>
      <c r="J5" s="5">
        <v>39.9</v>
      </c>
      <c r="K5" s="5">
        <v>9</v>
      </c>
      <c r="L5" s="5">
        <v>5.3</v>
      </c>
      <c r="M5" s="5"/>
      <c r="N5" s="5"/>
    </row>
    <row r="6" spans="1:91" ht="16" x14ac:dyDescent="0.2">
      <c r="A6" s="4">
        <v>45792</v>
      </c>
      <c r="B6" s="19">
        <v>25135</v>
      </c>
      <c r="C6" s="5" t="s">
        <v>1</v>
      </c>
      <c r="D6" s="5">
        <v>5</v>
      </c>
      <c r="E6" s="53" t="s">
        <v>1055</v>
      </c>
      <c r="G6" s="5" t="s">
        <v>2</v>
      </c>
      <c r="H6" s="5" t="s">
        <v>3</v>
      </c>
      <c r="I6" s="5">
        <v>1.35</v>
      </c>
      <c r="J6" s="5">
        <v>45.85</v>
      </c>
      <c r="K6" s="5">
        <v>10.55</v>
      </c>
      <c r="L6" s="5">
        <v>5.9</v>
      </c>
      <c r="M6" s="5"/>
      <c r="N6" s="5"/>
    </row>
    <row r="7" spans="1:91" ht="16" x14ac:dyDescent="0.2">
      <c r="A7" s="4">
        <v>45792</v>
      </c>
      <c r="B7" s="19">
        <v>25135</v>
      </c>
      <c r="C7" s="5" t="s">
        <v>1</v>
      </c>
      <c r="D7" s="5">
        <v>6</v>
      </c>
      <c r="E7" s="53" t="s">
        <v>1056</v>
      </c>
      <c r="G7" s="5" t="s">
        <v>2</v>
      </c>
      <c r="H7" s="5" t="s">
        <v>3</v>
      </c>
      <c r="I7" s="5">
        <v>1.05</v>
      </c>
      <c r="J7" s="5">
        <v>37.299999999999997</v>
      </c>
      <c r="K7" s="5">
        <v>10.199999999999999</v>
      </c>
      <c r="L7" s="5" t="s">
        <v>8</v>
      </c>
      <c r="M7" s="5"/>
      <c r="N7" s="5"/>
      <c r="R7" s="4"/>
      <c r="S7" s="19"/>
      <c r="T7" s="5"/>
      <c r="U7" s="5"/>
      <c r="V7" s="5"/>
      <c r="W7" s="5"/>
      <c r="X7" s="5"/>
      <c r="Y7" s="5"/>
      <c r="Z7" s="5"/>
      <c r="AA7" s="5"/>
      <c r="AB7" s="5"/>
      <c r="AC7" s="5"/>
    </row>
    <row r="8" spans="1:91" ht="16" x14ac:dyDescent="0.2">
      <c r="A8" s="4">
        <v>45792</v>
      </c>
      <c r="B8" s="19">
        <v>25135</v>
      </c>
      <c r="C8" s="5" t="s">
        <v>1</v>
      </c>
      <c r="D8" s="5">
        <v>7</v>
      </c>
      <c r="E8" s="53" t="s">
        <v>1057</v>
      </c>
      <c r="G8" s="5" t="s">
        <v>2</v>
      </c>
      <c r="H8" s="5" t="s">
        <v>3</v>
      </c>
      <c r="I8" s="5">
        <v>0.75</v>
      </c>
      <c r="J8" s="5">
        <v>38</v>
      </c>
      <c r="K8" s="5">
        <v>9.5</v>
      </c>
      <c r="L8" s="5">
        <v>5.5</v>
      </c>
      <c r="M8" s="5"/>
      <c r="N8" s="5"/>
    </row>
    <row r="9" spans="1:91" ht="16" x14ac:dyDescent="0.2">
      <c r="A9" s="4">
        <v>45792</v>
      </c>
      <c r="B9" s="19">
        <v>25135</v>
      </c>
      <c r="C9" s="5" t="s">
        <v>1</v>
      </c>
      <c r="D9" s="5">
        <v>8</v>
      </c>
      <c r="E9" s="53" t="s">
        <v>1058</v>
      </c>
      <c r="G9" s="5" t="s">
        <v>2</v>
      </c>
      <c r="H9" s="5" t="s">
        <v>3</v>
      </c>
      <c r="I9" s="5">
        <v>0.7</v>
      </c>
      <c r="J9" s="5">
        <v>34.5</v>
      </c>
      <c r="K9" s="5">
        <v>8.5</v>
      </c>
      <c r="L9" s="5">
        <v>4.8</v>
      </c>
      <c r="M9" s="5"/>
      <c r="N9" s="5"/>
    </row>
    <row r="10" spans="1:91" ht="16" x14ac:dyDescent="0.2">
      <c r="A10" s="4">
        <v>45792</v>
      </c>
      <c r="B10" s="19">
        <v>25135</v>
      </c>
      <c r="C10" s="5" t="s">
        <v>1</v>
      </c>
      <c r="D10" s="5">
        <v>9</v>
      </c>
      <c r="E10" s="53" t="s">
        <v>1059</v>
      </c>
      <c r="G10" s="5" t="s">
        <v>12</v>
      </c>
      <c r="H10" s="5" t="s">
        <v>5</v>
      </c>
      <c r="I10" s="5">
        <v>1.4</v>
      </c>
      <c r="J10" s="5">
        <v>41.5</v>
      </c>
      <c r="K10" s="5">
        <v>10.5</v>
      </c>
      <c r="L10" s="5">
        <v>5.7</v>
      </c>
      <c r="M10" s="5"/>
      <c r="N10" s="5"/>
    </row>
    <row r="11" spans="1:91" ht="16" x14ac:dyDescent="0.2">
      <c r="A11" s="4">
        <v>45792</v>
      </c>
      <c r="B11" s="19">
        <v>25135</v>
      </c>
      <c r="C11" s="5" t="s">
        <v>1</v>
      </c>
      <c r="D11" s="5">
        <v>10</v>
      </c>
      <c r="E11" s="53" t="s">
        <v>1060</v>
      </c>
      <c r="G11" s="5" t="s">
        <v>2</v>
      </c>
      <c r="H11" s="5" t="s">
        <v>3</v>
      </c>
      <c r="I11" s="5">
        <v>1.2</v>
      </c>
      <c r="J11" s="5">
        <v>42.5</v>
      </c>
      <c r="K11" s="5">
        <v>10</v>
      </c>
      <c r="L11" s="5">
        <v>4.75</v>
      </c>
      <c r="M11" s="5"/>
      <c r="N11" s="5"/>
    </row>
    <row r="12" spans="1:91" ht="16" x14ac:dyDescent="0.2">
      <c r="A12" s="4">
        <v>45792</v>
      </c>
      <c r="B12" s="19">
        <v>25135</v>
      </c>
      <c r="C12" s="5" t="s">
        <v>1</v>
      </c>
      <c r="D12" s="5">
        <v>11</v>
      </c>
      <c r="E12" s="53" t="s">
        <v>1061</v>
      </c>
      <c r="G12" s="5" t="s">
        <v>2</v>
      </c>
      <c r="H12" s="5" t="s">
        <v>5</v>
      </c>
      <c r="I12" s="5">
        <v>1.2</v>
      </c>
      <c r="J12" s="5">
        <v>42.3</v>
      </c>
      <c r="K12" s="5">
        <v>10.199999999999999</v>
      </c>
      <c r="L12" s="5">
        <v>5.3</v>
      </c>
      <c r="M12" s="5"/>
      <c r="N12" s="5"/>
    </row>
    <row r="13" spans="1:91" ht="16" x14ac:dyDescent="0.2">
      <c r="A13" s="4">
        <v>45792</v>
      </c>
      <c r="B13" s="19">
        <v>25135</v>
      </c>
      <c r="C13" s="5" t="s">
        <v>1</v>
      </c>
      <c r="D13" s="5">
        <v>12</v>
      </c>
      <c r="E13" s="53" t="s">
        <v>1062</v>
      </c>
      <c r="G13" s="5" t="s">
        <v>2</v>
      </c>
      <c r="H13" s="5" t="s">
        <v>5</v>
      </c>
      <c r="I13" s="5">
        <v>1.5</v>
      </c>
      <c r="J13" s="5">
        <v>45</v>
      </c>
      <c r="K13" s="5">
        <v>10.4</v>
      </c>
      <c r="L13" s="5">
        <v>5.4</v>
      </c>
      <c r="M13" s="5"/>
      <c r="N13" s="5"/>
    </row>
    <row r="14" spans="1:91" ht="16" x14ac:dyDescent="0.2">
      <c r="A14" s="4">
        <v>45792</v>
      </c>
      <c r="B14" s="19">
        <v>25135</v>
      </c>
      <c r="C14" s="5" t="s">
        <v>1</v>
      </c>
      <c r="D14" s="5">
        <v>13</v>
      </c>
      <c r="E14" s="53" t="s">
        <v>1063</v>
      </c>
      <c r="G14" s="5" t="s">
        <v>2</v>
      </c>
      <c r="H14" s="5" t="s">
        <v>5</v>
      </c>
      <c r="I14" s="5">
        <v>0.7</v>
      </c>
      <c r="J14" s="5">
        <v>33.799999999999997</v>
      </c>
      <c r="K14" s="5">
        <v>8.5</v>
      </c>
      <c r="L14" s="5">
        <v>4.8499999999999996</v>
      </c>
      <c r="M14" s="5"/>
      <c r="N14" s="5"/>
    </row>
    <row r="15" spans="1:91" ht="16" x14ac:dyDescent="0.2">
      <c r="A15" s="4">
        <v>45792</v>
      </c>
      <c r="B15" s="19">
        <v>25135</v>
      </c>
      <c r="C15" s="5" t="s">
        <v>1</v>
      </c>
      <c r="D15" s="5">
        <v>14</v>
      </c>
      <c r="E15" s="53" t="s">
        <v>1064</v>
      </c>
      <c r="G15" s="5" t="s">
        <v>2</v>
      </c>
      <c r="H15" s="5" t="s">
        <v>5</v>
      </c>
      <c r="I15" s="5">
        <v>0.95</v>
      </c>
      <c r="J15" s="5">
        <v>39</v>
      </c>
      <c r="K15" s="5">
        <v>9</v>
      </c>
      <c r="L15" s="5">
        <v>5.0999999999999996</v>
      </c>
      <c r="M15" s="5"/>
      <c r="N15" s="5"/>
    </row>
    <row r="16" spans="1:91" ht="16" x14ac:dyDescent="0.2">
      <c r="A16" s="4">
        <v>45793</v>
      </c>
      <c r="B16" s="19">
        <v>25136</v>
      </c>
      <c r="C16" s="5" t="s">
        <v>13</v>
      </c>
      <c r="D16" s="5">
        <v>1</v>
      </c>
      <c r="E16" s="53" t="s">
        <v>1065</v>
      </c>
      <c r="G16" s="5" t="s">
        <v>2</v>
      </c>
      <c r="H16" s="5" t="s">
        <v>5</v>
      </c>
      <c r="I16" s="5">
        <v>1.45</v>
      </c>
      <c r="J16" s="5">
        <v>43.5</v>
      </c>
      <c r="K16" s="5">
        <v>10.75</v>
      </c>
      <c r="L16" s="5">
        <v>5.4</v>
      </c>
      <c r="M16" s="5"/>
      <c r="N16" s="5"/>
    </row>
    <row r="17" spans="1:84" ht="16" x14ac:dyDescent="0.2">
      <c r="A17" s="4">
        <v>45793</v>
      </c>
      <c r="B17" s="19">
        <v>25136</v>
      </c>
      <c r="C17" s="5" t="s">
        <v>13</v>
      </c>
      <c r="D17" s="5">
        <v>2</v>
      </c>
      <c r="E17" s="53" t="s">
        <v>1066</v>
      </c>
      <c r="G17" s="5" t="s">
        <v>2</v>
      </c>
      <c r="H17" s="5" t="s">
        <v>5</v>
      </c>
      <c r="I17" s="5">
        <v>0.9</v>
      </c>
      <c r="J17" s="5">
        <v>35.700000000000003</v>
      </c>
      <c r="K17" s="5">
        <v>8.1</v>
      </c>
      <c r="L17" s="5">
        <v>4.9000000000000004</v>
      </c>
      <c r="M17" s="5"/>
      <c r="N17" s="5"/>
    </row>
    <row r="18" spans="1:84" ht="16" x14ac:dyDescent="0.2">
      <c r="A18" s="4">
        <v>45796</v>
      </c>
      <c r="B18" s="19">
        <v>25139</v>
      </c>
      <c r="C18" s="5" t="s">
        <v>40</v>
      </c>
      <c r="D18" s="5">
        <v>1</v>
      </c>
      <c r="E18" s="53" t="s">
        <v>1067</v>
      </c>
      <c r="F18" s="37">
        <v>7.4</v>
      </c>
      <c r="G18" s="5" t="s">
        <v>2</v>
      </c>
      <c r="H18" s="5" t="s">
        <v>5</v>
      </c>
      <c r="I18" s="5">
        <v>1.35</v>
      </c>
      <c r="J18" s="5">
        <v>42.25</v>
      </c>
      <c r="K18" s="5">
        <v>9.5</v>
      </c>
      <c r="L18" s="5">
        <v>5.65</v>
      </c>
      <c r="M18" s="5"/>
      <c r="N18" s="15">
        <v>41.034777777800002</v>
      </c>
      <c r="O18" s="9" t="s">
        <v>817</v>
      </c>
      <c r="P18" s="6">
        <v>4.9665730999999998E-2</v>
      </c>
      <c r="Q18" s="6">
        <v>8.8181019999999995E-3</v>
      </c>
      <c r="R18" s="6">
        <v>1374</v>
      </c>
      <c r="S18" s="6">
        <v>9.2076699999999996E-4</v>
      </c>
      <c r="T18" s="6">
        <v>5.6568542449999999</v>
      </c>
      <c r="U18" s="6">
        <v>9.9731528E-2</v>
      </c>
      <c r="V18" s="6">
        <v>9.2324569999999995E-3</v>
      </c>
      <c r="W18" s="6">
        <v>5.1291399999999995E-4</v>
      </c>
      <c r="X18" s="6">
        <v>3.1546800000000001E-4</v>
      </c>
      <c r="Y18" s="6">
        <v>6.6886212E-2</v>
      </c>
      <c r="Z18" s="6">
        <v>1.2530250999999999E-2</v>
      </c>
      <c r="AA18" s="6">
        <v>4.7345229000000003E-2</v>
      </c>
      <c r="AB18" s="6">
        <v>7.8435439999999992E-3</v>
      </c>
      <c r="AC18" s="6">
        <v>3.6792694000000001E-2</v>
      </c>
      <c r="AD18" s="6">
        <v>6.7079150000000001E-3</v>
      </c>
      <c r="AE18" s="6">
        <v>4.9665730999999998E-2</v>
      </c>
      <c r="AF18" s="6">
        <v>8.8181019999999995E-3</v>
      </c>
      <c r="AG18" s="6">
        <v>4.8293872389999999</v>
      </c>
      <c r="AH18" s="6">
        <v>0.51977484399999996</v>
      </c>
      <c r="AI18" s="6">
        <v>-6.931163314</v>
      </c>
      <c r="AJ18" s="6">
        <v>0.82200356399999996</v>
      </c>
      <c r="AK18" s="6">
        <v>8.4572687670000004</v>
      </c>
      <c r="AL18" s="6">
        <v>0.88563486199999997</v>
      </c>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row>
    <row r="19" spans="1:84" ht="16" x14ac:dyDescent="0.2">
      <c r="A19" s="4">
        <v>45796</v>
      </c>
      <c r="B19" s="19">
        <v>25139</v>
      </c>
      <c r="C19" s="5" t="s">
        <v>40</v>
      </c>
      <c r="D19" s="5">
        <v>2</v>
      </c>
      <c r="E19" s="53" t="s">
        <v>1068</v>
      </c>
      <c r="F19" s="37">
        <v>-24</v>
      </c>
      <c r="G19" s="5" t="s">
        <v>2</v>
      </c>
      <c r="H19" s="5" t="s">
        <v>5</v>
      </c>
      <c r="I19" s="5">
        <v>0.95</v>
      </c>
      <c r="J19" s="5">
        <v>41</v>
      </c>
      <c r="K19" s="5">
        <v>10</v>
      </c>
      <c r="L19" s="5">
        <v>5.85</v>
      </c>
      <c r="M19" s="5"/>
      <c r="N19" s="15">
        <v>41.034777777800002</v>
      </c>
      <c r="O19" t="s">
        <v>818</v>
      </c>
      <c r="P19" s="6">
        <v>5.6197951000000003E-2</v>
      </c>
      <c r="Q19" s="6">
        <v>9.8844640000000008E-3</v>
      </c>
      <c r="R19" s="6">
        <v>1118</v>
      </c>
      <c r="S19" s="6">
        <v>1.0441599999999999E-3</v>
      </c>
      <c r="T19" s="6">
        <v>2.8284271240000001</v>
      </c>
      <c r="U19" s="6">
        <v>0.11911821</v>
      </c>
      <c r="V19" s="6">
        <v>8.7657489999999998E-3</v>
      </c>
      <c r="W19" s="6">
        <v>4.8698600000000002E-4</v>
      </c>
      <c r="X19" s="6">
        <v>3.5140600000000002E-4</v>
      </c>
      <c r="Y19" s="6">
        <v>8.1112498000000005E-2</v>
      </c>
      <c r="Z19" s="6">
        <v>1.3808868E-2</v>
      </c>
      <c r="AA19" s="6">
        <v>5.1638422000000003E-2</v>
      </c>
      <c r="AB19" s="6">
        <v>9.3612069999999999E-3</v>
      </c>
      <c r="AC19" s="6">
        <v>3.6462702E-2</v>
      </c>
      <c r="AD19" s="6">
        <v>6.9628650000000004E-3</v>
      </c>
      <c r="AE19" s="6">
        <v>5.6197951000000003E-2</v>
      </c>
      <c r="AF19" s="6">
        <v>9.8844640000000008E-3</v>
      </c>
      <c r="AG19" s="6">
        <v>6.4417353979999996</v>
      </c>
      <c r="AH19" s="6">
        <v>0.60240876300000001</v>
      </c>
      <c r="AI19" s="6">
        <v>-9.4544603130000002</v>
      </c>
      <c r="AJ19" s="6">
        <v>0.789105167</v>
      </c>
      <c r="AK19" s="6">
        <v>11.442487749</v>
      </c>
      <c r="AL19" s="6">
        <v>0.96839523999999999</v>
      </c>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row>
    <row r="20" spans="1:84" ht="16" x14ac:dyDescent="0.2">
      <c r="A20" s="4">
        <v>45796</v>
      </c>
      <c r="B20" s="19">
        <v>25139</v>
      </c>
      <c r="C20" s="5" t="s">
        <v>40</v>
      </c>
      <c r="D20" s="5">
        <v>3</v>
      </c>
      <c r="E20" s="53" t="s">
        <v>1069</v>
      </c>
      <c r="F20" s="37">
        <v>-7.1</v>
      </c>
      <c r="G20" s="5" t="s">
        <v>2</v>
      </c>
      <c r="H20" s="5" t="s">
        <v>5</v>
      </c>
      <c r="I20" s="5">
        <v>0.9</v>
      </c>
      <c r="J20" s="5">
        <v>37.9</v>
      </c>
      <c r="K20" s="5">
        <v>9.1999999999999993</v>
      </c>
      <c r="L20" s="5">
        <v>5.35</v>
      </c>
      <c r="M20" s="5"/>
      <c r="N20" s="15">
        <v>41.034777777800002</v>
      </c>
      <c r="O20" t="s">
        <v>819</v>
      </c>
      <c r="P20" s="6">
        <v>5.7240918000000002E-2</v>
      </c>
      <c r="Q20" s="6">
        <v>1.4227322000000001E-2</v>
      </c>
      <c r="R20" s="6">
        <v>940</v>
      </c>
      <c r="S20" s="6">
        <v>1.348321E-3</v>
      </c>
      <c r="T20" s="6">
        <v>5.6568542449999999</v>
      </c>
      <c r="U20" s="6">
        <v>9.7322221E-2</v>
      </c>
      <c r="V20" s="6">
        <v>1.3854192E-2</v>
      </c>
      <c r="W20" s="6">
        <v>7.6967699999999997E-4</v>
      </c>
      <c r="X20" s="6">
        <v>5.20822E-4</v>
      </c>
      <c r="Y20" s="6">
        <v>7.7117326999999999E-2</v>
      </c>
      <c r="Z20" s="6">
        <v>1.8734124000000001E-2</v>
      </c>
      <c r="AA20" s="6">
        <v>5.3623648000000003E-2</v>
      </c>
      <c r="AB20" s="6">
        <v>1.3363028000000001E-2</v>
      </c>
      <c r="AC20" s="6">
        <v>4.3258610000000003E-2</v>
      </c>
      <c r="AD20" s="6">
        <v>1.1392483E-2</v>
      </c>
      <c r="AE20" s="6">
        <v>5.7240918000000002E-2</v>
      </c>
      <c r="AF20" s="6">
        <v>1.4227322000000001E-2</v>
      </c>
      <c r="AG20" s="6">
        <v>5.1687401089999998</v>
      </c>
      <c r="AH20" s="6">
        <v>0.38645804099999997</v>
      </c>
      <c r="AI20" s="6">
        <v>-6.5293308110000003</v>
      </c>
      <c r="AJ20" s="6">
        <v>0.68710373199999997</v>
      </c>
      <c r="AK20" s="6">
        <v>8.3319825210000005</v>
      </c>
      <c r="AL20" s="6">
        <v>0.73992234199999996</v>
      </c>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row>
    <row r="21" spans="1:84" ht="16" x14ac:dyDescent="0.2">
      <c r="A21" s="4">
        <v>45796</v>
      </c>
      <c r="B21" s="19">
        <v>25139</v>
      </c>
      <c r="C21" s="5" t="s">
        <v>40</v>
      </c>
      <c r="D21" s="25">
        <v>4</v>
      </c>
      <c r="E21" s="53" t="s">
        <v>1070</v>
      </c>
      <c r="F21" s="37">
        <v>28.6</v>
      </c>
      <c r="G21" s="5" t="s">
        <v>2</v>
      </c>
      <c r="H21" s="5" t="s">
        <v>3</v>
      </c>
      <c r="I21" s="5">
        <v>1.1499999999999999</v>
      </c>
      <c r="J21" s="5">
        <v>42.1</v>
      </c>
      <c r="K21" s="5">
        <v>8.9</v>
      </c>
      <c r="L21" s="5">
        <v>5.2</v>
      </c>
      <c r="M21" s="5"/>
      <c r="N21" s="15">
        <v>41.034777777800002</v>
      </c>
      <c r="O21" t="s">
        <v>470</v>
      </c>
      <c r="P21" s="6">
        <v>7.5804561000000006E-2</v>
      </c>
      <c r="Q21" s="6">
        <v>1.2544664000000001E-2</v>
      </c>
      <c r="R21" s="6">
        <v>886</v>
      </c>
      <c r="S21" s="6">
        <v>1.5062719999999999E-3</v>
      </c>
      <c r="T21" s="6">
        <v>5.6568542449999999</v>
      </c>
      <c r="U21" s="6">
        <v>0.125613051</v>
      </c>
      <c r="V21" s="6">
        <v>1.1991365E-2</v>
      </c>
      <c r="W21" s="6">
        <v>6.6618700000000005E-4</v>
      </c>
      <c r="X21" s="6">
        <v>5.9101599999999998E-4</v>
      </c>
      <c r="Y21" s="6">
        <v>0.106082072</v>
      </c>
      <c r="Z21" s="6">
        <v>1.9563161999999999E-2</v>
      </c>
      <c r="AA21" s="6">
        <v>6.8730059999999996E-2</v>
      </c>
      <c r="AB21" s="6">
        <v>1.1173569E-2</v>
      </c>
      <c r="AC21" s="6">
        <v>5.5344236999999998E-2</v>
      </c>
      <c r="AD21" s="6">
        <v>9.5695069999999997E-3</v>
      </c>
      <c r="AE21" s="6">
        <v>7.5804561000000006E-2</v>
      </c>
      <c r="AF21" s="6">
        <v>1.2544664000000001E-2</v>
      </c>
      <c r="AG21" s="6">
        <v>6.0654765270000004</v>
      </c>
      <c r="AH21" s="6">
        <v>1.046231296</v>
      </c>
      <c r="AI21" s="6">
        <v>-7.0418930059999996</v>
      </c>
      <c r="AJ21" s="6">
        <v>1.966431219</v>
      </c>
      <c r="AK21" s="6">
        <v>9.3144819160000001</v>
      </c>
      <c r="AL21" s="6">
        <v>2.1400256820000001</v>
      </c>
      <c r="AM21" s="6" t="s">
        <v>472</v>
      </c>
      <c r="AN21" s="6">
        <v>2.5398611440000001</v>
      </c>
      <c r="AO21" s="6">
        <v>0.84662038100000003</v>
      </c>
      <c r="AP21" s="6">
        <v>1.9756097560000001</v>
      </c>
      <c r="AQ21" s="6">
        <v>0.65853658500000001</v>
      </c>
      <c r="AR21" s="6">
        <v>1.013856085</v>
      </c>
      <c r="AS21" s="6">
        <v>0.92285157900000003</v>
      </c>
      <c r="AT21" s="6">
        <v>0.68696157700000005</v>
      </c>
      <c r="AU21" s="6">
        <v>0.99107606000000004</v>
      </c>
      <c r="AV21" s="6">
        <v>0.75257848299999996</v>
      </c>
      <c r="AW21" s="6">
        <v>0.95696381900000005</v>
      </c>
      <c r="AX21" s="6">
        <v>1.4354067E-2</v>
      </c>
      <c r="AY21" s="6">
        <v>68.666666667000001</v>
      </c>
      <c r="AZ21" s="6">
        <v>88.2</v>
      </c>
      <c r="BA21" s="6">
        <v>57.176470588000001</v>
      </c>
      <c r="BB21" s="6">
        <v>0.60670065500000003</v>
      </c>
      <c r="BC21" s="6">
        <v>0</v>
      </c>
      <c r="BD21" s="6">
        <v>0</v>
      </c>
      <c r="BE21" s="6" t="s">
        <v>453</v>
      </c>
      <c r="BF21" s="6">
        <v>0.231292517</v>
      </c>
      <c r="BG21" s="6">
        <v>0.51642466300000001</v>
      </c>
      <c r="BH21" s="6">
        <v>2.2327772210000001</v>
      </c>
      <c r="BI21" s="6" t="s">
        <v>453</v>
      </c>
      <c r="BJ21" s="6" t="s">
        <v>453</v>
      </c>
      <c r="BK21" s="6" t="s">
        <v>453</v>
      </c>
      <c r="BL21" s="6" t="s">
        <v>453</v>
      </c>
      <c r="BM21" s="6" t="s">
        <v>453</v>
      </c>
      <c r="BN21" s="6" t="s">
        <v>453</v>
      </c>
      <c r="BO21" s="6">
        <v>0</v>
      </c>
      <c r="BP21" s="6">
        <v>0</v>
      </c>
      <c r="BQ21" s="6" t="s">
        <v>453</v>
      </c>
      <c r="BR21" s="6" t="s">
        <v>453</v>
      </c>
      <c r="BS21" s="6" t="s">
        <v>453</v>
      </c>
      <c r="BT21" s="6" t="s">
        <v>453</v>
      </c>
      <c r="BU21" s="6">
        <v>1</v>
      </c>
      <c r="BV21" s="6" t="s">
        <v>453</v>
      </c>
      <c r="BW21" s="6" t="s">
        <v>453</v>
      </c>
      <c r="BX21" s="6" t="s">
        <v>453</v>
      </c>
      <c r="BY21" s="6" t="s">
        <v>453</v>
      </c>
      <c r="BZ21" s="6" t="s">
        <v>453</v>
      </c>
      <c r="CA21" s="6" t="s">
        <v>453</v>
      </c>
      <c r="CB21" s="6" t="s">
        <v>453</v>
      </c>
      <c r="CC21" s="6" t="s">
        <v>453</v>
      </c>
      <c r="CD21" s="6">
        <v>0</v>
      </c>
      <c r="CE21" s="6">
        <v>0</v>
      </c>
      <c r="CF21" s="6" t="s">
        <v>453</v>
      </c>
    </row>
    <row r="22" spans="1:84" ht="16" x14ac:dyDescent="0.2">
      <c r="A22" s="4">
        <v>45796</v>
      </c>
      <c r="B22" s="19">
        <v>25139</v>
      </c>
      <c r="C22" s="5" t="s">
        <v>40</v>
      </c>
      <c r="D22" s="5">
        <v>5</v>
      </c>
      <c r="E22" s="53" t="s">
        <v>1071</v>
      </c>
      <c r="F22" s="37">
        <v>31.3</v>
      </c>
      <c r="G22" s="5" t="s">
        <v>2</v>
      </c>
      <c r="H22" s="5" t="s">
        <v>3</v>
      </c>
      <c r="I22" s="5">
        <v>0.75</v>
      </c>
      <c r="J22" s="5">
        <v>33.049999999999997</v>
      </c>
      <c r="K22" s="5">
        <v>8.6999999999999993</v>
      </c>
      <c r="L22" s="5">
        <v>5</v>
      </c>
      <c r="M22" s="5"/>
      <c r="N22" s="15">
        <v>41.034777777800002</v>
      </c>
      <c r="O22" t="s">
        <v>820</v>
      </c>
      <c r="P22" s="6">
        <v>6.5056760000000005E-2</v>
      </c>
      <c r="Q22" s="6">
        <v>1.5567769E-2</v>
      </c>
      <c r="R22" s="6">
        <v>806</v>
      </c>
      <c r="S22" s="6">
        <v>1.9067369999999999E-3</v>
      </c>
      <c r="T22" s="6">
        <v>90.509667729</v>
      </c>
      <c r="U22" s="6">
        <v>0.116530568</v>
      </c>
      <c r="V22" s="6">
        <v>1.6362544E-2</v>
      </c>
      <c r="W22" s="6">
        <v>9.0903000000000002E-4</v>
      </c>
      <c r="X22" s="6">
        <v>6.1996100000000004E-4</v>
      </c>
      <c r="Y22" s="6">
        <v>9.6151737000000001E-2</v>
      </c>
      <c r="Z22" s="6">
        <v>2.5242516E-2</v>
      </c>
      <c r="AA22" s="6">
        <v>5.8426697999999999E-2</v>
      </c>
      <c r="AB22" s="6">
        <v>1.2955248000000001E-2</v>
      </c>
      <c r="AC22" s="6">
        <v>4.1313058999999999E-2</v>
      </c>
      <c r="AD22" s="6">
        <v>9.5356390000000003E-3</v>
      </c>
      <c r="AE22" s="6">
        <v>6.5056760000000005E-2</v>
      </c>
      <c r="AF22" s="6">
        <v>1.5567769E-2</v>
      </c>
      <c r="AG22" s="6">
        <v>6.9149066689999996</v>
      </c>
      <c r="AH22" s="6">
        <v>0.85571528900000005</v>
      </c>
      <c r="AI22" s="6">
        <v>-9.6994380759999999</v>
      </c>
      <c r="AJ22" s="6">
        <v>0.58163141600000001</v>
      </c>
      <c r="AK22" s="6">
        <v>11.921293272</v>
      </c>
      <c r="AL22" s="6">
        <v>0.92090578199999995</v>
      </c>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row>
    <row r="23" spans="1:84" ht="16" x14ac:dyDescent="0.2">
      <c r="A23" s="4">
        <v>45796</v>
      </c>
      <c r="B23" s="19">
        <v>25139</v>
      </c>
      <c r="C23" s="5" t="s">
        <v>40</v>
      </c>
      <c r="D23" s="26">
        <v>6</v>
      </c>
      <c r="E23" s="53" t="s">
        <v>1072</v>
      </c>
      <c r="F23" s="37"/>
      <c r="G23" s="37" t="s">
        <v>2</v>
      </c>
      <c r="H23" s="5" t="s">
        <v>5</v>
      </c>
      <c r="I23" s="5">
        <v>1.1000000000000001</v>
      </c>
      <c r="J23" s="5">
        <v>40</v>
      </c>
      <c r="K23" s="5">
        <v>10.75</v>
      </c>
      <c r="L23" s="5">
        <v>5.7</v>
      </c>
      <c r="M23" s="5"/>
      <c r="N23" s="15"/>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row>
    <row r="24" spans="1:84" ht="16" x14ac:dyDescent="0.2">
      <c r="A24" s="4">
        <v>45796</v>
      </c>
      <c r="B24" s="19">
        <v>25139</v>
      </c>
      <c r="C24" s="5" t="s">
        <v>40</v>
      </c>
      <c r="D24" s="26">
        <v>7</v>
      </c>
      <c r="E24" s="53" t="s">
        <v>1073</v>
      </c>
      <c r="F24" s="37"/>
      <c r="G24" s="37" t="s">
        <v>2</v>
      </c>
      <c r="H24" s="5" t="s">
        <v>3</v>
      </c>
      <c r="I24" s="5">
        <v>1.35</v>
      </c>
      <c r="J24" s="5">
        <v>42.3</v>
      </c>
      <c r="K24" s="5">
        <v>9.3000000000000007</v>
      </c>
      <c r="L24" s="5">
        <v>5.4</v>
      </c>
      <c r="M24" s="5"/>
      <c r="N24" s="15"/>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row>
    <row r="25" spans="1:84" ht="16" x14ac:dyDescent="0.2">
      <c r="A25" s="4">
        <v>45796</v>
      </c>
      <c r="B25" s="19">
        <v>25139</v>
      </c>
      <c r="C25" s="5" t="s">
        <v>40</v>
      </c>
      <c r="D25" s="5">
        <v>8</v>
      </c>
      <c r="E25" s="53" t="s">
        <v>1074</v>
      </c>
      <c r="F25" s="37">
        <v>-28</v>
      </c>
      <c r="G25" s="5" t="s">
        <v>2</v>
      </c>
      <c r="H25" s="5" t="s">
        <v>5</v>
      </c>
      <c r="I25" s="5">
        <v>1.2</v>
      </c>
      <c r="J25" s="5">
        <v>42.85</v>
      </c>
      <c r="K25" s="5">
        <v>9.75</v>
      </c>
      <c r="L25" s="5">
        <v>5.05</v>
      </c>
      <c r="M25" s="5"/>
      <c r="N25" s="15">
        <v>41.034777777800002</v>
      </c>
      <c r="O25" t="s">
        <v>471</v>
      </c>
      <c r="P25" s="6">
        <v>6.3081936000000005E-2</v>
      </c>
      <c r="Q25" s="6">
        <v>1.7170398999999999E-2</v>
      </c>
      <c r="R25" s="6">
        <v>916</v>
      </c>
      <c r="S25" s="6">
        <v>1.809869E-3</v>
      </c>
      <c r="T25" s="6">
        <v>3.9999999979999998</v>
      </c>
      <c r="U25" s="6">
        <v>0.12272327500000001</v>
      </c>
      <c r="V25" s="6">
        <v>1.4747565000000001E-2</v>
      </c>
      <c r="W25" s="6">
        <v>8.1930900000000005E-4</v>
      </c>
      <c r="X25" s="6">
        <v>6.5328700000000001E-4</v>
      </c>
      <c r="Y25" s="6">
        <v>8.7053949000000005E-2</v>
      </c>
      <c r="Z25" s="6">
        <v>2.4161444000000001E-2</v>
      </c>
      <c r="AA25" s="6">
        <v>5.9974235000000001E-2</v>
      </c>
      <c r="AB25" s="6">
        <v>1.6123502000000001E-2</v>
      </c>
      <c r="AC25" s="6">
        <v>3.9457390000000002E-2</v>
      </c>
      <c r="AD25" s="6">
        <v>1.062538E-2</v>
      </c>
      <c r="AE25" s="6">
        <v>6.3081936000000005E-2</v>
      </c>
      <c r="AF25" s="6">
        <v>1.7170398999999999E-2</v>
      </c>
      <c r="AG25" s="6">
        <v>5.2376864579999998</v>
      </c>
      <c r="AH25" s="6">
        <v>0.35884940300000001</v>
      </c>
      <c r="AI25" s="6">
        <v>-9.8921774090000003</v>
      </c>
      <c r="AJ25" s="6">
        <v>0.53329096099999995</v>
      </c>
      <c r="AK25" s="6">
        <v>11.195594514</v>
      </c>
      <c r="AL25" s="6">
        <v>0.60025946799999996</v>
      </c>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row>
    <row r="26" spans="1:84" ht="16" x14ac:dyDescent="0.2">
      <c r="A26" s="4">
        <v>45797</v>
      </c>
      <c r="B26" s="19">
        <v>25140</v>
      </c>
      <c r="C26" s="5" t="s">
        <v>42</v>
      </c>
      <c r="D26" s="5">
        <v>1</v>
      </c>
      <c r="E26" s="53" t="s">
        <v>1075</v>
      </c>
      <c r="F26" s="37">
        <v>-1.2</v>
      </c>
      <c r="G26" s="5" t="s">
        <v>2</v>
      </c>
      <c r="H26" s="5" t="s">
        <v>6</v>
      </c>
      <c r="I26" s="5">
        <v>0.55000000000000004</v>
      </c>
      <c r="J26" s="5">
        <v>36.700000000000003</v>
      </c>
      <c r="K26" s="5">
        <v>9</v>
      </c>
      <c r="L26" s="5">
        <v>5.0999999999999996</v>
      </c>
      <c r="M26" s="5"/>
      <c r="N26" s="15">
        <v>41.323402777799998</v>
      </c>
      <c r="O26" s="9" t="s">
        <v>473</v>
      </c>
      <c r="P26" s="6">
        <v>6.4524495000000001E-2</v>
      </c>
      <c r="Q26" s="6">
        <v>8.2438770000000001E-3</v>
      </c>
      <c r="R26" s="6">
        <v>992</v>
      </c>
      <c r="S26" s="6">
        <v>9.6335400000000003E-4</v>
      </c>
      <c r="T26" s="6">
        <v>5.6568542449999999</v>
      </c>
      <c r="U26" s="6">
        <v>0.119016304</v>
      </c>
      <c r="V26" s="6">
        <v>8.0943049999999996E-3</v>
      </c>
      <c r="W26" s="6">
        <v>4.49684E-4</v>
      </c>
      <c r="X26" s="6">
        <v>3.3655799999999999E-4</v>
      </c>
      <c r="Y26" s="6">
        <v>9.1292824999999994E-2</v>
      </c>
      <c r="Z26" s="6">
        <v>1.1738533000000001E-2</v>
      </c>
      <c r="AA26" s="6">
        <v>5.8121089000000001E-2</v>
      </c>
      <c r="AB26" s="6">
        <v>7.4828869999999997E-3</v>
      </c>
      <c r="AC26" s="6">
        <v>4.8464820999999998E-2</v>
      </c>
      <c r="AD26" s="6">
        <v>8.7418630000000008E-3</v>
      </c>
      <c r="AE26" s="6">
        <v>6.4524495000000001E-2</v>
      </c>
      <c r="AF26" s="6">
        <v>8.2438770000000001E-3</v>
      </c>
      <c r="AG26" s="6">
        <v>6.3911861969999997</v>
      </c>
      <c r="AH26" s="6">
        <v>1.0329202369999999</v>
      </c>
      <c r="AI26" s="6">
        <v>-6.810100705</v>
      </c>
      <c r="AJ26" s="6">
        <v>1.6101416369999999</v>
      </c>
      <c r="AK26" s="6">
        <v>9.3686682989999994</v>
      </c>
      <c r="AL26" s="6">
        <v>1.764005389</v>
      </c>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row>
    <row r="27" spans="1:84" ht="16" x14ac:dyDescent="0.2">
      <c r="A27" s="4">
        <v>45797</v>
      </c>
      <c r="B27" s="19">
        <v>25140</v>
      </c>
      <c r="C27" s="5" t="s">
        <v>42</v>
      </c>
      <c r="D27" s="26">
        <v>2</v>
      </c>
      <c r="E27" s="53" t="s">
        <v>1076</v>
      </c>
      <c r="F27" s="37"/>
      <c r="G27" s="37" t="s">
        <v>2</v>
      </c>
      <c r="H27" s="5" t="s">
        <v>6</v>
      </c>
      <c r="I27" s="5">
        <v>0.6</v>
      </c>
      <c r="J27" s="5">
        <v>36.700000000000003</v>
      </c>
      <c r="K27" s="5">
        <v>9.0500000000000007</v>
      </c>
      <c r="L27" s="5">
        <v>4.9000000000000004</v>
      </c>
      <c r="M27" s="5"/>
      <c r="N27" s="15"/>
      <c r="O27" s="9"/>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row>
    <row r="28" spans="1:84" ht="16" x14ac:dyDescent="0.2">
      <c r="A28" s="4">
        <v>45797</v>
      </c>
      <c r="B28" s="19">
        <v>25140</v>
      </c>
      <c r="C28" s="5" t="s">
        <v>42</v>
      </c>
      <c r="D28" s="25">
        <v>3</v>
      </c>
      <c r="E28" s="53" t="s">
        <v>1077</v>
      </c>
      <c r="F28" s="37">
        <v>30</v>
      </c>
      <c r="G28" s="5" t="s">
        <v>2</v>
      </c>
      <c r="H28" s="5" t="s">
        <v>6</v>
      </c>
      <c r="I28" s="5">
        <v>0.7</v>
      </c>
      <c r="J28" s="5">
        <v>38.200000000000003</v>
      </c>
      <c r="K28" s="5">
        <v>9.8000000000000007</v>
      </c>
      <c r="L28" s="5">
        <v>5.45</v>
      </c>
      <c r="M28" s="5"/>
      <c r="N28" s="15">
        <v>41.323402777799998</v>
      </c>
      <c r="O28" t="s">
        <v>474</v>
      </c>
      <c r="P28" s="6">
        <v>5.0132839999999998E-2</v>
      </c>
      <c r="Q28" s="6">
        <v>1.064389E-2</v>
      </c>
      <c r="R28" s="6">
        <v>630</v>
      </c>
      <c r="S28" s="6">
        <v>1.1870299999999999E-3</v>
      </c>
      <c r="T28" s="6">
        <v>3.9999999979999998</v>
      </c>
      <c r="U28" s="6">
        <v>0.11258320099999999</v>
      </c>
      <c r="V28" s="6">
        <v>1.0543576000000001E-2</v>
      </c>
      <c r="W28" s="6">
        <v>5.8575399999999996E-4</v>
      </c>
      <c r="X28" s="6">
        <v>4.5555500000000001E-4</v>
      </c>
      <c r="Y28" s="6">
        <v>6.8122265000000001E-2</v>
      </c>
      <c r="Z28" s="6">
        <v>1.5063742999999999E-2</v>
      </c>
      <c r="AA28" s="6">
        <v>4.7241232000000001E-2</v>
      </c>
      <c r="AB28" s="6">
        <v>9.9058380000000001E-3</v>
      </c>
      <c r="AC28" s="6">
        <v>3.6378805E-2</v>
      </c>
      <c r="AD28" s="6">
        <v>7.4068650000000003E-3</v>
      </c>
      <c r="AE28" s="6">
        <v>5.0132839999999998E-2</v>
      </c>
      <c r="AF28" s="6">
        <v>1.064389E-2</v>
      </c>
      <c r="AG28" s="6">
        <v>5.1323580419999999</v>
      </c>
      <c r="AH28" s="6">
        <v>0.59644317700000005</v>
      </c>
      <c r="AI28" s="6">
        <v>-7.2101680310000003</v>
      </c>
      <c r="AJ28" s="6">
        <v>0.62826777300000003</v>
      </c>
      <c r="AK28" s="6">
        <v>8.8581578570000001</v>
      </c>
      <c r="AL28" s="6">
        <v>0.78160386299999995</v>
      </c>
      <c r="AM28" s="6" t="s">
        <v>495</v>
      </c>
      <c r="AN28" s="6">
        <v>1.658232508</v>
      </c>
      <c r="AO28" s="6">
        <v>0.55274416900000001</v>
      </c>
      <c r="AP28" s="6">
        <v>1.8927038629999999</v>
      </c>
      <c r="AQ28" s="6">
        <v>0.630901288</v>
      </c>
      <c r="AR28" s="6">
        <v>0.64941618099999998</v>
      </c>
      <c r="AS28" s="6">
        <v>0.591124082</v>
      </c>
      <c r="AT28" s="6">
        <v>0.66452843900000003</v>
      </c>
      <c r="AU28" s="6">
        <v>0.95871188299999999</v>
      </c>
      <c r="AV28" s="6">
        <v>0.59182272800000002</v>
      </c>
      <c r="AW28" s="6">
        <v>0.77491798300000003</v>
      </c>
      <c r="AX28" s="6">
        <v>1.8485914999999999E-2</v>
      </c>
      <c r="AY28" s="6">
        <v>53.095238094999999</v>
      </c>
      <c r="AZ28" s="6">
        <v>260.5</v>
      </c>
      <c r="BA28" s="6">
        <v>31.263157894999999</v>
      </c>
      <c r="BB28" s="6">
        <v>0.89284747900000005</v>
      </c>
      <c r="BC28" s="6">
        <v>4.0610361999999997E-2</v>
      </c>
      <c r="BD28" s="6">
        <v>9.6111600000000005E-3</v>
      </c>
      <c r="BE28" s="6">
        <v>0.23666767499999999</v>
      </c>
      <c r="BF28" s="6">
        <v>0.34290306199999998</v>
      </c>
      <c r="BG28" s="6">
        <v>4.5061189000000001E-2</v>
      </c>
      <c r="BH28" s="6">
        <v>0.13141086799999999</v>
      </c>
      <c r="BI28" s="6">
        <v>9.475186227</v>
      </c>
      <c r="BJ28" s="6">
        <v>1.222799456</v>
      </c>
      <c r="BK28" s="6">
        <v>0.12905281499999999</v>
      </c>
      <c r="BL28" s="6">
        <v>6.6392690410000004</v>
      </c>
      <c r="BM28" s="6">
        <v>4.091091026</v>
      </c>
      <c r="BN28" s="6">
        <v>0.61619599999999997</v>
      </c>
      <c r="BO28" s="6">
        <v>1.805489986</v>
      </c>
      <c r="BP28" s="6">
        <v>1.2132490890000001</v>
      </c>
      <c r="BQ28" s="6">
        <v>0.67197774399999999</v>
      </c>
      <c r="BR28" s="6">
        <v>0.26296056099999998</v>
      </c>
      <c r="BS28" s="6">
        <v>0.170216597</v>
      </c>
      <c r="BT28" s="6">
        <v>0.647308467</v>
      </c>
      <c r="BU28" s="6">
        <v>9.109428E-2</v>
      </c>
      <c r="BV28" s="6">
        <v>7.5764234E-2</v>
      </c>
      <c r="BW28" s="6">
        <v>0.83171231000000001</v>
      </c>
      <c r="BX28" s="6">
        <v>9.0679821999999993E-2</v>
      </c>
      <c r="BY28" s="6">
        <v>7.1300840000000004E-2</v>
      </c>
      <c r="BZ28" s="6">
        <v>0.78629223400000003</v>
      </c>
      <c r="CA28" s="6">
        <v>5.4844731360000001</v>
      </c>
      <c r="CB28" s="6">
        <v>3.7518875810000001</v>
      </c>
      <c r="CC28" s="6">
        <v>0.68409261700000001</v>
      </c>
      <c r="CD28" s="6">
        <v>1.738941955</v>
      </c>
      <c r="CE28" s="6">
        <v>1.312493592</v>
      </c>
      <c r="CF28" s="6">
        <v>0.75476561399999997</v>
      </c>
    </row>
    <row r="29" spans="1:84" ht="16" x14ac:dyDescent="0.2">
      <c r="A29" s="4">
        <v>45797</v>
      </c>
      <c r="B29" s="19">
        <v>25140</v>
      </c>
      <c r="C29" s="5" t="s">
        <v>42</v>
      </c>
      <c r="D29" s="26">
        <v>4</v>
      </c>
      <c r="E29" s="53" t="s">
        <v>1078</v>
      </c>
      <c r="F29" s="37"/>
      <c r="G29" s="37" t="s">
        <v>2</v>
      </c>
      <c r="H29" s="5" t="s">
        <v>3</v>
      </c>
      <c r="I29" s="5" t="s">
        <v>8</v>
      </c>
      <c r="J29" s="5" t="s">
        <v>8</v>
      </c>
      <c r="K29" s="5" t="s">
        <v>8</v>
      </c>
      <c r="L29" s="5" t="s">
        <v>8</v>
      </c>
      <c r="M29" s="5"/>
      <c r="N29" s="15"/>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row>
    <row r="30" spans="1:84" ht="16" x14ac:dyDescent="0.2">
      <c r="A30" s="4">
        <v>45797</v>
      </c>
      <c r="B30" s="19">
        <v>25140</v>
      </c>
      <c r="C30" s="5" t="s">
        <v>42</v>
      </c>
      <c r="D30" s="45">
        <v>5</v>
      </c>
      <c r="E30" s="53" t="s">
        <v>1079</v>
      </c>
      <c r="F30" s="37">
        <v>14.7</v>
      </c>
      <c r="G30" s="5" t="s">
        <v>2</v>
      </c>
      <c r="H30" s="5" t="s">
        <v>6</v>
      </c>
      <c r="I30" s="5">
        <v>0.15</v>
      </c>
      <c r="J30" s="5">
        <v>19.600000000000001</v>
      </c>
      <c r="K30" s="5">
        <v>9.65</v>
      </c>
      <c r="L30" s="5">
        <v>5.35</v>
      </c>
      <c r="M30" s="5"/>
      <c r="N30" s="15">
        <v>41.323402777799998</v>
      </c>
      <c r="O30" s="9"/>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row>
    <row r="31" spans="1:84" ht="16" x14ac:dyDescent="0.2">
      <c r="A31" s="4">
        <v>45797</v>
      </c>
      <c r="B31" s="19">
        <v>25140</v>
      </c>
      <c r="C31" s="5" t="s">
        <v>42</v>
      </c>
      <c r="D31" s="25">
        <v>6</v>
      </c>
      <c r="E31" s="53" t="s">
        <v>1080</v>
      </c>
      <c r="F31" s="37">
        <v>21.5</v>
      </c>
      <c r="G31" s="5" t="s">
        <v>2</v>
      </c>
      <c r="H31" s="5" t="s">
        <v>5</v>
      </c>
      <c r="I31" s="5">
        <v>0.85</v>
      </c>
      <c r="J31" s="5">
        <v>39.9</v>
      </c>
      <c r="K31" s="5">
        <v>9.9499999999999993</v>
      </c>
      <c r="L31" s="5">
        <v>5</v>
      </c>
      <c r="M31" s="5"/>
      <c r="N31" s="15">
        <v>41.323402777799998</v>
      </c>
      <c r="O31" t="s">
        <v>475</v>
      </c>
      <c r="P31" s="6">
        <v>6.4273583999999995E-2</v>
      </c>
      <c r="Q31" s="6">
        <v>5.7607739999999998E-3</v>
      </c>
      <c r="R31" s="6">
        <v>953</v>
      </c>
      <c r="S31" s="6">
        <v>7.5645400000000005E-4</v>
      </c>
      <c r="T31" s="6">
        <v>15.999999975</v>
      </c>
      <c r="U31" s="6">
        <v>0.108169934</v>
      </c>
      <c r="V31" s="6">
        <v>6.9932029999999999E-3</v>
      </c>
      <c r="W31" s="6">
        <v>3.8851100000000002E-4</v>
      </c>
      <c r="X31" s="6">
        <v>2.6815900000000002E-4</v>
      </c>
      <c r="Y31" s="6">
        <v>8.5557839999999996E-2</v>
      </c>
      <c r="Z31" s="6">
        <v>7.8251450000000004E-3</v>
      </c>
      <c r="AA31" s="6">
        <v>6.1035061000000002E-2</v>
      </c>
      <c r="AB31" s="6">
        <v>5.5478749999999999E-3</v>
      </c>
      <c r="AC31" s="6">
        <v>4.6580201000000002E-2</v>
      </c>
      <c r="AD31" s="6">
        <v>4.4259989999999999E-3</v>
      </c>
      <c r="AE31" s="6">
        <v>6.4273583999999995E-2</v>
      </c>
      <c r="AF31" s="6">
        <v>5.7607739999999998E-3</v>
      </c>
      <c r="AG31" s="6">
        <v>4.7803965660000003</v>
      </c>
      <c r="AH31" s="6">
        <v>0.56890164300000001</v>
      </c>
      <c r="AI31" s="6">
        <v>-7.1815024840000001</v>
      </c>
      <c r="AJ31" s="6">
        <v>0.42607740300000002</v>
      </c>
      <c r="AK31" s="6">
        <v>8.6316504960000007</v>
      </c>
      <c r="AL31" s="6">
        <v>0.65260004500000002</v>
      </c>
      <c r="AM31" s="6" t="s">
        <v>496</v>
      </c>
      <c r="AN31" s="6">
        <v>1</v>
      </c>
      <c r="AO31" s="6">
        <v>1</v>
      </c>
      <c r="AP31" s="6" t="s">
        <v>452</v>
      </c>
      <c r="AQ31" s="6" t="s">
        <v>453</v>
      </c>
      <c r="AR31" s="6">
        <v>0</v>
      </c>
      <c r="AS31" s="6" t="s">
        <v>453</v>
      </c>
      <c r="AT31" s="6">
        <v>0</v>
      </c>
      <c r="AU31" s="6" t="s">
        <v>453</v>
      </c>
      <c r="AV31" s="6" t="s">
        <v>452</v>
      </c>
      <c r="AW31" s="6" t="s">
        <v>453</v>
      </c>
      <c r="AX31" s="6">
        <v>0</v>
      </c>
      <c r="AY31" s="6" t="s">
        <v>452</v>
      </c>
      <c r="AZ31" s="6" t="s">
        <v>452</v>
      </c>
      <c r="BA31" s="6" t="s">
        <v>452</v>
      </c>
      <c r="BB31" s="6" t="s">
        <v>453</v>
      </c>
      <c r="BC31" s="6">
        <v>1.5501627E-2</v>
      </c>
      <c r="BD31" s="6" t="s">
        <v>453</v>
      </c>
      <c r="BE31" s="6" t="s">
        <v>453</v>
      </c>
      <c r="BF31" s="6">
        <v>0.37975736100000002</v>
      </c>
      <c r="BG31" s="6" t="s">
        <v>453</v>
      </c>
      <c r="BH31" s="6" t="s">
        <v>453</v>
      </c>
      <c r="BI31" s="6">
        <v>10.554974562</v>
      </c>
      <c r="BJ31" s="6" t="s">
        <v>453</v>
      </c>
      <c r="BK31" s="6" t="s">
        <v>453</v>
      </c>
      <c r="BL31" s="6" t="s">
        <v>453</v>
      </c>
      <c r="BM31" s="6" t="s">
        <v>453</v>
      </c>
      <c r="BN31" s="6" t="s">
        <v>453</v>
      </c>
      <c r="BO31" s="6" t="s">
        <v>453</v>
      </c>
      <c r="BP31" s="6" t="s">
        <v>453</v>
      </c>
      <c r="BQ31" s="6" t="s">
        <v>453</v>
      </c>
      <c r="BR31" s="6">
        <v>0</v>
      </c>
      <c r="BS31" s="6">
        <v>0</v>
      </c>
      <c r="BT31" s="6" t="s">
        <v>453</v>
      </c>
      <c r="BU31" s="6">
        <v>0</v>
      </c>
      <c r="BV31" s="6">
        <v>0</v>
      </c>
      <c r="BW31" s="6" t="s">
        <v>453</v>
      </c>
      <c r="BX31" s="6">
        <v>0</v>
      </c>
      <c r="BY31" s="6">
        <v>0</v>
      </c>
      <c r="BZ31" s="6" t="s">
        <v>453</v>
      </c>
      <c r="CA31" s="6">
        <v>0</v>
      </c>
      <c r="CB31" s="6">
        <v>0</v>
      </c>
      <c r="CC31" s="6" t="s">
        <v>453</v>
      </c>
      <c r="CD31" s="6">
        <v>0</v>
      </c>
      <c r="CE31" s="6">
        <v>0</v>
      </c>
      <c r="CF31" s="6" t="s">
        <v>453</v>
      </c>
    </row>
    <row r="32" spans="1:84" ht="16" x14ac:dyDescent="0.2">
      <c r="A32" s="4">
        <v>45797</v>
      </c>
      <c r="B32" s="19">
        <v>25140</v>
      </c>
      <c r="C32" s="5" t="s">
        <v>42</v>
      </c>
      <c r="D32" s="5">
        <v>7</v>
      </c>
      <c r="E32" s="53" t="s">
        <v>1081</v>
      </c>
      <c r="F32" s="37">
        <v>11.1</v>
      </c>
      <c r="G32" s="5" t="s">
        <v>2</v>
      </c>
      <c r="H32" s="5" t="s">
        <v>5</v>
      </c>
      <c r="I32" s="5">
        <v>0.8</v>
      </c>
      <c r="J32" s="5">
        <v>38.1</v>
      </c>
      <c r="K32" s="5">
        <v>8.9</v>
      </c>
      <c r="L32" s="5">
        <v>5.45</v>
      </c>
      <c r="M32" s="5"/>
      <c r="N32" s="15">
        <v>41.323402777799998</v>
      </c>
      <c r="O32" t="s">
        <v>821</v>
      </c>
      <c r="P32" s="6">
        <v>6.1507305999999998E-2</v>
      </c>
      <c r="Q32" s="6">
        <v>1.4110909E-2</v>
      </c>
      <c r="R32" s="6">
        <v>833</v>
      </c>
      <c r="S32" s="6">
        <v>1.6199319999999999E-3</v>
      </c>
      <c r="T32" s="6">
        <v>3.9999999979999998</v>
      </c>
      <c r="U32" s="6">
        <v>0.12138869200000001</v>
      </c>
      <c r="V32" s="6">
        <v>1.3344995E-2</v>
      </c>
      <c r="W32" s="6">
        <v>7.4138899999999996E-4</v>
      </c>
      <c r="X32" s="6">
        <v>5.9630499999999999E-4</v>
      </c>
      <c r="Y32" s="6">
        <v>8.6575994000000003E-2</v>
      </c>
      <c r="Z32" s="6">
        <v>1.9634853000000001E-2</v>
      </c>
      <c r="AA32" s="6">
        <v>5.7740962999999999E-2</v>
      </c>
      <c r="AB32" s="6">
        <v>1.342936E-2</v>
      </c>
      <c r="AC32" s="6">
        <v>3.8084110999999997E-2</v>
      </c>
      <c r="AD32" s="6">
        <v>9.0442749999999992E-3</v>
      </c>
      <c r="AE32" s="6">
        <v>6.1507305999999998E-2</v>
      </c>
      <c r="AF32" s="6">
        <v>1.4110909E-2</v>
      </c>
      <c r="AG32" s="6">
        <v>5.7952200749999996</v>
      </c>
      <c r="AH32" s="6">
        <v>0.63492141499999999</v>
      </c>
      <c r="AI32" s="6">
        <v>-10.204977561</v>
      </c>
      <c r="AJ32" s="6">
        <v>1.247192345</v>
      </c>
      <c r="AK32" s="6">
        <v>11.738228831000001</v>
      </c>
      <c r="AL32" s="6">
        <v>1.3779219549999999</v>
      </c>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row>
    <row r="33" spans="1:84" ht="16" x14ac:dyDescent="0.2">
      <c r="A33" s="4">
        <v>45797</v>
      </c>
      <c r="B33" s="19">
        <v>25140</v>
      </c>
      <c r="C33" s="5" t="s">
        <v>42</v>
      </c>
      <c r="D33" s="5">
        <v>8</v>
      </c>
      <c r="E33" s="53" t="s">
        <v>1082</v>
      </c>
      <c r="F33" s="37">
        <v>-49.4</v>
      </c>
      <c r="G33" s="5" t="s">
        <v>2</v>
      </c>
      <c r="H33" s="5" t="s">
        <v>3</v>
      </c>
      <c r="I33" s="5">
        <v>0.65</v>
      </c>
      <c r="J33" s="5">
        <v>33.4</v>
      </c>
      <c r="K33" s="5">
        <v>8</v>
      </c>
      <c r="L33" s="5">
        <v>4.4000000000000004</v>
      </c>
      <c r="M33" s="5"/>
      <c r="N33" s="15">
        <v>41.323402777799998</v>
      </c>
      <c r="O33" t="s">
        <v>822</v>
      </c>
      <c r="P33" s="6">
        <v>5.2796101999999998E-2</v>
      </c>
      <c r="Q33" s="6">
        <v>4.152696E-3</v>
      </c>
      <c r="R33" s="6">
        <v>832</v>
      </c>
      <c r="S33" s="6">
        <v>5.3002500000000005E-4</v>
      </c>
      <c r="T33" s="6">
        <v>5.6568542449999999</v>
      </c>
      <c r="U33" s="6">
        <v>0.13870845800000001</v>
      </c>
      <c r="V33" s="6">
        <v>3.8211429999999999E-3</v>
      </c>
      <c r="W33" s="6">
        <v>2.1228600000000001E-4</v>
      </c>
      <c r="X33" s="6">
        <v>2.1187800000000001E-4</v>
      </c>
      <c r="Y33" s="6">
        <v>7.3527893999999996E-2</v>
      </c>
      <c r="Z33" s="6">
        <v>6.5209029999999998E-3</v>
      </c>
      <c r="AA33" s="6">
        <v>4.9155959999999999E-2</v>
      </c>
      <c r="AB33" s="6">
        <v>3.815335E-3</v>
      </c>
      <c r="AC33" s="6">
        <v>3.7977325999999999E-2</v>
      </c>
      <c r="AD33" s="6">
        <v>2.7218749999999999E-3</v>
      </c>
      <c r="AE33" s="6">
        <v>5.2796101999999998E-2</v>
      </c>
      <c r="AF33" s="6">
        <v>4.152696E-3</v>
      </c>
      <c r="AG33" s="6">
        <v>5.6827493330000003</v>
      </c>
      <c r="AH33" s="6">
        <v>0.36997454400000002</v>
      </c>
      <c r="AI33" s="6">
        <v>-7.4866647930000001</v>
      </c>
      <c r="AJ33" s="6">
        <v>0.906350031</v>
      </c>
      <c r="AK33" s="6">
        <v>9.4084679320000006</v>
      </c>
      <c r="AL33" s="6">
        <v>0.88468129200000001</v>
      </c>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row>
    <row r="34" spans="1:84" ht="16" x14ac:dyDescent="0.2">
      <c r="A34" s="4">
        <v>45797</v>
      </c>
      <c r="B34" s="19">
        <v>25140</v>
      </c>
      <c r="C34" s="5" t="s">
        <v>42</v>
      </c>
      <c r="D34" s="26">
        <v>9</v>
      </c>
      <c r="E34" s="53" t="s">
        <v>1083</v>
      </c>
      <c r="F34" s="37"/>
      <c r="G34" s="5" t="s">
        <v>12</v>
      </c>
      <c r="H34" s="5" t="s">
        <v>5</v>
      </c>
      <c r="I34" s="5">
        <v>0.95</v>
      </c>
      <c r="J34" s="5">
        <v>40.1</v>
      </c>
      <c r="K34" s="5">
        <v>10.050000000000001</v>
      </c>
      <c r="L34" s="5">
        <v>5.3</v>
      </c>
      <c r="M34" s="5"/>
      <c r="N34" s="15"/>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row>
    <row r="35" spans="1:84" ht="16" x14ac:dyDescent="0.2">
      <c r="A35" s="4">
        <v>45797</v>
      </c>
      <c r="B35" s="19">
        <v>25140</v>
      </c>
      <c r="C35" s="5" t="s">
        <v>42</v>
      </c>
      <c r="D35" s="5">
        <v>10</v>
      </c>
      <c r="E35" s="53" t="s">
        <v>1084</v>
      </c>
      <c r="F35" s="37">
        <v>23.4</v>
      </c>
      <c r="G35" s="5" t="s">
        <v>2</v>
      </c>
      <c r="H35" s="5" t="s">
        <v>3</v>
      </c>
      <c r="I35" s="5">
        <v>0.5</v>
      </c>
      <c r="J35" s="5">
        <v>31</v>
      </c>
      <c r="K35" s="5">
        <v>8.35</v>
      </c>
      <c r="L35" s="5">
        <v>4.75</v>
      </c>
      <c r="M35" s="5"/>
      <c r="N35" s="15">
        <v>41.323402777799998</v>
      </c>
      <c r="O35" t="s">
        <v>823</v>
      </c>
      <c r="P35" s="6">
        <v>2.9929712000000001E-2</v>
      </c>
      <c r="Q35" s="6">
        <v>1.4875536E-2</v>
      </c>
      <c r="R35" s="6">
        <v>364</v>
      </c>
      <c r="S35" s="6">
        <v>1.650196E-3</v>
      </c>
      <c r="T35" s="6">
        <v>3.9999999979999998</v>
      </c>
      <c r="U35" s="6">
        <v>0.131722687</v>
      </c>
      <c r="V35" s="6">
        <v>1.2527803000000001E-2</v>
      </c>
      <c r="W35" s="6">
        <v>6.9598900000000005E-4</v>
      </c>
      <c r="X35" s="6">
        <v>5.6334500000000003E-4</v>
      </c>
      <c r="Y35" s="6">
        <v>4.8639026000000002E-2</v>
      </c>
      <c r="Z35" s="6">
        <v>2.5783916E-2</v>
      </c>
      <c r="AA35" s="6">
        <v>2.5118748E-2</v>
      </c>
      <c r="AB35" s="6">
        <v>1.1949621000000001E-2</v>
      </c>
      <c r="AC35" s="6">
        <v>1.7112265000000002E-2</v>
      </c>
      <c r="AD35" s="6">
        <v>7.63446E-3</v>
      </c>
      <c r="AE35" s="6">
        <v>2.9929712000000001E-2</v>
      </c>
      <c r="AF35" s="6">
        <v>1.4875536E-2</v>
      </c>
      <c r="AG35" s="6">
        <v>8.8304418939999998</v>
      </c>
      <c r="AH35" s="6">
        <v>1.1047582739999999</v>
      </c>
      <c r="AI35" s="6">
        <v>-11.058366369</v>
      </c>
      <c r="AJ35" s="6">
        <v>1.359344879</v>
      </c>
      <c r="AK35" s="6">
        <v>14.153104194999999</v>
      </c>
      <c r="AL35" s="6">
        <v>1.73838874</v>
      </c>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row>
    <row r="36" spans="1:84" ht="16" x14ac:dyDescent="0.2">
      <c r="A36" s="4">
        <v>45797</v>
      </c>
      <c r="B36" s="19">
        <v>25140</v>
      </c>
      <c r="C36" s="5" t="s">
        <v>42</v>
      </c>
      <c r="D36" s="26">
        <v>11</v>
      </c>
      <c r="E36" s="53" t="s">
        <v>1085</v>
      </c>
      <c r="F36" s="37"/>
      <c r="G36" s="37" t="s">
        <v>2</v>
      </c>
      <c r="H36" s="5" t="s">
        <v>5</v>
      </c>
      <c r="I36" s="5">
        <v>0.7</v>
      </c>
      <c r="J36" s="5">
        <v>39.1</v>
      </c>
      <c r="K36" s="5">
        <v>9.3000000000000007</v>
      </c>
      <c r="L36" s="5">
        <v>5</v>
      </c>
      <c r="M36" s="5"/>
      <c r="N36" s="15"/>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row>
    <row r="37" spans="1:84" ht="16" x14ac:dyDescent="0.2">
      <c r="A37" s="4">
        <v>45797</v>
      </c>
      <c r="B37" s="19">
        <v>25140</v>
      </c>
      <c r="C37" s="5" t="s">
        <v>42</v>
      </c>
      <c r="D37" s="5">
        <v>12</v>
      </c>
      <c r="E37" s="53" t="s">
        <v>1086</v>
      </c>
      <c r="F37" s="37">
        <v>6</v>
      </c>
      <c r="G37" s="5" t="s">
        <v>2</v>
      </c>
      <c r="H37" s="5" t="s">
        <v>5</v>
      </c>
      <c r="I37" s="5">
        <v>0.75</v>
      </c>
      <c r="J37" s="5">
        <v>38.4</v>
      </c>
      <c r="K37" s="5">
        <v>9.35</v>
      </c>
      <c r="L37" s="5">
        <v>5.0999999999999996</v>
      </c>
      <c r="M37" s="5"/>
      <c r="N37" s="15">
        <v>41.323402777799998</v>
      </c>
      <c r="O37" t="s">
        <v>824</v>
      </c>
      <c r="P37" s="6">
        <v>5.1177961000000001E-2</v>
      </c>
      <c r="Q37" s="6">
        <v>1.4360049999999999E-2</v>
      </c>
      <c r="R37" s="6">
        <v>862</v>
      </c>
      <c r="S37" s="6">
        <v>1.7230780000000001E-3</v>
      </c>
      <c r="T37" s="6">
        <v>2.8284271240000001</v>
      </c>
      <c r="U37" s="6">
        <v>0.13797770200000001</v>
      </c>
      <c r="V37" s="6">
        <v>1.248809E-2</v>
      </c>
      <c r="W37" s="6">
        <v>6.9378300000000001E-4</v>
      </c>
      <c r="X37" s="6">
        <v>5.7130799999999997E-4</v>
      </c>
      <c r="Y37" s="6">
        <v>7.3126976999999996E-2</v>
      </c>
      <c r="Z37" s="6">
        <v>2.1907855E-2</v>
      </c>
      <c r="AA37" s="6">
        <v>4.7110203000000003E-2</v>
      </c>
      <c r="AB37" s="6">
        <v>1.2900115E-2</v>
      </c>
      <c r="AC37" s="6">
        <v>3.5053597999999998E-2</v>
      </c>
      <c r="AD37" s="6">
        <v>9.1874509999999993E-3</v>
      </c>
      <c r="AE37" s="6">
        <v>5.1177961000000001E-2</v>
      </c>
      <c r="AF37" s="6">
        <v>1.4360049999999999E-2</v>
      </c>
      <c r="AG37" s="6">
        <v>6.0155408919999998</v>
      </c>
      <c r="AH37" s="6">
        <v>1.054100386</v>
      </c>
      <c r="AI37" s="6">
        <v>-8.0958451220000001</v>
      </c>
      <c r="AJ37" s="6">
        <v>1.3166151159999999</v>
      </c>
      <c r="AK37" s="6">
        <v>10.096308654</v>
      </c>
      <c r="AL37" s="6">
        <v>1.62430148</v>
      </c>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row>
    <row r="38" spans="1:84" ht="16" x14ac:dyDescent="0.2">
      <c r="A38" s="4">
        <v>45800</v>
      </c>
      <c r="B38" s="19">
        <v>25143</v>
      </c>
      <c r="C38" s="5" t="s">
        <v>20</v>
      </c>
      <c r="D38" s="5">
        <v>1</v>
      </c>
      <c r="E38" s="53" t="s">
        <v>1087</v>
      </c>
      <c r="F38" s="37">
        <v>47.7</v>
      </c>
      <c r="G38" s="5" t="s">
        <v>2</v>
      </c>
      <c r="H38" s="5" t="s">
        <v>3</v>
      </c>
      <c r="I38" s="5">
        <v>1.5</v>
      </c>
      <c r="J38" s="5">
        <v>42.1</v>
      </c>
      <c r="K38" s="5">
        <v>8.65</v>
      </c>
      <c r="L38" s="5">
        <v>5.4</v>
      </c>
      <c r="M38" s="5"/>
      <c r="N38" s="15">
        <v>41.5780583333</v>
      </c>
      <c r="O38" t="s">
        <v>825</v>
      </c>
      <c r="P38" s="6">
        <v>8.9829537000000001E-2</v>
      </c>
      <c r="Q38" s="6">
        <v>1.7936662999999999E-2</v>
      </c>
      <c r="R38" s="6">
        <v>1154</v>
      </c>
      <c r="S38" s="6">
        <v>2.1137249999999999E-3</v>
      </c>
      <c r="T38" s="6">
        <v>3.9999999979999998</v>
      </c>
      <c r="U38" s="6">
        <v>0.121588768</v>
      </c>
      <c r="V38" s="6">
        <v>1.7384209000000001E-2</v>
      </c>
      <c r="W38" s="6">
        <v>9.6578899999999999E-4</v>
      </c>
      <c r="X38" s="6">
        <v>7.1705499999999997E-4</v>
      </c>
      <c r="Y38" s="6">
        <v>0.125386514</v>
      </c>
      <c r="Z38" s="6">
        <v>2.6628572E-2</v>
      </c>
      <c r="AA38" s="6">
        <v>8.2198033000000004E-2</v>
      </c>
      <c r="AB38" s="6">
        <v>1.5841758000000001E-2</v>
      </c>
      <c r="AC38" s="6">
        <v>6.2579589000000005E-2</v>
      </c>
      <c r="AD38" s="6">
        <v>1.1769979E-2</v>
      </c>
      <c r="AE38" s="6">
        <v>8.9829537000000001E-2</v>
      </c>
      <c r="AF38" s="6">
        <v>1.7936662999999999E-2</v>
      </c>
      <c r="AG38" s="6">
        <v>5.8939439829999998</v>
      </c>
      <c r="AH38" s="6">
        <v>0.50566392500000001</v>
      </c>
      <c r="AI38" s="6">
        <v>-7.8341921230000002</v>
      </c>
      <c r="AJ38" s="6">
        <v>0.47262885599999999</v>
      </c>
      <c r="AK38" s="6">
        <v>9.8065589109999998</v>
      </c>
      <c r="AL38" s="6">
        <v>0.65082292500000005</v>
      </c>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row>
    <row r="39" spans="1:84" ht="16" x14ac:dyDescent="0.2">
      <c r="A39" s="4">
        <v>45800</v>
      </c>
      <c r="B39" s="19">
        <v>25143</v>
      </c>
      <c r="C39" s="5" t="s">
        <v>20</v>
      </c>
      <c r="D39" s="5">
        <v>2</v>
      </c>
      <c r="E39" s="53" t="s">
        <v>1088</v>
      </c>
      <c r="F39" s="37">
        <v>-9.1</v>
      </c>
      <c r="G39" s="5" t="s">
        <v>2</v>
      </c>
      <c r="H39" s="5" t="s">
        <v>5</v>
      </c>
      <c r="I39" s="5">
        <v>0.85</v>
      </c>
      <c r="J39" s="5">
        <v>36.35</v>
      </c>
      <c r="K39" s="5">
        <v>9.4</v>
      </c>
      <c r="L39" s="5">
        <v>5.3</v>
      </c>
      <c r="M39" s="5"/>
      <c r="N39" s="15">
        <v>41.5780583333</v>
      </c>
      <c r="O39" t="s">
        <v>826</v>
      </c>
      <c r="P39" s="6">
        <v>6.8170777000000002E-2</v>
      </c>
      <c r="Q39" s="6">
        <v>6.667465E-3</v>
      </c>
      <c r="R39" s="6">
        <v>798</v>
      </c>
      <c r="S39" s="6">
        <v>8.3595800000000004E-4</v>
      </c>
      <c r="T39" s="6">
        <v>5.6568542449999999</v>
      </c>
      <c r="U39" s="6">
        <v>0.133427358</v>
      </c>
      <c r="V39" s="6">
        <v>6.2652669999999997E-3</v>
      </c>
      <c r="W39" s="6">
        <v>3.4807000000000002E-4</v>
      </c>
      <c r="X39" s="6">
        <v>3.0416800000000001E-4</v>
      </c>
      <c r="Y39" s="6">
        <v>9.3576610000000005E-2</v>
      </c>
      <c r="Z39" s="6">
        <v>8.2075050000000004E-3</v>
      </c>
      <c r="AA39" s="6">
        <v>6.3705917000000001E-2</v>
      </c>
      <c r="AB39" s="6">
        <v>6.8642039999999996E-3</v>
      </c>
      <c r="AC39" s="6">
        <v>4.6625433000000001E-2</v>
      </c>
      <c r="AD39" s="6">
        <v>5.609574E-3</v>
      </c>
      <c r="AE39" s="6">
        <v>6.8170777000000002E-2</v>
      </c>
      <c r="AF39" s="6">
        <v>6.667465E-3</v>
      </c>
      <c r="AG39" s="6">
        <v>5.4722910870000003</v>
      </c>
      <c r="AH39" s="6">
        <v>0.763060242</v>
      </c>
      <c r="AI39" s="6">
        <v>-8.2814632790000005</v>
      </c>
      <c r="AJ39" s="6">
        <v>0.85886378699999999</v>
      </c>
      <c r="AK39" s="6">
        <v>9.9316055700000003</v>
      </c>
      <c r="AL39" s="6">
        <v>1.1007212500000001</v>
      </c>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row>
    <row r="40" spans="1:84" ht="16" x14ac:dyDescent="0.2">
      <c r="A40" s="4">
        <v>45800</v>
      </c>
      <c r="B40" s="19">
        <v>25143</v>
      </c>
      <c r="C40" s="5" t="s">
        <v>20</v>
      </c>
      <c r="D40" s="5">
        <v>3</v>
      </c>
      <c r="E40" s="53" t="s">
        <v>1089</v>
      </c>
      <c r="F40" s="37">
        <v>9.6999999999999993</v>
      </c>
      <c r="G40" s="5" t="s">
        <v>2</v>
      </c>
      <c r="H40" s="5" t="s">
        <v>6</v>
      </c>
      <c r="I40" s="5" t="s">
        <v>8</v>
      </c>
      <c r="J40" s="5">
        <v>33.5</v>
      </c>
      <c r="K40" s="5">
        <v>6</v>
      </c>
      <c r="L40" s="5">
        <v>3.95</v>
      </c>
      <c r="M40" s="5"/>
      <c r="N40" s="15">
        <v>41.5780583333</v>
      </c>
      <c r="O40" t="s">
        <v>827</v>
      </c>
      <c r="P40" s="6">
        <v>4.6668768999999999E-2</v>
      </c>
      <c r="Q40" s="6">
        <v>1.2063913000000001E-2</v>
      </c>
      <c r="R40" s="6">
        <v>326</v>
      </c>
      <c r="S40" s="6">
        <v>1.25527E-3</v>
      </c>
      <c r="T40" s="6">
        <v>2.8284271240000001</v>
      </c>
      <c r="U40" s="6">
        <v>0.12621790599999999</v>
      </c>
      <c r="V40" s="6">
        <v>9.945265E-3</v>
      </c>
      <c r="W40" s="6">
        <v>5.5251499999999995E-4</v>
      </c>
      <c r="X40" s="6">
        <v>4.7507400000000003E-4</v>
      </c>
      <c r="Y40" s="6">
        <v>7.0744375999999998E-2</v>
      </c>
      <c r="Z40" s="6">
        <v>1.8491964999999999E-2</v>
      </c>
      <c r="AA40" s="6">
        <v>4.2070629999999998E-2</v>
      </c>
      <c r="AB40" s="6">
        <v>1.0799112E-2</v>
      </c>
      <c r="AC40" s="6">
        <v>2.4847567000000001E-2</v>
      </c>
      <c r="AD40" s="6">
        <v>6.3454660000000001E-3</v>
      </c>
      <c r="AE40" s="6">
        <v>4.6668768999999999E-2</v>
      </c>
      <c r="AF40" s="6">
        <v>1.2063913000000001E-2</v>
      </c>
      <c r="AG40" s="6">
        <v>7.3353706680000004</v>
      </c>
      <c r="AH40" s="6">
        <v>0.19468338800000001</v>
      </c>
      <c r="AI40" s="6">
        <v>-12.809554328000001</v>
      </c>
      <c r="AJ40" s="6">
        <v>0.50133720299999995</v>
      </c>
      <c r="AK40" s="6">
        <v>14.7643503</v>
      </c>
      <c r="AL40" s="6">
        <v>0.441879882</v>
      </c>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row>
    <row r="41" spans="1:84" ht="16" x14ac:dyDescent="0.2">
      <c r="A41" s="4">
        <v>45800</v>
      </c>
      <c r="B41" s="19">
        <v>25143</v>
      </c>
      <c r="C41" s="5" t="s">
        <v>20</v>
      </c>
      <c r="D41" s="5">
        <v>4</v>
      </c>
      <c r="E41" s="53" t="s">
        <v>1090</v>
      </c>
      <c r="F41" s="37">
        <v>-1.7</v>
      </c>
      <c r="G41" s="5" t="s">
        <v>2</v>
      </c>
      <c r="H41" s="5" t="s">
        <v>6</v>
      </c>
      <c r="I41" s="5" t="s">
        <v>8</v>
      </c>
      <c r="J41" s="5">
        <v>23.15</v>
      </c>
      <c r="K41" s="5">
        <v>6.2</v>
      </c>
      <c r="L41" s="5">
        <v>4</v>
      </c>
      <c r="M41" s="5"/>
      <c r="N41" s="15">
        <v>41.5780583333</v>
      </c>
      <c r="O41" t="s">
        <v>828</v>
      </c>
      <c r="P41" s="6">
        <v>4.6170514000000003E-2</v>
      </c>
      <c r="Q41" s="6">
        <v>1.3617862999999999E-2</v>
      </c>
      <c r="R41" s="6">
        <v>320</v>
      </c>
      <c r="S41" s="6">
        <v>1.415169E-3</v>
      </c>
      <c r="T41" s="6">
        <v>2.8284271240000001</v>
      </c>
      <c r="U41" s="6">
        <v>0.12561509000000001</v>
      </c>
      <c r="V41" s="6">
        <v>1.1265916000000001E-2</v>
      </c>
      <c r="W41" s="6">
        <v>6.2588400000000005E-4</v>
      </c>
      <c r="X41" s="6">
        <v>5.5445699999999995E-4</v>
      </c>
      <c r="Y41" s="6">
        <v>6.8310214999999994E-2</v>
      </c>
      <c r="Z41" s="6">
        <v>2.0089376999999999E-2</v>
      </c>
      <c r="AA41" s="6">
        <v>4.0955290999999998E-2</v>
      </c>
      <c r="AB41" s="6">
        <v>1.2147194E-2</v>
      </c>
      <c r="AC41" s="6">
        <v>2.9862273000000002E-2</v>
      </c>
      <c r="AD41" s="6">
        <v>8.7545049999999992E-3</v>
      </c>
      <c r="AE41" s="6">
        <v>4.6170514000000003E-2</v>
      </c>
      <c r="AF41" s="6">
        <v>1.3617862999999999E-2</v>
      </c>
      <c r="AG41" s="6">
        <v>7.228146647</v>
      </c>
      <c r="AH41" s="6">
        <v>0.29936954100000002</v>
      </c>
      <c r="AI41" s="6">
        <v>-9.3106222659999993</v>
      </c>
      <c r="AJ41" s="6">
        <v>0.30079226599999997</v>
      </c>
      <c r="AK41" s="6">
        <v>11.787614286</v>
      </c>
      <c r="AL41" s="6">
        <v>0.40742480800000003</v>
      </c>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row>
    <row r="42" spans="1:84" ht="16" x14ac:dyDescent="0.2">
      <c r="A42" s="4">
        <v>45800</v>
      </c>
      <c r="B42" s="19">
        <v>25143</v>
      </c>
      <c r="C42" s="5" t="s">
        <v>20</v>
      </c>
      <c r="D42" s="5">
        <v>5</v>
      </c>
      <c r="E42" s="53" t="s">
        <v>1091</v>
      </c>
      <c r="F42" s="37">
        <v>31.8</v>
      </c>
      <c r="G42" s="5" t="s">
        <v>2</v>
      </c>
      <c r="H42" s="5" t="s">
        <v>5</v>
      </c>
      <c r="I42" s="5" t="s">
        <v>8</v>
      </c>
      <c r="J42" s="5">
        <v>41.4</v>
      </c>
      <c r="K42" s="5">
        <v>10.1</v>
      </c>
      <c r="L42" s="5">
        <v>5.6</v>
      </c>
      <c r="M42" s="5"/>
      <c r="N42" s="15">
        <v>41.5780583333</v>
      </c>
      <c r="O42" t="s">
        <v>829</v>
      </c>
      <c r="P42" s="6">
        <v>5.9451426000000002E-2</v>
      </c>
      <c r="Q42" s="6">
        <v>7.3191920000000004E-3</v>
      </c>
      <c r="R42" s="6">
        <v>1295</v>
      </c>
      <c r="S42" s="6">
        <v>8.6574099999999995E-4</v>
      </c>
      <c r="T42" s="6">
        <v>5.6568542449999999</v>
      </c>
      <c r="U42" s="6">
        <v>0.11517361199999999</v>
      </c>
      <c r="V42" s="6">
        <v>7.516834E-3</v>
      </c>
      <c r="W42" s="6">
        <v>4.1760199999999999E-4</v>
      </c>
      <c r="X42" s="6">
        <v>2.9142399999999998E-4</v>
      </c>
      <c r="Y42" s="6">
        <v>7.6309907999999996E-2</v>
      </c>
      <c r="Z42" s="6">
        <v>1.0694133E-2</v>
      </c>
      <c r="AA42" s="6">
        <v>5.7773331999999997E-2</v>
      </c>
      <c r="AB42" s="6">
        <v>6.6204660000000002E-3</v>
      </c>
      <c r="AC42" s="6">
        <v>4.4783291000000003E-2</v>
      </c>
      <c r="AD42" s="6">
        <v>5.2016340000000001E-3</v>
      </c>
      <c r="AE42" s="6">
        <v>5.9451426000000002E-2</v>
      </c>
      <c r="AF42" s="6">
        <v>7.3191920000000004E-3</v>
      </c>
      <c r="AG42" s="6">
        <v>3.8921113329999999</v>
      </c>
      <c r="AH42" s="6">
        <v>0.63859299700000005</v>
      </c>
      <c r="AI42" s="6">
        <v>-6.4119542279999999</v>
      </c>
      <c r="AJ42" s="6">
        <v>0.80252346200000002</v>
      </c>
      <c r="AK42" s="6">
        <v>7.5087646269999997</v>
      </c>
      <c r="AL42" s="6">
        <v>0.96534639700000002</v>
      </c>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row>
    <row r="43" spans="1:84" ht="16" x14ac:dyDescent="0.2">
      <c r="A43" s="4">
        <v>45800</v>
      </c>
      <c r="B43" s="19">
        <v>25143</v>
      </c>
      <c r="C43" s="5" t="s">
        <v>20</v>
      </c>
      <c r="D43" s="25">
        <v>6</v>
      </c>
      <c r="E43" s="53" t="s">
        <v>1092</v>
      </c>
      <c r="F43" s="37">
        <v>-20.399999999999999</v>
      </c>
      <c r="G43" s="5" t="s">
        <v>2</v>
      </c>
      <c r="H43" s="5" t="s">
        <v>3</v>
      </c>
      <c r="I43" s="5" t="s">
        <v>8</v>
      </c>
      <c r="J43" s="5">
        <v>36.65</v>
      </c>
      <c r="K43" s="5">
        <v>7.85</v>
      </c>
      <c r="L43" s="5">
        <v>4.5</v>
      </c>
      <c r="M43" s="5"/>
      <c r="N43" s="15">
        <v>41.5780583333</v>
      </c>
      <c r="O43" t="s">
        <v>476</v>
      </c>
      <c r="P43" s="6">
        <v>6.2750954999999997E-2</v>
      </c>
      <c r="Q43" s="6">
        <v>1.1059223999999999E-2</v>
      </c>
      <c r="R43" s="6">
        <v>758</v>
      </c>
      <c r="S43" s="6">
        <v>1.177551E-3</v>
      </c>
      <c r="T43" s="6">
        <v>45.254833888</v>
      </c>
      <c r="U43" s="6">
        <v>0.110789811</v>
      </c>
      <c r="V43" s="6">
        <v>1.0628698000000001E-2</v>
      </c>
      <c r="W43" s="6">
        <v>5.9048300000000005E-4</v>
      </c>
      <c r="X43" s="6">
        <v>4.5406199999999998E-4</v>
      </c>
      <c r="Y43" s="6">
        <v>9.2983119000000003E-2</v>
      </c>
      <c r="Z43" s="6">
        <v>1.6965260999999999E-2</v>
      </c>
      <c r="AA43" s="6">
        <v>5.7092718000000001E-2</v>
      </c>
      <c r="AB43" s="6">
        <v>1.001993E-2</v>
      </c>
      <c r="AC43" s="6">
        <v>3.7390664999999997E-2</v>
      </c>
      <c r="AD43" s="6">
        <v>6.2951049999999996E-3</v>
      </c>
      <c r="AE43" s="6">
        <v>6.2750954999999997E-2</v>
      </c>
      <c r="AF43" s="6">
        <v>1.1059223999999999E-2</v>
      </c>
      <c r="AG43" s="6">
        <v>6.867514302</v>
      </c>
      <c r="AH43" s="6">
        <v>0.50488095300000002</v>
      </c>
      <c r="AI43" s="6">
        <v>-10.843952561</v>
      </c>
      <c r="AJ43" s="6">
        <v>0.78347302200000002</v>
      </c>
      <c r="AK43" s="6">
        <v>12.836959856</v>
      </c>
      <c r="AL43" s="6">
        <v>0.91389907400000003</v>
      </c>
      <c r="AM43" s="6" t="s">
        <v>497</v>
      </c>
      <c r="AN43" s="6">
        <v>1.3440607769999999</v>
      </c>
      <c r="AO43" s="6">
        <v>0.44802025899999998</v>
      </c>
      <c r="AP43" s="6">
        <v>1.923076923</v>
      </c>
      <c r="AQ43" s="6">
        <v>0.64102564100000003</v>
      </c>
      <c r="AR43" s="6">
        <v>0.45760962500000002</v>
      </c>
      <c r="AS43" s="6">
        <v>0.41653423099999998</v>
      </c>
      <c r="AT43" s="6">
        <v>0.67301166700000004</v>
      </c>
      <c r="AU43" s="6">
        <v>0.97095059399999994</v>
      </c>
      <c r="AV43" s="6">
        <v>0.54452294999999995</v>
      </c>
      <c r="AW43" s="6">
        <v>0.69374241299999995</v>
      </c>
      <c r="AX43" s="6">
        <v>7.23589E-3</v>
      </c>
      <c r="AY43" s="6">
        <v>137.19999999999999</v>
      </c>
      <c r="AZ43" s="6" t="s">
        <v>452</v>
      </c>
      <c r="BA43" s="6">
        <v>73.599999999999994</v>
      </c>
      <c r="BB43" s="6" t="s">
        <v>453</v>
      </c>
      <c r="BC43" s="6">
        <v>5.0118324999999998E-2</v>
      </c>
      <c r="BD43" s="6">
        <v>8.3457129999999994E-3</v>
      </c>
      <c r="BE43" s="6">
        <v>0.16652019400000001</v>
      </c>
      <c r="BF43" s="6">
        <v>0.29142923999999998</v>
      </c>
      <c r="BG43" s="6">
        <v>3.9004875000000001E-2</v>
      </c>
      <c r="BH43" s="6">
        <v>0.13383994900000001</v>
      </c>
      <c r="BI43" s="6">
        <v>8.0807746280000003</v>
      </c>
      <c r="BJ43" s="6">
        <v>1.0598754909999999</v>
      </c>
      <c r="BK43" s="6">
        <v>0.13116013500000001</v>
      </c>
      <c r="BL43" s="6">
        <v>7.6287113939999998</v>
      </c>
      <c r="BM43" s="6">
        <v>5.2289228019999996</v>
      </c>
      <c r="BN43" s="6">
        <v>0.68542674299999995</v>
      </c>
      <c r="BO43" s="6">
        <v>2.536710405</v>
      </c>
      <c r="BP43" s="6">
        <v>0.745802364</v>
      </c>
      <c r="BQ43" s="6">
        <v>0.29400374699999998</v>
      </c>
      <c r="BR43" s="6">
        <v>0.26768152000000001</v>
      </c>
      <c r="BS43" s="6">
        <v>0.171715758</v>
      </c>
      <c r="BT43" s="6">
        <v>0.64149276300000002</v>
      </c>
      <c r="BU43" s="6">
        <v>8.8992957999999997E-2</v>
      </c>
      <c r="BV43" s="6">
        <v>7.6431518000000004E-2</v>
      </c>
      <c r="BW43" s="6">
        <v>0.85884904900000003</v>
      </c>
      <c r="BX43" s="6">
        <v>8.8702292000000002E-2</v>
      </c>
      <c r="BY43" s="6">
        <v>7.1928811999999995E-2</v>
      </c>
      <c r="BZ43" s="6">
        <v>0.81090139299999997</v>
      </c>
      <c r="CA43" s="6">
        <v>5.5885317749999999</v>
      </c>
      <c r="CB43" s="6">
        <v>3.784931839</v>
      </c>
      <c r="CC43" s="6">
        <v>0.67726766000000005</v>
      </c>
      <c r="CD43" s="6">
        <v>1.7025399320000001</v>
      </c>
      <c r="CE43" s="6">
        <v>1.324053207</v>
      </c>
      <c r="CF43" s="6">
        <v>0.77769289399999997</v>
      </c>
    </row>
    <row r="44" spans="1:84" ht="16" x14ac:dyDescent="0.2">
      <c r="A44" s="4">
        <v>45800</v>
      </c>
      <c r="B44" s="19">
        <v>25143</v>
      </c>
      <c r="C44" s="5" t="s">
        <v>20</v>
      </c>
      <c r="D44" s="26">
        <v>7</v>
      </c>
      <c r="E44" s="53" t="s">
        <v>1093</v>
      </c>
      <c r="F44" s="37"/>
      <c r="G44" s="37" t="s">
        <v>2</v>
      </c>
      <c r="H44" s="5" t="s">
        <v>3</v>
      </c>
      <c r="I44" s="5" t="s">
        <v>8</v>
      </c>
      <c r="J44" s="5">
        <v>34</v>
      </c>
      <c r="K44" s="5">
        <v>8</v>
      </c>
      <c r="L44" s="5">
        <v>4.8</v>
      </c>
      <c r="M44" s="5"/>
      <c r="N44" s="15"/>
      <c r="O44" s="9"/>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row>
    <row r="45" spans="1:84" ht="16" x14ac:dyDescent="0.2">
      <c r="A45" s="4">
        <v>45800</v>
      </c>
      <c r="B45" s="19">
        <v>25143</v>
      </c>
      <c r="C45" s="5" t="s">
        <v>20</v>
      </c>
      <c r="D45" s="5">
        <v>8</v>
      </c>
      <c r="E45" s="53" t="s">
        <v>1094</v>
      </c>
      <c r="F45" s="37">
        <v>-25.1</v>
      </c>
      <c r="G45" s="5" t="s">
        <v>2</v>
      </c>
      <c r="H45" s="5" t="s">
        <v>5</v>
      </c>
      <c r="I45" s="5" t="s">
        <v>8</v>
      </c>
      <c r="J45" s="5">
        <v>38</v>
      </c>
      <c r="K45" s="5">
        <v>9.1</v>
      </c>
      <c r="L45" s="5">
        <v>5.25</v>
      </c>
      <c r="M45" s="5"/>
      <c r="N45" s="15">
        <v>41.5780583333</v>
      </c>
      <c r="O45" s="9" t="s">
        <v>830</v>
      </c>
      <c r="P45" s="6">
        <v>6.1856319E-2</v>
      </c>
      <c r="Q45" s="6">
        <v>1.4324353E-2</v>
      </c>
      <c r="R45" s="6">
        <v>806</v>
      </c>
      <c r="S45" s="6">
        <v>1.5983880000000001E-3</v>
      </c>
      <c r="T45" s="6">
        <v>5.6568542449999999</v>
      </c>
      <c r="U45" s="6">
        <v>0.124988036</v>
      </c>
      <c r="V45" s="6">
        <v>1.2788331999999999E-2</v>
      </c>
      <c r="W45" s="6">
        <v>7.1046300000000005E-4</v>
      </c>
      <c r="X45" s="6">
        <v>6.1480900000000002E-4</v>
      </c>
      <c r="Y45" s="6">
        <v>8.9773923000000005E-2</v>
      </c>
      <c r="Z45" s="6">
        <v>1.9080620999999999E-2</v>
      </c>
      <c r="AA45" s="6">
        <v>5.6439598000000001E-2</v>
      </c>
      <c r="AB45" s="6">
        <v>1.3778599000000001E-2</v>
      </c>
      <c r="AC45" s="6">
        <v>3.9718681999999998E-2</v>
      </c>
      <c r="AD45" s="6">
        <v>9.7263669999999997E-3</v>
      </c>
      <c r="AE45" s="6">
        <v>6.1856319E-2</v>
      </c>
      <c r="AF45" s="6">
        <v>1.4324353E-2</v>
      </c>
      <c r="AG45" s="6">
        <v>6.7202636890000003</v>
      </c>
      <c r="AH45" s="6">
        <v>0.81667422599999995</v>
      </c>
      <c r="AI45" s="6">
        <v>-9.6571539889999993</v>
      </c>
      <c r="AJ45" s="6">
        <v>1.0223679729999999</v>
      </c>
      <c r="AK45" s="6">
        <v>11.772502015000001</v>
      </c>
      <c r="AL45" s="6">
        <v>1.2420736130000001</v>
      </c>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row>
    <row r="46" spans="1:84" ht="16" x14ac:dyDescent="0.2">
      <c r="A46" s="4">
        <v>45803</v>
      </c>
      <c r="B46" s="19">
        <v>25146</v>
      </c>
      <c r="C46" s="5" t="s">
        <v>23</v>
      </c>
      <c r="D46" s="25">
        <v>1</v>
      </c>
      <c r="E46" s="53" t="s">
        <v>1095</v>
      </c>
      <c r="F46" s="37">
        <v>20</v>
      </c>
      <c r="G46" s="5" t="s">
        <v>2</v>
      </c>
      <c r="H46" s="5" t="s">
        <v>3</v>
      </c>
      <c r="I46" s="5">
        <v>1</v>
      </c>
      <c r="J46" s="5">
        <v>38.299999999999997</v>
      </c>
      <c r="K46" s="5">
        <v>8.9</v>
      </c>
      <c r="L46" s="5">
        <v>4.95</v>
      </c>
      <c r="M46" s="5"/>
      <c r="N46" s="15">
        <v>41.649602777799998</v>
      </c>
      <c r="O46" t="s">
        <v>477</v>
      </c>
      <c r="P46" s="6">
        <v>5.7643774000000002E-2</v>
      </c>
      <c r="Q46" s="6">
        <v>7.5201139999999996E-3</v>
      </c>
      <c r="R46" s="6">
        <v>819</v>
      </c>
      <c r="S46" s="6">
        <v>8.0811900000000005E-4</v>
      </c>
      <c r="T46" s="6">
        <v>5.6568542449999999</v>
      </c>
      <c r="U46" s="6">
        <v>0.10708040200000001</v>
      </c>
      <c r="V46" s="6">
        <v>7.5468480000000001E-3</v>
      </c>
      <c r="W46" s="6">
        <v>4.19269E-4</v>
      </c>
      <c r="X46" s="6">
        <v>2.8248599999999998E-4</v>
      </c>
      <c r="Y46" s="6">
        <v>8.0032656999999993E-2</v>
      </c>
      <c r="Z46" s="6">
        <v>1.0048543E-2</v>
      </c>
      <c r="AA46" s="6">
        <v>5.3901503000000003E-2</v>
      </c>
      <c r="AB46" s="6">
        <v>7.2645339999999996E-3</v>
      </c>
      <c r="AC46" s="6">
        <v>3.9871257E-2</v>
      </c>
      <c r="AD46" s="6">
        <v>5.0874359999999999E-3</v>
      </c>
      <c r="AE46" s="6">
        <v>5.7643774000000002E-2</v>
      </c>
      <c r="AF46" s="6">
        <v>7.5201139999999996E-3</v>
      </c>
      <c r="AG46" s="6">
        <v>5.6075189080000003</v>
      </c>
      <c r="AH46" s="6">
        <v>0.39743336800000001</v>
      </c>
      <c r="AI46" s="6">
        <v>-8.1393058049999993</v>
      </c>
      <c r="AJ46" s="6">
        <v>0.37183856799999998</v>
      </c>
      <c r="AK46" s="6">
        <v>9.8880457049999997</v>
      </c>
      <c r="AL46" s="6">
        <v>0.46393715499999999</v>
      </c>
      <c r="AM46" s="6" t="s">
        <v>498</v>
      </c>
      <c r="AN46" s="6">
        <v>1</v>
      </c>
      <c r="AO46" s="6">
        <v>1</v>
      </c>
      <c r="AP46" s="6" t="s">
        <v>452</v>
      </c>
      <c r="AQ46" s="6" t="s">
        <v>453</v>
      </c>
      <c r="AR46" s="6">
        <v>0</v>
      </c>
      <c r="AS46" s="6" t="s">
        <v>453</v>
      </c>
      <c r="AT46" s="6">
        <v>0</v>
      </c>
      <c r="AU46" s="6" t="s">
        <v>453</v>
      </c>
      <c r="AV46" s="6" t="s">
        <v>452</v>
      </c>
      <c r="AW46" s="6" t="s">
        <v>453</v>
      </c>
      <c r="AX46" s="6">
        <v>0</v>
      </c>
      <c r="AY46" s="6" t="s">
        <v>452</v>
      </c>
      <c r="AZ46" s="6" t="s">
        <v>452</v>
      </c>
      <c r="BA46" s="6" t="s">
        <v>452</v>
      </c>
      <c r="BB46" s="6" t="s">
        <v>453</v>
      </c>
      <c r="BC46" s="6">
        <v>1.5501627E-2</v>
      </c>
      <c r="BD46" s="6" t="s">
        <v>453</v>
      </c>
      <c r="BE46" s="6" t="s">
        <v>453</v>
      </c>
      <c r="BF46" s="6">
        <v>0.37975736100000002</v>
      </c>
      <c r="BG46" s="6" t="s">
        <v>453</v>
      </c>
      <c r="BH46" s="6" t="s">
        <v>453</v>
      </c>
      <c r="BI46" s="6">
        <v>10.554974562</v>
      </c>
      <c r="BJ46" s="6" t="s">
        <v>453</v>
      </c>
      <c r="BK46" s="6" t="s">
        <v>453</v>
      </c>
      <c r="BL46" s="6" t="s">
        <v>453</v>
      </c>
      <c r="BM46" s="6" t="s">
        <v>453</v>
      </c>
      <c r="BN46" s="6" t="s">
        <v>453</v>
      </c>
      <c r="BO46" s="6" t="s">
        <v>453</v>
      </c>
      <c r="BP46" s="6" t="s">
        <v>453</v>
      </c>
      <c r="BQ46" s="6" t="s">
        <v>453</v>
      </c>
      <c r="BR46" s="6">
        <v>0</v>
      </c>
      <c r="BS46" s="6">
        <v>0</v>
      </c>
      <c r="BT46" s="6" t="s">
        <v>453</v>
      </c>
      <c r="BU46" s="6">
        <v>0</v>
      </c>
      <c r="BV46" s="6">
        <v>0</v>
      </c>
      <c r="BW46" s="6" t="s">
        <v>453</v>
      </c>
      <c r="BX46" s="6">
        <v>0</v>
      </c>
      <c r="BY46" s="6">
        <v>0</v>
      </c>
      <c r="BZ46" s="6" t="s">
        <v>453</v>
      </c>
      <c r="CA46" s="6">
        <v>0</v>
      </c>
      <c r="CB46" s="6">
        <v>0</v>
      </c>
      <c r="CC46" s="6" t="s">
        <v>453</v>
      </c>
      <c r="CD46" s="6">
        <v>0</v>
      </c>
      <c r="CE46" s="6">
        <v>0</v>
      </c>
      <c r="CF46" s="6" t="s">
        <v>453</v>
      </c>
    </row>
    <row r="47" spans="1:84" ht="16" x14ac:dyDescent="0.2">
      <c r="A47" s="4">
        <v>45803</v>
      </c>
      <c r="B47" s="19">
        <v>25146</v>
      </c>
      <c r="C47" s="5" t="s">
        <v>23</v>
      </c>
      <c r="D47" s="5">
        <v>2</v>
      </c>
      <c r="E47" s="53" t="s">
        <v>1096</v>
      </c>
      <c r="F47" s="37">
        <v>-7.9</v>
      </c>
      <c r="G47" s="5" t="s">
        <v>2</v>
      </c>
      <c r="H47" s="5" t="s">
        <v>3</v>
      </c>
      <c r="I47" s="5">
        <v>0.4</v>
      </c>
      <c r="J47" s="5">
        <v>32</v>
      </c>
      <c r="K47" s="5">
        <v>8</v>
      </c>
      <c r="L47" s="5">
        <v>4.25</v>
      </c>
      <c r="M47" s="5"/>
      <c r="N47" s="15">
        <v>41.649602777799998</v>
      </c>
      <c r="O47" s="9" t="s">
        <v>831</v>
      </c>
      <c r="P47" s="6">
        <v>4.7442215000000003E-2</v>
      </c>
      <c r="Q47" s="6">
        <v>9.0265599999999994E-3</v>
      </c>
      <c r="R47" s="6">
        <v>556</v>
      </c>
      <c r="S47" s="6">
        <v>9.3715300000000003E-4</v>
      </c>
      <c r="T47" s="6">
        <v>2.8284271240000001</v>
      </c>
      <c r="U47" s="6">
        <v>9.6617379000000003E-2</v>
      </c>
      <c r="V47" s="6">
        <v>9.6996370000000005E-3</v>
      </c>
      <c r="W47" s="6">
        <v>5.3886899999999998E-4</v>
      </c>
      <c r="X47" s="6">
        <v>3.1639100000000001E-4</v>
      </c>
      <c r="Y47" s="6">
        <v>6.9254916E-2</v>
      </c>
      <c r="Z47" s="6">
        <v>1.3883075999999999E-2</v>
      </c>
      <c r="AA47" s="6">
        <v>4.3139366999999998E-2</v>
      </c>
      <c r="AB47" s="6">
        <v>8.0033310000000007E-3</v>
      </c>
      <c r="AC47" s="6">
        <v>2.9470659E-2</v>
      </c>
      <c r="AD47" s="6">
        <v>5.5828830000000003E-3</v>
      </c>
      <c r="AE47" s="6">
        <v>4.7442215000000003E-2</v>
      </c>
      <c r="AF47" s="6">
        <v>9.0265599999999994E-3</v>
      </c>
      <c r="AG47" s="6">
        <v>6.6691756910000004</v>
      </c>
      <c r="AH47" s="6">
        <v>0.62401956800000002</v>
      </c>
      <c r="AI47" s="6">
        <v>-10.094159011</v>
      </c>
      <c r="AJ47" s="6">
        <v>1.019024124</v>
      </c>
      <c r="AK47" s="6">
        <v>12.103645896</v>
      </c>
      <c r="AL47" s="6">
        <v>1.1398621769999999</v>
      </c>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row>
    <row r="48" spans="1:84" ht="16" x14ac:dyDescent="0.2">
      <c r="A48" s="4">
        <v>45803</v>
      </c>
      <c r="B48" s="19">
        <v>25146</v>
      </c>
      <c r="C48" s="5" t="s">
        <v>23</v>
      </c>
      <c r="D48" s="5">
        <v>3</v>
      </c>
      <c r="E48" s="53" t="s">
        <v>1097</v>
      </c>
      <c r="F48" s="37">
        <v>-24.8</v>
      </c>
      <c r="G48" s="5" t="s">
        <v>2</v>
      </c>
      <c r="H48" s="5" t="s">
        <v>3</v>
      </c>
      <c r="I48" s="5">
        <v>0.4</v>
      </c>
      <c r="J48" s="5">
        <v>32.700000000000003</v>
      </c>
      <c r="K48" s="5">
        <v>8</v>
      </c>
      <c r="L48" s="5">
        <v>4.75</v>
      </c>
      <c r="M48" s="5"/>
      <c r="N48" s="15">
        <v>41.649602777799998</v>
      </c>
      <c r="O48" s="9" t="s">
        <v>832</v>
      </c>
      <c r="P48" s="6">
        <v>9.4893342000000006E-2</v>
      </c>
      <c r="Q48" s="6">
        <v>1.8760308E-2</v>
      </c>
      <c r="R48" s="6">
        <v>733</v>
      </c>
      <c r="S48" s="6">
        <v>2.0192470000000001E-3</v>
      </c>
      <c r="T48" s="6">
        <v>3.9999999979999998</v>
      </c>
      <c r="U48" s="6">
        <v>0.117205264</v>
      </c>
      <c r="V48" s="6">
        <v>1.7228299999999998E-2</v>
      </c>
      <c r="W48" s="6">
        <v>9.5712800000000002E-4</v>
      </c>
      <c r="X48" s="6">
        <v>8.0175000000000005E-4</v>
      </c>
      <c r="Y48" s="6">
        <v>0.141117987</v>
      </c>
      <c r="Z48" s="6">
        <v>2.7938389000000001E-2</v>
      </c>
      <c r="AA48" s="6">
        <v>8.5769904999999994E-2</v>
      </c>
      <c r="AB48" s="6">
        <v>1.6866300000000001E-2</v>
      </c>
      <c r="AC48" s="6">
        <v>5.3310602999999998E-2</v>
      </c>
      <c r="AD48" s="6">
        <v>1.1407064999999999E-2</v>
      </c>
      <c r="AE48" s="6">
        <v>9.4893342000000006E-2</v>
      </c>
      <c r="AF48" s="6">
        <v>1.8760308E-2</v>
      </c>
      <c r="AG48" s="6">
        <v>7.0396994169999996</v>
      </c>
      <c r="AH48" s="6">
        <v>0.233292259</v>
      </c>
      <c r="AI48" s="6">
        <v>-11.879640825999999</v>
      </c>
      <c r="AJ48" s="6">
        <v>1.15456578</v>
      </c>
      <c r="AK48" s="6">
        <v>13.817021607999999</v>
      </c>
      <c r="AL48" s="6">
        <v>1.077165648</v>
      </c>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row>
    <row r="49" spans="1:84" ht="16" x14ac:dyDescent="0.2">
      <c r="A49" s="4">
        <v>45803</v>
      </c>
      <c r="B49" s="19">
        <v>25146</v>
      </c>
      <c r="C49" s="5" t="s">
        <v>23</v>
      </c>
      <c r="D49" s="25">
        <v>4</v>
      </c>
      <c r="E49" s="53" t="s">
        <v>1098</v>
      </c>
      <c r="F49" s="37">
        <v>-32.4</v>
      </c>
      <c r="G49" s="5" t="s">
        <v>2</v>
      </c>
      <c r="H49" s="5" t="s">
        <v>3</v>
      </c>
      <c r="I49" s="5">
        <v>0.55000000000000004</v>
      </c>
      <c r="J49" s="5">
        <v>34.200000000000003</v>
      </c>
      <c r="K49" s="5">
        <v>8.4</v>
      </c>
      <c r="L49" s="5">
        <v>4.3499999999999996</v>
      </c>
      <c r="M49" s="5"/>
      <c r="N49" s="15">
        <v>41.649602777799998</v>
      </c>
      <c r="O49" t="s">
        <v>478</v>
      </c>
      <c r="P49" s="6">
        <v>7.0156315999999996E-2</v>
      </c>
      <c r="Q49" s="6">
        <v>2.0338294999999999E-2</v>
      </c>
      <c r="R49" s="6">
        <v>663</v>
      </c>
      <c r="S49" s="6">
        <v>2.3567869999999999E-3</v>
      </c>
      <c r="T49" s="6">
        <v>2.8284271240000001</v>
      </c>
      <c r="U49" s="6">
        <v>0.14748978400000001</v>
      </c>
      <c r="V49" s="6">
        <v>1.5979321000000001E-2</v>
      </c>
      <c r="W49" s="6">
        <v>8.8774000000000004E-4</v>
      </c>
      <c r="X49" s="6">
        <v>9.0595699999999999E-4</v>
      </c>
      <c r="Y49" s="6">
        <v>0.103654937</v>
      </c>
      <c r="Z49" s="6">
        <v>3.0168624000000002E-2</v>
      </c>
      <c r="AA49" s="6">
        <v>6.1936789999999999E-2</v>
      </c>
      <c r="AB49" s="6">
        <v>1.7946568999999999E-2</v>
      </c>
      <c r="AC49" s="6">
        <v>4.7633846000000001E-2</v>
      </c>
      <c r="AD49" s="6">
        <v>1.3766396E-2</v>
      </c>
      <c r="AE49" s="6">
        <v>7.0156315999999996E-2</v>
      </c>
      <c r="AF49" s="6">
        <v>2.0338294999999999E-2</v>
      </c>
      <c r="AG49" s="6">
        <v>7.2062519509999996</v>
      </c>
      <c r="AH49" s="6">
        <v>0.52999768400000002</v>
      </c>
      <c r="AI49" s="6">
        <v>-8.4129070949999996</v>
      </c>
      <c r="AJ49" s="6">
        <v>0.46913998600000001</v>
      </c>
      <c r="AK49" s="6">
        <v>11.081558078</v>
      </c>
      <c r="AL49" s="6">
        <v>0.63795885299999999</v>
      </c>
      <c r="AM49" s="6" t="s">
        <v>499</v>
      </c>
      <c r="AN49" s="6">
        <v>1.1723776079999999</v>
      </c>
      <c r="AO49" s="6">
        <v>0.29309440199999998</v>
      </c>
      <c r="AP49" s="6">
        <v>3.1304347830000001</v>
      </c>
      <c r="AQ49" s="6">
        <v>0.52173913000000005</v>
      </c>
      <c r="AR49" s="6">
        <v>0.35302904800000001</v>
      </c>
      <c r="AS49" s="6">
        <v>0.254656628</v>
      </c>
      <c r="AT49" s="6">
        <v>1.2366848690000001</v>
      </c>
      <c r="AU49" s="6">
        <v>0.89207956399999999</v>
      </c>
      <c r="AV49" s="6">
        <v>0.40741676599999999</v>
      </c>
      <c r="AW49" s="6">
        <v>0.57336809600000005</v>
      </c>
      <c r="AX49" s="6">
        <v>1.0480349E-2</v>
      </c>
      <c r="AY49" s="6">
        <v>94.416666667000001</v>
      </c>
      <c r="AZ49" s="6">
        <v>549</v>
      </c>
      <c r="BA49" s="6">
        <v>53.090909091</v>
      </c>
      <c r="BB49" s="6">
        <v>0.91182243699999999</v>
      </c>
      <c r="BC49" s="6">
        <v>3.9277310000000003E-2</v>
      </c>
      <c r="BD49" s="6">
        <v>9.3348560000000008E-3</v>
      </c>
      <c r="BE49" s="6">
        <v>0.23766535899999999</v>
      </c>
      <c r="BF49" s="6">
        <v>0.35279473500000003</v>
      </c>
      <c r="BG49" s="6">
        <v>4.1526276000000001E-2</v>
      </c>
      <c r="BH49" s="6">
        <v>0.117706622</v>
      </c>
      <c r="BI49" s="6">
        <v>9.7499646819999999</v>
      </c>
      <c r="BJ49" s="6">
        <v>1.088886376</v>
      </c>
      <c r="BK49" s="6">
        <v>0.111681058</v>
      </c>
      <c r="BL49" s="6">
        <v>6.3096625980000001</v>
      </c>
      <c r="BM49" s="6">
        <v>3.0036728739999998</v>
      </c>
      <c r="BN49" s="6">
        <v>0.47604334300000001</v>
      </c>
      <c r="BO49" s="6">
        <v>2.5061868129999998</v>
      </c>
      <c r="BP49" s="6">
        <v>1.7794175759999999</v>
      </c>
      <c r="BQ49" s="6">
        <v>0.71000995099999997</v>
      </c>
      <c r="BR49" s="6">
        <v>0.27788574100000002</v>
      </c>
      <c r="BS49" s="6">
        <v>0.14253019</v>
      </c>
      <c r="BT49" s="6">
        <v>0.51290933299999997</v>
      </c>
      <c r="BU49" s="6">
        <v>9.9552583E-2</v>
      </c>
      <c r="BV49" s="6">
        <v>8.5408937000000004E-2</v>
      </c>
      <c r="BW49" s="6">
        <v>0.85792788900000005</v>
      </c>
      <c r="BX49" s="6">
        <v>9.5530803999999997E-2</v>
      </c>
      <c r="BY49" s="6">
        <v>7.7164854000000005E-2</v>
      </c>
      <c r="BZ49" s="6">
        <v>0.807748401</v>
      </c>
      <c r="CA49" s="6">
        <v>5.811900692</v>
      </c>
      <c r="CB49" s="6">
        <v>3.1299962020000001</v>
      </c>
      <c r="CC49" s="6">
        <v>0.53854949799999996</v>
      </c>
      <c r="CD49" s="6">
        <v>1.729472229</v>
      </c>
      <c r="CE49" s="6">
        <v>1.3315685230000001</v>
      </c>
      <c r="CF49" s="6">
        <v>0.76992766999999995</v>
      </c>
    </row>
    <row r="50" spans="1:84" ht="16" x14ac:dyDescent="0.2">
      <c r="A50" s="4">
        <v>45803</v>
      </c>
      <c r="B50" s="19">
        <v>25146</v>
      </c>
      <c r="C50" s="5" t="s">
        <v>23</v>
      </c>
      <c r="D50" s="25">
        <v>5</v>
      </c>
      <c r="E50" s="53" t="s">
        <v>1099</v>
      </c>
      <c r="F50" s="37">
        <v>5.8</v>
      </c>
      <c r="G50" s="5" t="s">
        <v>2</v>
      </c>
      <c r="H50" s="5" t="s">
        <v>5</v>
      </c>
      <c r="I50" s="5">
        <v>0.4</v>
      </c>
      <c r="J50" s="5">
        <v>31.5</v>
      </c>
      <c r="K50" s="5">
        <v>7.6</v>
      </c>
      <c r="L50" s="5">
        <v>4.0999999999999996</v>
      </c>
      <c r="M50" s="5"/>
      <c r="N50" s="15">
        <v>41.649602777799998</v>
      </c>
      <c r="O50" t="s">
        <v>479</v>
      </c>
      <c r="P50" s="6">
        <v>7.5883184000000006E-2</v>
      </c>
      <c r="Q50" s="6">
        <v>8.7434439999999995E-3</v>
      </c>
      <c r="R50" s="6">
        <v>584</v>
      </c>
      <c r="S50" s="6">
        <v>1.0370970000000001E-3</v>
      </c>
      <c r="T50" s="6">
        <v>5.6568542449999999</v>
      </c>
      <c r="U50" s="6">
        <v>0.12973536499999999</v>
      </c>
      <c r="V50" s="6">
        <v>7.9939399999999997E-3</v>
      </c>
      <c r="W50" s="6">
        <v>4.4410800000000002E-4</v>
      </c>
      <c r="X50" s="6">
        <v>4.2273000000000001E-4</v>
      </c>
      <c r="Y50" s="6">
        <v>0.104962848</v>
      </c>
      <c r="Z50" s="6">
        <v>1.2076058000000001E-2</v>
      </c>
      <c r="AA50" s="6">
        <v>7.0247832999999996E-2</v>
      </c>
      <c r="AB50" s="6">
        <v>8.1295940000000004E-3</v>
      </c>
      <c r="AC50" s="6">
        <v>5.2232117000000002E-2</v>
      </c>
      <c r="AD50" s="6">
        <v>6.324054E-3</v>
      </c>
      <c r="AE50" s="6">
        <v>7.5883184000000006E-2</v>
      </c>
      <c r="AF50" s="6">
        <v>8.7434439999999995E-3</v>
      </c>
      <c r="AG50" s="6">
        <v>5.6813586300000001</v>
      </c>
      <c r="AH50" s="6">
        <v>0.30409335599999998</v>
      </c>
      <c r="AI50" s="6">
        <v>-8.1312594760000003</v>
      </c>
      <c r="AJ50" s="6">
        <v>0.41260395900000002</v>
      </c>
      <c r="AK50" s="6">
        <v>9.9219997289999995</v>
      </c>
      <c r="AL50" s="6">
        <v>0.46017967300000001</v>
      </c>
      <c r="AM50" s="6" t="s">
        <v>500</v>
      </c>
      <c r="AN50" s="6">
        <v>1</v>
      </c>
      <c r="AO50" s="6">
        <v>1</v>
      </c>
      <c r="AP50" s="6" t="s">
        <v>452</v>
      </c>
      <c r="AQ50" s="6" t="s">
        <v>453</v>
      </c>
      <c r="AR50" s="6">
        <v>0</v>
      </c>
      <c r="AS50" s="6" t="s">
        <v>453</v>
      </c>
      <c r="AT50" s="6">
        <v>0</v>
      </c>
      <c r="AU50" s="6" t="s">
        <v>453</v>
      </c>
      <c r="AV50" s="6" t="s">
        <v>452</v>
      </c>
      <c r="AW50" s="6" t="s">
        <v>453</v>
      </c>
      <c r="AX50" s="6">
        <v>0</v>
      </c>
      <c r="AY50" s="6" t="s">
        <v>452</v>
      </c>
      <c r="AZ50" s="6" t="s">
        <v>452</v>
      </c>
      <c r="BA50" s="6" t="s">
        <v>452</v>
      </c>
      <c r="BB50" s="6" t="s">
        <v>453</v>
      </c>
      <c r="BC50" s="6">
        <v>1.5501627E-2</v>
      </c>
      <c r="BD50" s="6" t="s">
        <v>453</v>
      </c>
      <c r="BE50" s="6" t="s">
        <v>453</v>
      </c>
      <c r="BF50" s="6">
        <v>0.37975736100000002</v>
      </c>
      <c r="BG50" s="6" t="s">
        <v>453</v>
      </c>
      <c r="BH50" s="6" t="s">
        <v>453</v>
      </c>
      <c r="BI50" s="6">
        <v>10.554974562</v>
      </c>
      <c r="BJ50" s="6" t="s">
        <v>453</v>
      </c>
      <c r="BK50" s="6" t="s">
        <v>453</v>
      </c>
      <c r="BL50" s="6" t="s">
        <v>453</v>
      </c>
      <c r="BM50" s="6" t="s">
        <v>453</v>
      </c>
      <c r="BN50" s="6" t="s">
        <v>453</v>
      </c>
      <c r="BO50" s="6" t="s">
        <v>453</v>
      </c>
      <c r="BP50" s="6" t="s">
        <v>453</v>
      </c>
      <c r="BQ50" s="6" t="s">
        <v>453</v>
      </c>
      <c r="BR50" s="6">
        <v>0</v>
      </c>
      <c r="BS50" s="6">
        <v>0</v>
      </c>
      <c r="BT50" s="6" t="s">
        <v>453</v>
      </c>
      <c r="BU50" s="6">
        <v>0</v>
      </c>
      <c r="BV50" s="6">
        <v>0</v>
      </c>
      <c r="BW50" s="6" t="s">
        <v>453</v>
      </c>
      <c r="BX50" s="6">
        <v>0</v>
      </c>
      <c r="BY50" s="6">
        <v>0</v>
      </c>
      <c r="BZ50" s="6" t="s">
        <v>453</v>
      </c>
      <c r="CA50" s="6">
        <v>0</v>
      </c>
      <c r="CB50" s="6">
        <v>0</v>
      </c>
      <c r="CC50" s="6" t="s">
        <v>453</v>
      </c>
      <c r="CD50" s="6">
        <v>0</v>
      </c>
      <c r="CE50" s="6">
        <v>0</v>
      </c>
      <c r="CF50" s="6" t="s">
        <v>453</v>
      </c>
    </row>
    <row r="51" spans="1:84" ht="16" x14ac:dyDescent="0.2">
      <c r="A51" s="4">
        <v>45804</v>
      </c>
      <c r="B51" s="19">
        <v>25147</v>
      </c>
      <c r="C51" s="5" t="s">
        <v>24</v>
      </c>
      <c r="D51" s="5">
        <v>1</v>
      </c>
      <c r="E51" s="53" t="s">
        <v>1100</v>
      </c>
      <c r="F51" s="37">
        <v>25.4</v>
      </c>
      <c r="G51" s="5" t="s">
        <v>2</v>
      </c>
      <c r="H51" s="5" t="s">
        <v>5</v>
      </c>
      <c r="I51" s="5">
        <v>0.9</v>
      </c>
      <c r="J51" s="5">
        <v>37.35</v>
      </c>
      <c r="K51" s="5">
        <v>9.35</v>
      </c>
      <c r="L51" s="5">
        <v>4.7</v>
      </c>
      <c r="M51" s="5"/>
      <c r="N51" s="15">
        <v>41.792608333300002</v>
      </c>
      <c r="O51" s="9" t="s">
        <v>833</v>
      </c>
      <c r="P51" s="6">
        <v>7.0928996999999994E-2</v>
      </c>
      <c r="Q51" s="6">
        <v>3.0302727000000002E-2</v>
      </c>
      <c r="R51" s="6">
        <v>596</v>
      </c>
      <c r="S51" s="6">
        <v>3.1181569999999999E-3</v>
      </c>
      <c r="T51" s="6">
        <v>2</v>
      </c>
      <c r="U51" s="6">
        <v>0.13737914600000001</v>
      </c>
      <c r="V51" s="6">
        <v>2.2697456000000001E-2</v>
      </c>
      <c r="W51" s="6">
        <v>1.2609699999999999E-3</v>
      </c>
      <c r="X51" s="6">
        <v>1.121826E-3</v>
      </c>
      <c r="Y51" s="6">
        <v>9.7100715000000004E-2</v>
      </c>
      <c r="Z51" s="6">
        <v>4.1391395999999997E-2</v>
      </c>
      <c r="AA51" s="6">
        <v>6.5621819999999997E-2</v>
      </c>
      <c r="AB51" s="6">
        <v>2.805794E-2</v>
      </c>
      <c r="AC51" s="6">
        <v>5.0726554E-2</v>
      </c>
      <c r="AD51" s="6">
        <v>2.1743627000000001E-2</v>
      </c>
      <c r="AE51" s="6">
        <v>7.0928996999999994E-2</v>
      </c>
      <c r="AF51" s="6">
        <v>3.0302727000000002E-2</v>
      </c>
      <c r="AG51" s="6">
        <v>5.6476724029999996</v>
      </c>
      <c r="AH51" s="6">
        <v>0.46187252299999998</v>
      </c>
      <c r="AI51" s="6">
        <v>-7.5893293870000003</v>
      </c>
      <c r="AJ51" s="6">
        <v>0.55855718799999998</v>
      </c>
      <c r="AK51" s="6">
        <v>9.4630732979999994</v>
      </c>
      <c r="AL51" s="6">
        <v>0.68526377100000002</v>
      </c>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row>
    <row r="52" spans="1:84" ht="16" x14ac:dyDescent="0.2">
      <c r="A52" s="4">
        <v>45804</v>
      </c>
      <c r="B52" s="19">
        <v>25147</v>
      </c>
      <c r="C52" s="5" t="s">
        <v>24</v>
      </c>
      <c r="D52" s="5">
        <v>2</v>
      </c>
      <c r="E52" s="53" t="s">
        <v>1101</v>
      </c>
      <c r="F52" s="37">
        <v>14.9</v>
      </c>
      <c r="G52" s="5" t="s">
        <v>2</v>
      </c>
      <c r="H52" s="5" t="s">
        <v>5</v>
      </c>
      <c r="I52" s="5">
        <v>0.6</v>
      </c>
      <c r="J52" s="5">
        <v>33.9</v>
      </c>
      <c r="K52" s="5">
        <v>8.6</v>
      </c>
      <c r="L52" s="5">
        <v>4.3</v>
      </c>
      <c r="M52" s="5"/>
      <c r="N52" s="15">
        <v>41.792608333300002</v>
      </c>
      <c r="O52" t="s">
        <v>480</v>
      </c>
      <c r="P52" s="6">
        <v>4.5056006000000003E-2</v>
      </c>
      <c r="Q52" s="6">
        <v>1.3547906E-2</v>
      </c>
      <c r="R52" s="6">
        <v>581</v>
      </c>
      <c r="S52" s="6">
        <v>1.3902299999999999E-3</v>
      </c>
      <c r="T52" s="6">
        <v>3.9999999979999998</v>
      </c>
      <c r="U52" s="6">
        <v>0.11338594</v>
      </c>
      <c r="V52" s="6">
        <v>1.2261044E-2</v>
      </c>
      <c r="W52" s="6">
        <v>6.8116900000000002E-4</v>
      </c>
      <c r="X52" s="6">
        <v>5.1200300000000002E-4</v>
      </c>
      <c r="Y52" s="6">
        <v>6.0549192000000002E-2</v>
      </c>
      <c r="Z52" s="6">
        <v>1.8161638000000001E-2</v>
      </c>
      <c r="AA52" s="6">
        <v>4.2030155E-2</v>
      </c>
      <c r="AB52" s="6">
        <v>1.2777479E-2</v>
      </c>
      <c r="AC52" s="6">
        <v>3.5320995000000001E-2</v>
      </c>
      <c r="AD52" s="6">
        <v>1.0474156E-2</v>
      </c>
      <c r="AE52" s="6">
        <v>4.5056006000000003E-2</v>
      </c>
      <c r="AF52" s="6">
        <v>1.3547906E-2</v>
      </c>
      <c r="AG52" s="6">
        <v>5.162643525</v>
      </c>
      <c r="AH52" s="6">
        <v>0.42230836599999999</v>
      </c>
      <c r="AI52" s="6">
        <v>-5.7616112499999996</v>
      </c>
      <c r="AJ52" s="6">
        <v>0.36583148700000001</v>
      </c>
      <c r="AK52" s="6">
        <v>7.7425496389999999</v>
      </c>
      <c r="AL52" s="6">
        <v>0.46258524000000001</v>
      </c>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row>
    <row r="53" spans="1:84" ht="16" x14ac:dyDescent="0.2">
      <c r="A53" s="4">
        <v>45804</v>
      </c>
      <c r="B53" s="19">
        <v>25147</v>
      </c>
      <c r="C53" s="5" t="s">
        <v>24</v>
      </c>
      <c r="D53" s="5">
        <v>3</v>
      </c>
      <c r="E53" s="53" t="s">
        <v>1102</v>
      </c>
      <c r="F53" s="37">
        <v>23.1</v>
      </c>
      <c r="G53" s="5" t="s">
        <v>2</v>
      </c>
      <c r="H53" s="5" t="s">
        <v>6</v>
      </c>
      <c r="I53" s="5">
        <v>0.7</v>
      </c>
      <c r="J53" s="5">
        <v>33.6</v>
      </c>
      <c r="K53" s="5">
        <v>9</v>
      </c>
      <c r="L53" s="5">
        <v>4.7</v>
      </c>
      <c r="M53" s="5"/>
      <c r="N53" s="15">
        <v>41.792608333300002</v>
      </c>
      <c r="O53" s="9" t="s">
        <v>481</v>
      </c>
      <c r="P53" s="6">
        <v>6.3995738999999996E-2</v>
      </c>
      <c r="Q53" s="6">
        <v>2.9614973999999999E-2</v>
      </c>
      <c r="R53" s="6">
        <v>558</v>
      </c>
      <c r="S53" s="6">
        <v>3.0409310000000002E-3</v>
      </c>
      <c r="T53" s="6">
        <v>5.6568542449999999</v>
      </c>
      <c r="U53" s="6">
        <v>0.121891202</v>
      </c>
      <c r="V53" s="6">
        <v>2.4947912999999999E-2</v>
      </c>
      <c r="W53" s="6">
        <v>1.3859949999999999E-3</v>
      </c>
      <c r="X53" s="6">
        <v>1.204618E-3</v>
      </c>
      <c r="Y53" s="6">
        <v>0.100800116</v>
      </c>
      <c r="Z53" s="6">
        <v>4.7194716999999997E-2</v>
      </c>
      <c r="AA53" s="6">
        <v>5.4565262000000003E-2</v>
      </c>
      <c r="AB53" s="6">
        <v>2.5084962999999998E-2</v>
      </c>
      <c r="AC53" s="6">
        <v>3.8441805000000003E-2</v>
      </c>
      <c r="AD53" s="6">
        <v>1.8094286000000001E-2</v>
      </c>
      <c r="AE53" s="6">
        <v>6.3995738999999996E-2</v>
      </c>
      <c r="AF53" s="6">
        <v>2.9614973999999999E-2</v>
      </c>
      <c r="AG53" s="6">
        <v>8.6412949720000007</v>
      </c>
      <c r="AH53" s="6">
        <v>0.57604887599999999</v>
      </c>
      <c r="AI53" s="6">
        <v>-10.774543007</v>
      </c>
      <c r="AJ53" s="6">
        <v>1.2396518670000001</v>
      </c>
      <c r="AK53" s="6">
        <v>13.821720993</v>
      </c>
      <c r="AL53" s="6">
        <v>1.2612913560000001</v>
      </c>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row>
    <row r="54" spans="1:84" ht="16" x14ac:dyDescent="0.2">
      <c r="A54" s="4">
        <v>45804</v>
      </c>
      <c r="B54" s="19">
        <v>25147</v>
      </c>
      <c r="C54" s="5" t="s">
        <v>24</v>
      </c>
      <c r="D54" s="25">
        <v>4</v>
      </c>
      <c r="E54" s="53" t="s">
        <v>1103</v>
      </c>
      <c r="F54" s="37">
        <v>-9.1999999999999993</v>
      </c>
      <c r="G54" s="5" t="s">
        <v>2</v>
      </c>
      <c r="H54" s="5" t="s">
        <v>6</v>
      </c>
      <c r="I54" s="5">
        <v>0.2</v>
      </c>
      <c r="J54" s="5">
        <v>20.399999999999999</v>
      </c>
      <c r="K54" s="5" t="s">
        <v>8</v>
      </c>
      <c r="L54" s="5" t="s">
        <v>8</v>
      </c>
      <c r="M54" s="5"/>
      <c r="N54" s="15">
        <v>41.792608333300002</v>
      </c>
      <c r="O54" t="s">
        <v>482</v>
      </c>
      <c r="P54" s="6">
        <v>5.2703488E-2</v>
      </c>
      <c r="Q54" s="6">
        <v>2.0137670999999999E-2</v>
      </c>
      <c r="R54" s="6">
        <v>246</v>
      </c>
      <c r="S54" s="6">
        <v>2.6607039999999998E-3</v>
      </c>
      <c r="T54" s="6">
        <v>22.627416956000001</v>
      </c>
      <c r="U54" s="6">
        <v>0.13512158499999999</v>
      </c>
      <c r="V54" s="6">
        <v>1.9691183000000001E-2</v>
      </c>
      <c r="W54" s="6">
        <v>1.093955E-3</v>
      </c>
      <c r="X54" s="6">
        <v>9.1277600000000002E-4</v>
      </c>
      <c r="Y54" s="6">
        <v>8.1140150999999994E-2</v>
      </c>
      <c r="Z54" s="6">
        <v>3.1385996999999999E-2</v>
      </c>
      <c r="AA54" s="6">
        <v>4.7100834000000001E-2</v>
      </c>
      <c r="AB54" s="6">
        <v>1.8026480000000001E-2</v>
      </c>
      <c r="AC54" s="6">
        <v>2.6571146E-2</v>
      </c>
      <c r="AD54" s="6">
        <v>9.4125919999999991E-3</v>
      </c>
      <c r="AE54" s="6">
        <v>5.2703488E-2</v>
      </c>
      <c r="AF54" s="6">
        <v>2.0137670999999999E-2</v>
      </c>
      <c r="AG54" s="6">
        <v>7.6719075019999998</v>
      </c>
      <c r="AH54" s="6">
        <v>0.136726334</v>
      </c>
      <c r="AI54" s="6">
        <v>-13.506334057</v>
      </c>
      <c r="AJ54" s="6">
        <v>0.89941241999999999</v>
      </c>
      <c r="AK54" s="6">
        <v>15.539688610000001</v>
      </c>
      <c r="AL54" s="6">
        <v>0.79000873500000002</v>
      </c>
      <c r="AM54" s="6" t="s">
        <v>501</v>
      </c>
      <c r="AN54" s="6">
        <v>1.9277080799999999</v>
      </c>
      <c r="AO54" s="6">
        <v>0.64256935999999998</v>
      </c>
      <c r="AP54" s="6">
        <v>1.724137931</v>
      </c>
      <c r="AQ54" s="6">
        <v>0.57471264399999999</v>
      </c>
      <c r="AR54" s="6">
        <v>0.81960914399999996</v>
      </c>
      <c r="AS54" s="6">
        <v>0.746040394</v>
      </c>
      <c r="AT54" s="6">
        <v>0.61086430199999997</v>
      </c>
      <c r="AU54" s="6">
        <v>0.88129089900000002</v>
      </c>
      <c r="AV54" s="6">
        <v>0.60864100200000004</v>
      </c>
      <c r="AW54" s="6">
        <v>0.81366564699999999</v>
      </c>
      <c r="AX54" s="6">
        <v>2.3809523999999999E-2</v>
      </c>
      <c r="AY54" s="6">
        <v>41</v>
      </c>
      <c r="AZ54" s="6" t="s">
        <v>452</v>
      </c>
      <c r="BA54" s="6">
        <v>22.7</v>
      </c>
      <c r="BB54" s="6" t="s">
        <v>453</v>
      </c>
      <c r="BC54" s="6">
        <v>4.5321896E-2</v>
      </c>
      <c r="BD54" s="6">
        <v>1.4429381E-2</v>
      </c>
      <c r="BE54" s="6">
        <v>0.31837549599999998</v>
      </c>
      <c r="BF54" s="6">
        <v>0.30937640700000002</v>
      </c>
      <c r="BG54" s="6">
        <v>5.2941769999999999E-2</v>
      </c>
      <c r="BH54" s="6">
        <v>0.17112413500000001</v>
      </c>
      <c r="BI54" s="6">
        <v>8.5735483020000007</v>
      </c>
      <c r="BJ54" s="6">
        <v>1.4495680980000001</v>
      </c>
      <c r="BK54" s="6">
        <v>0.16907446600000001</v>
      </c>
      <c r="BL54" s="6">
        <v>7.6587837270000003</v>
      </c>
      <c r="BM54" s="6">
        <v>4.9874797930000003</v>
      </c>
      <c r="BN54" s="6">
        <v>0.65121042299999998</v>
      </c>
      <c r="BO54" s="6">
        <v>2.3411690809999999</v>
      </c>
      <c r="BP54" s="6">
        <v>1.004524559</v>
      </c>
      <c r="BQ54" s="6">
        <v>0.42906963300000001</v>
      </c>
      <c r="BR54" s="6">
        <v>0.242896485</v>
      </c>
      <c r="BS54" s="6">
        <v>0.16062538300000001</v>
      </c>
      <c r="BT54" s="6">
        <v>0.66129150999999997</v>
      </c>
      <c r="BU54" s="6">
        <v>0.100024898</v>
      </c>
      <c r="BV54" s="6">
        <v>7.1495138E-2</v>
      </c>
      <c r="BW54" s="6">
        <v>0.71477341999999999</v>
      </c>
      <c r="BX54" s="6">
        <v>9.9084322000000002E-2</v>
      </c>
      <c r="BY54" s="6">
        <v>6.7283243000000006E-2</v>
      </c>
      <c r="BZ54" s="6">
        <v>0.67905034500000006</v>
      </c>
      <c r="CA54" s="6">
        <v>5.0422239209999997</v>
      </c>
      <c r="CB54" s="6">
        <v>3.540479543</v>
      </c>
      <c r="CC54" s="6">
        <v>0.70216626599999998</v>
      </c>
      <c r="CD54" s="6">
        <v>1.8936505509999999</v>
      </c>
      <c r="CE54" s="6">
        <v>1.238538366</v>
      </c>
      <c r="CF54" s="6">
        <v>0.65404800500000004</v>
      </c>
    </row>
    <row r="55" spans="1:84" ht="16" x14ac:dyDescent="0.2">
      <c r="A55" s="4">
        <v>45804</v>
      </c>
      <c r="B55" s="19">
        <v>25147</v>
      </c>
      <c r="C55" s="5" t="s">
        <v>24</v>
      </c>
      <c r="D55" s="25">
        <v>5</v>
      </c>
      <c r="E55" s="53" t="s">
        <v>1104</v>
      </c>
      <c r="F55" s="37">
        <v>33.6</v>
      </c>
      <c r="G55" s="5" t="s">
        <v>2</v>
      </c>
      <c r="H55" s="5" t="s">
        <v>3</v>
      </c>
      <c r="I55" s="5">
        <v>0.5</v>
      </c>
      <c r="J55" s="5">
        <v>31.8</v>
      </c>
      <c r="K55" s="5">
        <v>8.4499999999999993</v>
      </c>
      <c r="L55" s="5">
        <v>4.55</v>
      </c>
      <c r="M55" s="5"/>
      <c r="N55" s="15">
        <v>41.792608333300002</v>
      </c>
      <c r="O55" t="s">
        <v>483</v>
      </c>
      <c r="P55" s="6">
        <v>6.3850132000000004E-2</v>
      </c>
      <c r="Q55" s="6">
        <v>1.31282E-2</v>
      </c>
      <c r="R55" s="6">
        <v>581</v>
      </c>
      <c r="S55" s="6">
        <v>1.536845E-3</v>
      </c>
      <c r="T55" s="6">
        <v>3.9999999979999998</v>
      </c>
      <c r="U55" s="6">
        <v>0.129220434</v>
      </c>
      <c r="V55" s="6">
        <v>1.1893201000000001E-2</v>
      </c>
      <c r="W55" s="6">
        <v>6.6073300000000005E-4</v>
      </c>
      <c r="X55" s="6">
        <v>5.5933600000000001E-4</v>
      </c>
      <c r="Y55" s="6">
        <v>9.0830070999999998E-2</v>
      </c>
      <c r="Z55" s="6">
        <v>1.8692820999999998E-2</v>
      </c>
      <c r="AA55" s="6">
        <v>5.784247E-2</v>
      </c>
      <c r="AB55" s="6">
        <v>1.1876278000000001E-2</v>
      </c>
      <c r="AC55" s="6">
        <v>4.4557736000000001E-2</v>
      </c>
      <c r="AD55" s="6">
        <v>9.4079460000000004E-3</v>
      </c>
      <c r="AE55" s="6">
        <v>6.3850132000000004E-2</v>
      </c>
      <c r="AF55" s="6">
        <v>1.31282E-2</v>
      </c>
      <c r="AG55" s="6">
        <v>6.3734633269999996</v>
      </c>
      <c r="AH55" s="6">
        <v>0.342354669</v>
      </c>
      <c r="AI55" s="6">
        <v>-7.9644143170000001</v>
      </c>
      <c r="AJ55" s="6">
        <v>0.64669799100000003</v>
      </c>
      <c r="AK55" s="6">
        <v>10.202575016000001</v>
      </c>
      <c r="AL55" s="6">
        <v>0.70409534900000004</v>
      </c>
      <c r="AM55" s="6" t="s">
        <v>502</v>
      </c>
      <c r="AN55" s="6">
        <v>1</v>
      </c>
      <c r="AO55" s="6">
        <v>1</v>
      </c>
      <c r="AP55" s="6" t="s">
        <v>452</v>
      </c>
      <c r="AQ55" s="6" t="s">
        <v>453</v>
      </c>
      <c r="AR55" s="6">
        <v>0</v>
      </c>
      <c r="AS55" s="6" t="s">
        <v>453</v>
      </c>
      <c r="AT55" s="6">
        <v>0</v>
      </c>
      <c r="AU55" s="6" t="s">
        <v>453</v>
      </c>
      <c r="AV55" s="6" t="s">
        <v>452</v>
      </c>
      <c r="AW55" s="6" t="s">
        <v>453</v>
      </c>
      <c r="AX55" s="6">
        <v>0</v>
      </c>
      <c r="AY55" s="6" t="s">
        <v>452</v>
      </c>
      <c r="AZ55" s="6" t="s">
        <v>452</v>
      </c>
      <c r="BA55" s="6" t="s">
        <v>452</v>
      </c>
      <c r="BB55" s="6" t="s">
        <v>453</v>
      </c>
      <c r="BC55" s="6">
        <v>1.5501627E-2</v>
      </c>
      <c r="BD55" s="6" t="s">
        <v>453</v>
      </c>
      <c r="BE55" s="6" t="s">
        <v>453</v>
      </c>
      <c r="BF55" s="6">
        <v>0.37975736100000002</v>
      </c>
      <c r="BG55" s="6" t="s">
        <v>453</v>
      </c>
      <c r="BH55" s="6" t="s">
        <v>453</v>
      </c>
      <c r="BI55" s="6">
        <v>10.554974562</v>
      </c>
      <c r="BJ55" s="6" t="s">
        <v>453</v>
      </c>
      <c r="BK55" s="6" t="s">
        <v>453</v>
      </c>
      <c r="BL55" s="6" t="s">
        <v>453</v>
      </c>
      <c r="BM55" s="6" t="s">
        <v>453</v>
      </c>
      <c r="BN55" s="6" t="s">
        <v>453</v>
      </c>
      <c r="BO55" s="6" t="s">
        <v>453</v>
      </c>
      <c r="BP55" s="6" t="s">
        <v>453</v>
      </c>
      <c r="BQ55" s="6" t="s">
        <v>453</v>
      </c>
      <c r="BR55" s="6">
        <v>0</v>
      </c>
      <c r="BS55" s="6">
        <v>0</v>
      </c>
      <c r="BT55" s="6" t="s">
        <v>453</v>
      </c>
      <c r="BU55" s="6">
        <v>0</v>
      </c>
      <c r="BV55" s="6">
        <v>0</v>
      </c>
      <c r="BW55" s="6" t="s">
        <v>453</v>
      </c>
      <c r="BX55" s="6">
        <v>0</v>
      </c>
      <c r="BY55" s="6">
        <v>0</v>
      </c>
      <c r="BZ55" s="6" t="s">
        <v>453</v>
      </c>
      <c r="CA55" s="6">
        <v>0</v>
      </c>
      <c r="CB55" s="6">
        <v>0</v>
      </c>
      <c r="CC55" s="6" t="s">
        <v>453</v>
      </c>
      <c r="CD55" s="6">
        <v>0</v>
      </c>
      <c r="CE55" s="6">
        <v>0</v>
      </c>
      <c r="CF55" s="6" t="s">
        <v>453</v>
      </c>
    </row>
    <row r="56" spans="1:84" ht="16" x14ac:dyDescent="0.2">
      <c r="A56" s="4">
        <v>45810</v>
      </c>
      <c r="B56" s="19">
        <v>25153</v>
      </c>
      <c r="C56" s="5" t="s">
        <v>27</v>
      </c>
      <c r="D56" s="5">
        <v>1</v>
      </c>
      <c r="E56" s="53" t="s">
        <v>1105</v>
      </c>
      <c r="F56" s="37">
        <v>-34.6</v>
      </c>
      <c r="G56" s="5" t="s">
        <v>2</v>
      </c>
      <c r="H56" s="5" t="s">
        <v>3</v>
      </c>
      <c r="I56" s="5">
        <v>1.1000000000000001</v>
      </c>
      <c r="J56" s="5">
        <v>40</v>
      </c>
      <c r="K56" s="5">
        <v>8.65</v>
      </c>
      <c r="L56" s="5">
        <v>5</v>
      </c>
      <c r="M56" s="5"/>
      <c r="N56" s="15">
        <v>42.397902777799999</v>
      </c>
      <c r="O56" t="s">
        <v>835</v>
      </c>
      <c r="P56" s="6">
        <v>7.8075315000000006E-2</v>
      </c>
      <c r="Q56" s="6">
        <v>7.872637E-3</v>
      </c>
      <c r="R56" s="6">
        <v>1011</v>
      </c>
      <c r="S56" s="6">
        <v>1.0235909999999999E-3</v>
      </c>
      <c r="T56" s="6">
        <v>5.6568542449999999</v>
      </c>
      <c r="U56" s="6">
        <v>0.13297608599999999</v>
      </c>
      <c r="V56" s="6">
        <v>7.6975530000000002E-3</v>
      </c>
      <c r="W56" s="6">
        <v>4.27642E-4</v>
      </c>
      <c r="X56" s="6">
        <v>3.6184500000000002E-4</v>
      </c>
      <c r="Y56" s="6">
        <v>0.117696888</v>
      </c>
      <c r="Z56" s="6">
        <v>1.4724476E-2</v>
      </c>
      <c r="AA56" s="6">
        <v>6.8414074000000005E-2</v>
      </c>
      <c r="AB56" s="6">
        <v>6.2346470000000003E-3</v>
      </c>
      <c r="AC56" s="6">
        <v>5.0720667999999997E-2</v>
      </c>
      <c r="AD56" s="6">
        <v>4.4908739999999997E-3</v>
      </c>
      <c r="AE56" s="6">
        <v>7.8075315000000006E-2</v>
      </c>
      <c r="AF56" s="6">
        <v>7.872637E-3</v>
      </c>
      <c r="AG56" s="6">
        <v>7.6199761989999999</v>
      </c>
      <c r="AH56" s="6">
        <v>0.94589619599999997</v>
      </c>
      <c r="AI56" s="6">
        <v>-9.2819217540000007</v>
      </c>
      <c r="AJ56" s="6">
        <v>0.65089232900000005</v>
      </c>
      <c r="AK56" s="6">
        <v>12.016445032</v>
      </c>
      <c r="AL56" s="6">
        <v>1.0683458990000001</v>
      </c>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row>
    <row r="57" spans="1:84" ht="16" x14ac:dyDescent="0.2">
      <c r="A57" s="4">
        <v>45811</v>
      </c>
      <c r="B57" s="19">
        <v>25154</v>
      </c>
      <c r="C57" s="37" t="s">
        <v>49</v>
      </c>
      <c r="D57" s="26">
        <v>1</v>
      </c>
      <c r="E57" s="53" t="s">
        <v>1106</v>
      </c>
      <c r="F57" s="37"/>
      <c r="G57" s="37" t="s">
        <v>2</v>
      </c>
      <c r="H57" s="5" t="s">
        <v>3</v>
      </c>
      <c r="I57" s="5">
        <v>0.65</v>
      </c>
      <c r="J57" s="5">
        <v>32.6</v>
      </c>
      <c r="K57" s="5">
        <v>8.15</v>
      </c>
      <c r="L57" s="5">
        <v>4.0999999999999996</v>
      </c>
      <c r="M57" s="5"/>
      <c r="N57" s="15"/>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row>
    <row r="58" spans="1:84" ht="16" x14ac:dyDescent="0.2">
      <c r="A58" s="4">
        <v>45811</v>
      </c>
      <c r="B58" s="19">
        <v>25154</v>
      </c>
      <c r="C58" s="37" t="s">
        <v>49</v>
      </c>
      <c r="D58" s="26">
        <v>2</v>
      </c>
      <c r="E58" s="53" t="s">
        <v>1107</v>
      </c>
      <c r="F58" s="37"/>
      <c r="G58" s="37" t="s">
        <v>2</v>
      </c>
      <c r="H58" s="5" t="s">
        <v>5</v>
      </c>
      <c r="I58" s="5">
        <v>0.65</v>
      </c>
      <c r="J58" s="5">
        <v>33</v>
      </c>
      <c r="K58" s="5">
        <v>8.35</v>
      </c>
      <c r="L58" s="5">
        <v>4.5999999999999996</v>
      </c>
      <c r="M58" s="5"/>
      <c r="N58" s="15"/>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row>
    <row r="59" spans="1:84" ht="16" x14ac:dyDescent="0.2">
      <c r="A59" s="4">
        <v>45811</v>
      </c>
      <c r="B59" s="19">
        <v>25154</v>
      </c>
      <c r="C59" s="5" t="s">
        <v>49</v>
      </c>
      <c r="D59" s="25">
        <v>3</v>
      </c>
      <c r="E59" s="53" t="s">
        <v>1108</v>
      </c>
      <c r="F59" s="37">
        <v>36.1</v>
      </c>
      <c r="G59" s="5" t="s">
        <v>12</v>
      </c>
      <c r="H59" s="5" t="s">
        <v>3</v>
      </c>
      <c r="I59" s="5">
        <v>0.85</v>
      </c>
      <c r="J59" s="5">
        <v>35.35</v>
      </c>
      <c r="K59" s="5">
        <v>9.1</v>
      </c>
      <c r="L59" s="5">
        <v>4.7</v>
      </c>
      <c r="M59" s="5"/>
      <c r="N59" s="15">
        <v>42.443677777799998</v>
      </c>
      <c r="O59" t="s">
        <v>484</v>
      </c>
      <c r="P59" s="6">
        <v>6.9843769E-2</v>
      </c>
      <c r="Q59" s="6">
        <v>1.0525959999999999E-2</v>
      </c>
      <c r="R59" s="6">
        <v>811</v>
      </c>
      <c r="S59" s="6">
        <v>1.21565E-3</v>
      </c>
      <c r="T59" s="6">
        <v>3.9999999979999998</v>
      </c>
      <c r="U59" s="6">
        <v>0.13022451299999999</v>
      </c>
      <c r="V59" s="6">
        <v>9.3350340000000007E-3</v>
      </c>
      <c r="W59" s="6">
        <v>5.1861300000000002E-4</v>
      </c>
      <c r="X59" s="6">
        <v>4.6974300000000001E-4</v>
      </c>
      <c r="Y59" s="6">
        <v>8.2507871999999996E-2</v>
      </c>
      <c r="Z59" s="6">
        <v>1.2040445E-2</v>
      </c>
      <c r="AA59" s="6">
        <v>7.0081895000000005E-2</v>
      </c>
      <c r="AB59" s="6">
        <v>1.0552781000000001E-2</v>
      </c>
      <c r="AC59" s="6">
        <v>5.5261908999999998E-2</v>
      </c>
      <c r="AD59" s="6">
        <v>9.1166909999999997E-3</v>
      </c>
      <c r="AE59" s="6">
        <v>6.9843769E-2</v>
      </c>
      <c r="AF59" s="6">
        <v>1.0525959999999999E-2</v>
      </c>
      <c r="AG59" s="6">
        <v>2.3181287909999999</v>
      </c>
      <c r="AH59" s="6">
        <v>0.23561749200000001</v>
      </c>
      <c r="AI59" s="6">
        <v>-5.2647128299999997</v>
      </c>
      <c r="AJ59" s="6">
        <v>0.64948605500000001</v>
      </c>
      <c r="AK59" s="6">
        <v>5.7530768309999996</v>
      </c>
      <c r="AL59" s="6">
        <v>0.68583403099999996</v>
      </c>
      <c r="AM59" s="6" t="s">
        <v>503</v>
      </c>
      <c r="AN59" s="6">
        <v>1.057871848</v>
      </c>
      <c r="AO59" s="6">
        <v>0.35262394899999999</v>
      </c>
      <c r="AP59" s="6">
        <v>1.6896551719999999</v>
      </c>
      <c r="AQ59" s="6">
        <v>0.56321839100000004</v>
      </c>
      <c r="AR59" s="6">
        <v>0.14622924300000001</v>
      </c>
      <c r="AS59" s="6">
        <v>0.13310359299999999</v>
      </c>
      <c r="AT59" s="6">
        <v>0.59826958900000005</v>
      </c>
      <c r="AU59" s="6">
        <v>0.863120569</v>
      </c>
      <c r="AV59" s="6">
        <v>0.45792116999999999</v>
      </c>
      <c r="AW59" s="6">
        <v>0.49811208099999998</v>
      </c>
      <c r="AX59" s="6">
        <v>4.7489819999999997E-3</v>
      </c>
      <c r="AY59" s="6">
        <v>209.57142857100001</v>
      </c>
      <c r="AZ59" s="6">
        <v>711</v>
      </c>
      <c r="BA59" s="6">
        <v>126</v>
      </c>
      <c r="BB59" s="6">
        <v>0.84946236600000002</v>
      </c>
      <c r="BC59" s="6">
        <v>3.7402579999999998E-2</v>
      </c>
      <c r="BD59" s="6">
        <v>4.572347E-3</v>
      </c>
      <c r="BE59" s="6">
        <v>0.122246832</v>
      </c>
      <c r="BF59" s="6">
        <v>0.36181387999999998</v>
      </c>
      <c r="BG59" s="6">
        <v>1.3499097E-2</v>
      </c>
      <c r="BH59" s="6">
        <v>3.7309505999999999E-2</v>
      </c>
      <c r="BI59" s="6">
        <v>9.9862057550000003</v>
      </c>
      <c r="BJ59" s="6">
        <v>0.36917162799999997</v>
      </c>
      <c r="BK59" s="6">
        <v>3.6968158000000001E-2</v>
      </c>
      <c r="BL59" s="6">
        <v>6.2289474260000004</v>
      </c>
      <c r="BM59" s="6">
        <v>3.4367393380000002</v>
      </c>
      <c r="BN59" s="6">
        <v>0.55173677099999996</v>
      </c>
      <c r="BO59" s="6">
        <v>1.5287223400000001</v>
      </c>
      <c r="BP59" s="6">
        <v>1.1806520490000001</v>
      </c>
      <c r="BQ59" s="6">
        <v>0.772312942</v>
      </c>
      <c r="BR59" s="6">
        <v>0.34557734299999998</v>
      </c>
      <c r="BS59" s="6">
        <v>0.15834577899999999</v>
      </c>
      <c r="BT59" s="6">
        <v>0.45820648200000003</v>
      </c>
      <c r="BU59" s="6">
        <v>5.4321148999999999E-2</v>
      </c>
      <c r="BV59" s="6">
        <v>7.0480475000000001E-2</v>
      </c>
      <c r="BW59" s="6">
        <v>1.297477617</v>
      </c>
      <c r="BX59" s="6">
        <v>5.6073056000000003E-2</v>
      </c>
      <c r="BY59" s="6">
        <v>6.6328355000000006E-2</v>
      </c>
      <c r="BZ59" s="6">
        <v>1.182891755</v>
      </c>
      <c r="CA59" s="6">
        <v>7.3054993159999997</v>
      </c>
      <c r="CB59" s="6">
        <v>3.4902328520000001</v>
      </c>
      <c r="CC59" s="6">
        <v>0.47775418200000003</v>
      </c>
      <c r="CD59" s="6">
        <v>1.101906558</v>
      </c>
      <c r="CE59" s="6">
        <v>1.220960958</v>
      </c>
      <c r="CF59" s="6">
        <v>1.1080440060000001</v>
      </c>
    </row>
    <row r="60" spans="1:84" ht="16" x14ac:dyDescent="0.2">
      <c r="A60" s="4">
        <v>45811</v>
      </c>
      <c r="B60" s="19">
        <v>25154</v>
      </c>
      <c r="C60" s="5" t="s">
        <v>49</v>
      </c>
      <c r="D60" s="5">
        <v>4</v>
      </c>
      <c r="E60" s="53" t="s">
        <v>1109</v>
      </c>
      <c r="F60" s="37">
        <v>16.3</v>
      </c>
      <c r="G60" s="5" t="s">
        <v>12</v>
      </c>
      <c r="H60" s="5" t="s">
        <v>3</v>
      </c>
      <c r="I60" s="5">
        <v>0.75</v>
      </c>
      <c r="J60" s="5">
        <v>35.35</v>
      </c>
      <c r="K60" s="5">
        <v>9.1</v>
      </c>
      <c r="L60" s="5">
        <v>4.2</v>
      </c>
      <c r="M60" s="5"/>
      <c r="N60" s="15">
        <v>42.443677777799998</v>
      </c>
      <c r="O60" t="s">
        <v>837</v>
      </c>
      <c r="P60" s="6">
        <v>3.9175802000000003E-2</v>
      </c>
      <c r="Q60" s="6">
        <v>1.1276319999999999E-2</v>
      </c>
      <c r="R60" s="6">
        <v>614</v>
      </c>
      <c r="S60" s="6">
        <v>1.2072070000000001E-3</v>
      </c>
      <c r="T60" s="6">
        <v>2.8284271240000001</v>
      </c>
      <c r="U60" s="6">
        <v>0.119656295</v>
      </c>
      <c r="V60" s="6">
        <v>1.0088958E-2</v>
      </c>
      <c r="W60" s="6">
        <v>5.6049799999999999E-4</v>
      </c>
      <c r="X60" s="6">
        <v>4.2794399999999998E-4</v>
      </c>
      <c r="Y60" s="6">
        <v>4.5374899000000003E-2</v>
      </c>
      <c r="Z60" s="6">
        <v>1.3535508E-2</v>
      </c>
      <c r="AA60" s="6">
        <v>4.0019619999999999E-2</v>
      </c>
      <c r="AB60" s="6">
        <v>1.1453832000000001E-2</v>
      </c>
      <c r="AC60" s="6">
        <v>3.1931596999999999E-2</v>
      </c>
      <c r="AD60" s="6">
        <v>8.8370840000000003E-3</v>
      </c>
      <c r="AE60" s="6">
        <v>3.9175802000000003E-2</v>
      </c>
      <c r="AF60" s="6">
        <v>1.1276319999999999E-2</v>
      </c>
      <c r="AG60" s="6">
        <v>1.7057416299999999</v>
      </c>
      <c r="AH60" s="6">
        <v>0.43406277700000001</v>
      </c>
      <c r="AI60" s="6">
        <v>-4.5589888099999998</v>
      </c>
      <c r="AJ60" s="6">
        <v>0.753385317</v>
      </c>
      <c r="AK60" s="6">
        <v>4.8872329299999997</v>
      </c>
      <c r="AL60" s="6">
        <v>0.75138264300000002</v>
      </c>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row>
    <row r="61" spans="1:84" ht="16" x14ac:dyDescent="0.2">
      <c r="A61" s="4">
        <v>45811</v>
      </c>
      <c r="B61" s="19">
        <v>25154</v>
      </c>
      <c r="C61" s="5" t="s">
        <v>49</v>
      </c>
      <c r="D61" s="5">
        <v>5</v>
      </c>
      <c r="E61" s="53" t="s">
        <v>1110</v>
      </c>
      <c r="F61" s="37">
        <v>13.9</v>
      </c>
      <c r="G61" s="5" t="s">
        <v>2</v>
      </c>
      <c r="H61" s="5" t="s">
        <v>3</v>
      </c>
      <c r="I61" s="5">
        <v>0.55000000000000004</v>
      </c>
      <c r="J61" s="5">
        <v>30.7</v>
      </c>
      <c r="K61" s="5">
        <v>7.95</v>
      </c>
      <c r="L61" s="5">
        <v>4.4000000000000004</v>
      </c>
      <c r="M61" s="5"/>
      <c r="N61" s="15">
        <v>42.443677777799998</v>
      </c>
      <c r="O61" t="s">
        <v>838</v>
      </c>
      <c r="P61" s="6">
        <v>8.0175755000000001E-2</v>
      </c>
      <c r="Q61" s="6">
        <v>1.6741033999999998E-2</v>
      </c>
      <c r="R61" s="6">
        <v>640</v>
      </c>
      <c r="S61" s="6">
        <v>1.9231039999999999E-3</v>
      </c>
      <c r="T61" s="6">
        <v>5.6568542449999999</v>
      </c>
      <c r="U61" s="6">
        <v>0.120266715</v>
      </c>
      <c r="V61" s="6">
        <v>1.5990325E-2</v>
      </c>
      <c r="W61" s="6">
        <v>8.8835100000000001E-4</v>
      </c>
      <c r="X61" s="6">
        <v>6.8003400000000004E-4</v>
      </c>
      <c r="Y61" s="6">
        <v>0.11706411799999999</v>
      </c>
      <c r="Z61" s="6">
        <v>2.3902712999999999E-2</v>
      </c>
      <c r="AA61" s="6">
        <v>7.2932779000000003E-2</v>
      </c>
      <c r="AB61" s="6">
        <v>1.517718E-2</v>
      </c>
      <c r="AC61" s="6">
        <v>4.8079037999999998E-2</v>
      </c>
      <c r="AD61" s="6">
        <v>1.1334996999999999E-2</v>
      </c>
      <c r="AE61" s="6">
        <v>8.0175755000000001E-2</v>
      </c>
      <c r="AF61" s="6">
        <v>1.6741033999999998E-2</v>
      </c>
      <c r="AG61" s="6">
        <v>6.7176077970000003</v>
      </c>
      <c r="AH61" s="6">
        <v>0.283898757</v>
      </c>
      <c r="AI61" s="6">
        <v>-10.790198225999999</v>
      </c>
      <c r="AJ61" s="6">
        <v>0.68576419700000002</v>
      </c>
      <c r="AK61" s="6">
        <v>12.717349969000001</v>
      </c>
      <c r="AL61" s="6">
        <v>0.61174888400000005</v>
      </c>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row>
    <row r="62" spans="1:84" ht="16" x14ac:dyDescent="0.2">
      <c r="A62" s="4">
        <v>45811</v>
      </c>
      <c r="B62" s="19">
        <v>25154</v>
      </c>
      <c r="C62" s="5" t="s">
        <v>49</v>
      </c>
      <c r="D62" s="5">
        <v>6</v>
      </c>
      <c r="E62" s="53" t="s">
        <v>1111</v>
      </c>
      <c r="F62" s="37">
        <v>22</v>
      </c>
      <c r="G62" s="5" t="s">
        <v>2</v>
      </c>
      <c r="H62" s="5" t="s">
        <v>3</v>
      </c>
      <c r="I62" s="5">
        <v>0.85</v>
      </c>
      <c r="J62" s="5">
        <v>40.25</v>
      </c>
      <c r="K62" s="5">
        <v>9</v>
      </c>
      <c r="L62" s="5">
        <v>4.9000000000000004</v>
      </c>
      <c r="M62" s="5"/>
      <c r="N62" s="15">
        <v>42.443677777799998</v>
      </c>
      <c r="O62" t="s">
        <v>839</v>
      </c>
      <c r="P62" s="6">
        <v>5.7205458000000001E-2</v>
      </c>
      <c r="Q62" s="6">
        <v>2.0849559E-2</v>
      </c>
      <c r="R62" s="6">
        <v>803</v>
      </c>
      <c r="S62" s="6">
        <v>2.005944E-3</v>
      </c>
      <c r="T62" s="6">
        <v>2</v>
      </c>
      <c r="U62" s="6">
        <v>0.113788285</v>
      </c>
      <c r="V62" s="6">
        <v>1.7628739000000001E-2</v>
      </c>
      <c r="W62" s="6">
        <v>9.7937400000000009E-4</v>
      </c>
      <c r="X62" s="6">
        <v>8.0597100000000005E-4</v>
      </c>
      <c r="Y62" s="6">
        <v>7.8340959000000002E-2</v>
      </c>
      <c r="Z62" s="6">
        <v>2.8664472999999999E-2</v>
      </c>
      <c r="AA62" s="6">
        <v>5.2750824000000002E-2</v>
      </c>
      <c r="AB62" s="6">
        <v>1.9149776E-2</v>
      </c>
      <c r="AC62" s="6">
        <v>4.2824574999999997E-2</v>
      </c>
      <c r="AD62" s="6">
        <v>1.5874031E-2</v>
      </c>
      <c r="AE62" s="6">
        <v>5.7205458000000001E-2</v>
      </c>
      <c r="AF62" s="6">
        <v>2.0849559E-2</v>
      </c>
      <c r="AG62">
        <v>5.5716840459999997</v>
      </c>
      <c r="AH62">
        <v>0.41907195200000003</v>
      </c>
      <c r="AI62">
        <v>-6.7099818009999996</v>
      </c>
      <c r="AJ62">
        <v>0.596361374</v>
      </c>
      <c r="AK62">
        <v>8.7242589150000001</v>
      </c>
      <c r="AL62">
        <v>0.69716350199999999</v>
      </c>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row>
    <row r="63" spans="1:84" ht="16" x14ac:dyDescent="0.2">
      <c r="A63" s="4">
        <v>45811</v>
      </c>
      <c r="B63" s="19">
        <v>25154</v>
      </c>
      <c r="C63" s="5" t="s">
        <v>49</v>
      </c>
      <c r="D63" s="25">
        <v>7</v>
      </c>
      <c r="E63" s="53" t="s">
        <v>1112</v>
      </c>
      <c r="F63" s="37">
        <v>30.2</v>
      </c>
      <c r="G63" s="5" t="s">
        <v>12</v>
      </c>
      <c r="H63" s="5" t="s">
        <v>5</v>
      </c>
      <c r="I63" s="5">
        <v>1.3</v>
      </c>
      <c r="J63" s="5">
        <v>41</v>
      </c>
      <c r="K63" s="5">
        <v>10.199999999999999</v>
      </c>
      <c r="L63" s="5">
        <v>5.55</v>
      </c>
      <c r="M63" s="5"/>
      <c r="N63" s="15">
        <v>42.443677777799998</v>
      </c>
      <c r="O63" t="s">
        <v>485</v>
      </c>
      <c r="P63" s="6">
        <v>4.6135394000000003E-2</v>
      </c>
      <c r="Q63" s="6">
        <v>1.1704823E-2</v>
      </c>
      <c r="R63" s="6">
        <v>1079</v>
      </c>
      <c r="S63" s="6">
        <v>1.204706E-3</v>
      </c>
      <c r="T63" s="6">
        <v>2.8284271240000001</v>
      </c>
      <c r="U63" s="6">
        <v>0.11766959</v>
      </c>
      <c r="V63" s="6">
        <v>1.0238043E-2</v>
      </c>
      <c r="W63" s="6">
        <v>5.6877999999999996E-4</v>
      </c>
      <c r="X63" s="6">
        <v>4.59238E-4</v>
      </c>
      <c r="Y63" s="6">
        <v>5.2917713999999998E-2</v>
      </c>
      <c r="Z63" s="6">
        <v>1.3620782E-2</v>
      </c>
      <c r="AA63" s="6">
        <v>4.6909270000000003E-2</v>
      </c>
      <c r="AB63" s="6">
        <v>1.1805998E-2</v>
      </c>
      <c r="AC63" s="6">
        <v>4.0161029000000001E-2</v>
      </c>
      <c r="AD63" s="6">
        <v>1.0292552E-2</v>
      </c>
      <c r="AE63" s="6">
        <v>4.6135394000000003E-2</v>
      </c>
      <c r="AF63" s="6">
        <v>1.1704823E-2</v>
      </c>
      <c r="AG63" s="6">
        <v>1.6714226560000001</v>
      </c>
      <c r="AH63" s="6">
        <v>0.38042286800000003</v>
      </c>
      <c r="AI63" s="6">
        <v>-3.5443955200000001</v>
      </c>
      <c r="AJ63" s="6">
        <v>0.629878508</v>
      </c>
      <c r="AK63" s="6">
        <v>3.9281371200000001</v>
      </c>
      <c r="AL63" s="6">
        <v>0.68376313099999997</v>
      </c>
      <c r="AM63" s="6" t="s">
        <v>504</v>
      </c>
      <c r="AN63" s="6">
        <v>1.3044017109999999</v>
      </c>
      <c r="AO63" s="6">
        <v>0.43480057</v>
      </c>
      <c r="AP63" s="6">
        <v>1.6</v>
      </c>
      <c r="AQ63" s="6">
        <v>0.53333333299999997</v>
      </c>
      <c r="AR63" s="6">
        <v>0.42153320700000002</v>
      </c>
      <c r="AS63" s="6">
        <v>0.38369606099999998</v>
      </c>
      <c r="AT63" s="6">
        <v>0.56233514500000004</v>
      </c>
      <c r="AU63" s="6">
        <v>0.81127812399999999</v>
      </c>
      <c r="AV63" s="6">
        <v>0.48406695199999999</v>
      </c>
      <c r="AW63" s="6">
        <v>0.59748709300000002</v>
      </c>
      <c r="AX63" s="6">
        <v>8.2815730000000004E-3</v>
      </c>
      <c r="AY63" s="6">
        <v>119.75</v>
      </c>
      <c r="AZ63" s="6">
        <v>156.33333333300001</v>
      </c>
      <c r="BA63" s="6">
        <v>97.8</v>
      </c>
      <c r="BB63" s="6">
        <v>0.61516264399999998</v>
      </c>
      <c r="BC63" s="6">
        <v>5.0020742999999999E-2</v>
      </c>
      <c r="BD63" s="6">
        <v>8.2466599999999994E-3</v>
      </c>
      <c r="BE63" s="6">
        <v>0.164864812</v>
      </c>
      <c r="BF63" s="6">
        <v>0.29223754800000001</v>
      </c>
      <c r="BG63" s="6">
        <v>3.9796656E-2</v>
      </c>
      <c r="BH63" s="6">
        <v>0.13617913400000001</v>
      </c>
      <c r="BI63" s="6">
        <v>8.1024413650000007</v>
      </c>
      <c r="BJ63" s="6">
        <v>1.0804827290000001</v>
      </c>
      <c r="BK63" s="6">
        <v>0.133352737</v>
      </c>
      <c r="BL63" s="6">
        <v>7.6415222749999998</v>
      </c>
      <c r="BM63" s="6">
        <v>5.2497241160000003</v>
      </c>
      <c r="BN63" s="6">
        <v>0.68699977899999998</v>
      </c>
      <c r="BO63" s="6">
        <v>2.5541109610000001</v>
      </c>
      <c r="BP63" s="6">
        <v>0.71626652000000002</v>
      </c>
      <c r="BQ63" s="6">
        <v>0.28043672800000002</v>
      </c>
      <c r="BR63" s="6">
        <v>0.230503968</v>
      </c>
      <c r="BS63" s="6">
        <v>0.151776721</v>
      </c>
      <c r="BT63" s="6">
        <v>0.65845600199999998</v>
      </c>
      <c r="BU63" s="6">
        <v>0.105540867</v>
      </c>
      <c r="BV63" s="6">
        <v>6.7556555000000004E-2</v>
      </c>
      <c r="BW63" s="6">
        <v>0.64009854399999999</v>
      </c>
      <c r="BX63" s="6">
        <v>0.104275337</v>
      </c>
      <c r="BY63" s="6">
        <v>6.3576689000000006E-2</v>
      </c>
      <c r="BZ63" s="6">
        <v>0.60970015200000005</v>
      </c>
      <c r="CA63" s="6">
        <v>4.7690699939999996</v>
      </c>
      <c r="CB63" s="6">
        <v>3.345438712</v>
      </c>
      <c r="CC63" s="6">
        <v>0.70148660399999996</v>
      </c>
      <c r="CD63" s="6">
        <v>1.9892058610000001</v>
      </c>
      <c r="CE63" s="6">
        <v>1.170308752</v>
      </c>
      <c r="CF63" s="6">
        <v>0.58832963199999999</v>
      </c>
    </row>
    <row r="64" spans="1:84" ht="16" x14ac:dyDescent="0.2">
      <c r="A64" s="4">
        <v>45811</v>
      </c>
      <c r="B64" s="19">
        <v>25154</v>
      </c>
      <c r="C64" s="5" t="s">
        <v>49</v>
      </c>
      <c r="D64" s="26">
        <v>8</v>
      </c>
      <c r="E64" s="53" t="s">
        <v>1113</v>
      </c>
      <c r="F64" s="37"/>
      <c r="G64" s="37" t="s">
        <v>2</v>
      </c>
      <c r="H64" s="6" t="s">
        <v>3</v>
      </c>
      <c r="I64" s="6">
        <v>0.6</v>
      </c>
      <c r="J64" s="6">
        <v>32.9</v>
      </c>
      <c r="K64" s="6">
        <v>8</v>
      </c>
      <c r="L64" s="6">
        <v>3.9</v>
      </c>
      <c r="M64" s="6"/>
      <c r="N64" s="15"/>
      <c r="P64" s="6"/>
      <c r="Q64" s="6"/>
      <c r="R64" s="6"/>
      <c r="S64" s="6"/>
      <c r="T64" s="6"/>
      <c r="U64" s="6"/>
      <c r="V64" s="6"/>
      <c r="W64" s="6"/>
      <c r="X64" s="6"/>
      <c r="Y64" s="6"/>
      <c r="Z64" s="6"/>
      <c r="AA64" s="6"/>
      <c r="AB64" s="6"/>
      <c r="AC64" s="6"/>
      <c r="AD64" s="6"/>
      <c r="AE64" s="6"/>
      <c r="AF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row>
    <row r="65" spans="1:84" ht="16" x14ac:dyDescent="0.2">
      <c r="A65" s="4">
        <v>45811</v>
      </c>
      <c r="B65" s="19">
        <v>25154</v>
      </c>
      <c r="C65" s="5" t="s">
        <v>49</v>
      </c>
      <c r="D65" s="5">
        <v>9</v>
      </c>
      <c r="E65" s="53" t="s">
        <v>1114</v>
      </c>
      <c r="F65" s="37">
        <v>-25.3</v>
      </c>
      <c r="G65" s="5" t="s">
        <v>2</v>
      </c>
      <c r="H65" s="5" t="s">
        <v>5</v>
      </c>
      <c r="I65" s="5">
        <v>0.8</v>
      </c>
      <c r="J65" s="5">
        <v>37.049999999999997</v>
      </c>
      <c r="K65" s="5">
        <v>8.4</v>
      </c>
      <c r="L65" s="5">
        <v>4.1500000000000004</v>
      </c>
      <c r="M65" s="5"/>
      <c r="N65" s="15">
        <v>42.443677777799998</v>
      </c>
      <c r="O65" t="s">
        <v>840</v>
      </c>
      <c r="P65" s="6">
        <v>5.4286855000000002E-2</v>
      </c>
      <c r="Q65" s="6">
        <v>7.1915779999999997E-3</v>
      </c>
      <c r="R65" s="6">
        <v>838</v>
      </c>
      <c r="S65" s="6">
        <v>8.0408300000000003E-4</v>
      </c>
      <c r="T65" s="6">
        <v>11.313708483999999</v>
      </c>
      <c r="U65" s="6">
        <v>0.109415184</v>
      </c>
      <c r="V65" s="6">
        <v>7.3489169999999999E-3</v>
      </c>
      <c r="W65" s="6">
        <v>4.0827300000000001E-4</v>
      </c>
      <c r="X65" s="6">
        <v>2.8233899999999999E-4</v>
      </c>
      <c r="Y65" s="6">
        <v>7.1188935999999994E-2</v>
      </c>
      <c r="Z65" s="6">
        <v>9.0313730000000005E-3</v>
      </c>
      <c r="AA65" s="6">
        <v>5.1677801000000002E-2</v>
      </c>
      <c r="AB65" s="6">
        <v>6.8660040000000002E-3</v>
      </c>
      <c r="AC65" s="6">
        <v>4.1543683999999997E-2</v>
      </c>
      <c r="AD65" s="6">
        <v>6.498462E-3</v>
      </c>
      <c r="AE65" s="6">
        <v>5.4286855000000002E-2</v>
      </c>
      <c r="AF65" s="6">
        <v>7.1915779999999997E-3</v>
      </c>
      <c r="AG65" s="6">
        <v>4.5490545510000002</v>
      </c>
      <c r="AH65" s="6">
        <v>0.49912403500000002</v>
      </c>
      <c r="AI65" s="6">
        <v>-6.2636803820000004</v>
      </c>
      <c r="AJ65" s="6">
        <v>1.01703667</v>
      </c>
      <c r="AK65" s="6">
        <v>7.7517348830000001</v>
      </c>
      <c r="AL65" s="6">
        <v>1.059004445</v>
      </c>
      <c r="AM65" s="6"/>
      <c r="AN65" s="6"/>
      <c r="AO65" s="6"/>
      <c r="AP65" s="6"/>
      <c r="AV65" s="6"/>
      <c r="AW65" s="6"/>
      <c r="AX65" s="6"/>
      <c r="AY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row>
    <row r="66" spans="1:84" ht="16" x14ac:dyDescent="0.2">
      <c r="A66" s="4">
        <v>45811</v>
      </c>
      <c r="B66" s="19">
        <v>25154</v>
      </c>
      <c r="C66" s="5" t="s">
        <v>49</v>
      </c>
      <c r="D66" s="38">
        <v>10</v>
      </c>
      <c r="E66" s="53" t="s">
        <v>1115</v>
      </c>
      <c r="F66" s="37"/>
      <c r="G66" s="5" t="s">
        <v>12</v>
      </c>
      <c r="H66" s="5" t="s">
        <v>6</v>
      </c>
      <c r="I66" s="5">
        <v>1</v>
      </c>
      <c r="J66" s="5">
        <v>37.75</v>
      </c>
      <c r="K66" s="5">
        <v>9.3000000000000007</v>
      </c>
      <c r="L66" s="5">
        <v>4.8499999999999996</v>
      </c>
      <c r="M66" s="5"/>
      <c r="N66" s="15"/>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row>
    <row r="67" spans="1:84" ht="16" x14ac:dyDescent="0.2">
      <c r="A67" s="4">
        <v>45811</v>
      </c>
      <c r="B67" s="19">
        <v>25154</v>
      </c>
      <c r="C67" s="5" t="s">
        <v>49</v>
      </c>
      <c r="D67" s="5">
        <v>11</v>
      </c>
      <c r="E67" s="53" t="s">
        <v>1116</v>
      </c>
      <c r="F67" s="37">
        <v>27.9</v>
      </c>
      <c r="G67" s="5" t="s">
        <v>2</v>
      </c>
      <c r="H67" s="5" t="s">
        <v>3</v>
      </c>
      <c r="I67" s="5">
        <v>0.55000000000000004</v>
      </c>
      <c r="J67" s="5">
        <v>31.5</v>
      </c>
      <c r="K67" s="5">
        <v>8</v>
      </c>
      <c r="L67" s="5">
        <v>3.95</v>
      </c>
      <c r="M67" s="5"/>
      <c r="N67" s="15">
        <v>42.443677777799998</v>
      </c>
      <c r="O67" t="s">
        <v>841</v>
      </c>
      <c r="P67" s="6">
        <v>9.2227665E-2</v>
      </c>
      <c r="Q67" s="6">
        <v>1.6943039999999999E-2</v>
      </c>
      <c r="R67" s="6">
        <v>674</v>
      </c>
      <c r="S67" s="6">
        <v>1.719705E-3</v>
      </c>
      <c r="T67" s="6">
        <v>3.9999999979999998</v>
      </c>
      <c r="U67" s="6">
        <v>0.10796222699999999</v>
      </c>
      <c r="V67" s="6">
        <v>1.5928769999999998E-2</v>
      </c>
      <c r="W67" s="6">
        <v>8.8493199999999995E-4</v>
      </c>
      <c r="X67" s="6">
        <v>6.2860599999999998E-4</v>
      </c>
      <c r="Y67" s="6">
        <v>0.13211936399999999</v>
      </c>
      <c r="Z67" s="6">
        <v>2.4889524E-2</v>
      </c>
      <c r="AA67" s="6">
        <v>8.4490984000000005E-2</v>
      </c>
      <c r="AB67" s="6">
        <v>1.5180208000000001E-2</v>
      </c>
      <c r="AC67" s="6">
        <v>5.6879236999999999E-2</v>
      </c>
      <c r="AD67" s="6">
        <v>1.0890531E-2</v>
      </c>
      <c r="AE67" s="6">
        <v>9.2227665E-2</v>
      </c>
      <c r="AF67" s="6">
        <v>1.6943039999999999E-2</v>
      </c>
      <c r="AG67" s="6">
        <v>6.3104617740000002</v>
      </c>
      <c r="AH67" s="6">
        <v>0.43465205699999998</v>
      </c>
      <c r="AI67" s="6">
        <v>-10.158420717</v>
      </c>
      <c r="AJ67" s="6">
        <v>0.416058278</v>
      </c>
      <c r="AK67" s="6">
        <v>11.963009556999999</v>
      </c>
      <c r="AL67" s="6">
        <v>0.51353952000000003</v>
      </c>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row>
    <row r="68" spans="1:84" ht="16" x14ac:dyDescent="0.2">
      <c r="A68" s="4">
        <v>45811</v>
      </c>
      <c r="B68" s="19">
        <v>25154</v>
      </c>
      <c r="C68" s="5" t="s">
        <v>49</v>
      </c>
      <c r="D68" s="25">
        <v>12</v>
      </c>
      <c r="E68" s="53" t="s">
        <v>1117</v>
      </c>
      <c r="F68" s="37">
        <v>-12.8</v>
      </c>
      <c r="G68" s="5" t="s">
        <v>2</v>
      </c>
      <c r="H68" s="5" t="s">
        <v>3</v>
      </c>
      <c r="I68" s="5">
        <v>0.6</v>
      </c>
      <c r="J68" s="5">
        <v>30.3</v>
      </c>
      <c r="K68" s="5">
        <v>7.9</v>
      </c>
      <c r="L68" s="5">
        <v>4.4000000000000004</v>
      </c>
      <c r="M68" s="5"/>
      <c r="N68" s="15">
        <v>42.443677777799998</v>
      </c>
      <c r="O68" t="s">
        <v>486</v>
      </c>
      <c r="P68" s="6">
        <v>9.3460889000000005E-2</v>
      </c>
      <c r="Q68" s="6">
        <v>1.2791097E-2</v>
      </c>
      <c r="R68" s="6">
        <v>558</v>
      </c>
      <c r="S68" s="6">
        <v>1.443476E-3</v>
      </c>
      <c r="T68" s="6">
        <v>3.9999999979999998</v>
      </c>
      <c r="U68" s="6">
        <v>0.113476877</v>
      </c>
      <c r="V68" s="6">
        <v>1.2720445E-2</v>
      </c>
      <c r="W68" s="6">
        <v>7.0669099999999996E-4</v>
      </c>
      <c r="X68" s="6">
        <v>4.7926899999999999E-4</v>
      </c>
      <c r="Y68" s="6">
        <v>0.127270615</v>
      </c>
      <c r="Z68" s="6">
        <v>1.5681939999999998E-2</v>
      </c>
      <c r="AA68" s="6">
        <v>8.7465506999999998E-2</v>
      </c>
      <c r="AB68" s="6">
        <v>1.2785028E-2</v>
      </c>
      <c r="AC68" s="6">
        <v>6.2561133000000005E-2</v>
      </c>
      <c r="AD68" s="6">
        <v>1.1086098000000001E-2</v>
      </c>
      <c r="AE68" s="6">
        <v>9.3460889000000005E-2</v>
      </c>
      <c r="AF68" s="6">
        <v>1.2791097E-2</v>
      </c>
      <c r="AG68" s="6">
        <v>5.3398370789999996</v>
      </c>
      <c r="AH68" s="6">
        <v>0.90929279500000004</v>
      </c>
      <c r="AI68" s="6">
        <v>-8.6187723470000002</v>
      </c>
      <c r="AJ68" s="6">
        <v>1.362962776</v>
      </c>
      <c r="AK68" s="6">
        <v>10.140995877</v>
      </c>
      <c r="AL68" s="6">
        <v>1.625331815</v>
      </c>
      <c r="AM68" s="6" t="s">
        <v>505</v>
      </c>
      <c r="AN68" s="6">
        <v>1.3111555399999999</v>
      </c>
      <c r="AO68" s="6">
        <v>0.65557776999999995</v>
      </c>
      <c r="AP68" s="6">
        <v>1</v>
      </c>
      <c r="AQ68" s="6">
        <v>1</v>
      </c>
      <c r="AR68" s="6">
        <v>0.40055932999999999</v>
      </c>
      <c r="AS68" s="6">
        <v>0.57788495900000003</v>
      </c>
      <c r="AT68" s="6">
        <v>0</v>
      </c>
      <c r="AU68" s="6" t="s">
        <v>453</v>
      </c>
      <c r="AV68" s="6">
        <v>0.82778888500000003</v>
      </c>
      <c r="AW68" s="6" t="s">
        <v>453</v>
      </c>
      <c r="AX68" s="6">
        <v>5.9464820000000003E-3</v>
      </c>
      <c r="AY68" s="6">
        <v>167.16666666699999</v>
      </c>
      <c r="AZ68" s="6" t="s">
        <v>452</v>
      </c>
      <c r="BA68" s="6">
        <v>89.666666667000001</v>
      </c>
      <c r="BB68" s="6" t="s">
        <v>453</v>
      </c>
      <c r="BC68" s="6">
        <v>1.8712614999999998E-2</v>
      </c>
      <c r="BD68" s="6">
        <v>1.1019717E-2</v>
      </c>
      <c r="BE68" s="6">
        <v>0.58889238200000005</v>
      </c>
      <c r="BF68" s="6">
        <v>0.37729950899999998</v>
      </c>
      <c r="BG68" s="6">
        <v>8.4350459999999999E-3</v>
      </c>
      <c r="BH68" s="6">
        <v>2.2356365999999999E-2</v>
      </c>
      <c r="BI68" s="6">
        <v>10.476127167</v>
      </c>
      <c r="BJ68" s="6">
        <v>0.27059453999999999</v>
      </c>
      <c r="BK68" s="6">
        <v>2.5829635E-2</v>
      </c>
      <c r="BL68" s="6">
        <v>8.8663788990000008</v>
      </c>
      <c r="BM68" s="6">
        <v>0</v>
      </c>
      <c r="BN68" s="6">
        <v>0</v>
      </c>
      <c r="BO68" s="6">
        <v>0.55587621899999995</v>
      </c>
      <c r="BP68" s="6">
        <v>0</v>
      </c>
      <c r="BQ68" s="6">
        <v>0</v>
      </c>
      <c r="BR68" s="6">
        <v>0.41639172800000002</v>
      </c>
      <c r="BS68" s="6" t="s">
        <v>453</v>
      </c>
      <c r="BT68" s="6" t="s">
        <v>453</v>
      </c>
      <c r="BU68" s="6">
        <v>2.2801321999999999E-2</v>
      </c>
      <c r="BV68" s="6" t="s">
        <v>453</v>
      </c>
      <c r="BW68" s="6" t="s">
        <v>453</v>
      </c>
      <c r="BX68" s="6">
        <v>2.6410112999999999E-2</v>
      </c>
      <c r="BY68" s="6" t="s">
        <v>453</v>
      </c>
      <c r="BZ68" s="6" t="s">
        <v>453</v>
      </c>
      <c r="CA68" s="6">
        <v>8.8663788990000008</v>
      </c>
      <c r="CB68" s="6" t="s">
        <v>453</v>
      </c>
      <c r="CC68" s="6" t="s">
        <v>453</v>
      </c>
      <c r="CD68" s="6">
        <v>0.55587621899999995</v>
      </c>
      <c r="CE68" s="6" t="s">
        <v>453</v>
      </c>
      <c r="CF68" s="6" t="s">
        <v>453</v>
      </c>
    </row>
    <row r="69" spans="1:84" ht="16" x14ac:dyDescent="0.2">
      <c r="A69" s="4">
        <v>45811</v>
      </c>
      <c r="B69" s="19">
        <v>25154</v>
      </c>
      <c r="C69" s="5" t="s">
        <v>49</v>
      </c>
      <c r="D69" s="5">
        <v>13</v>
      </c>
      <c r="E69" s="53" t="s">
        <v>1118</v>
      </c>
      <c r="F69" s="37">
        <v>-44.1</v>
      </c>
      <c r="G69" s="5" t="s">
        <v>2</v>
      </c>
      <c r="H69" s="5" t="s">
        <v>3</v>
      </c>
      <c r="I69" s="5">
        <v>0.8</v>
      </c>
      <c r="J69" s="5">
        <v>40.4</v>
      </c>
      <c r="K69" s="5">
        <v>9.9</v>
      </c>
      <c r="L69" s="5">
        <v>4.45</v>
      </c>
      <c r="M69" s="5"/>
      <c r="N69" s="15">
        <v>42.443677777799998</v>
      </c>
      <c r="O69" t="s">
        <v>842</v>
      </c>
      <c r="P69" s="6">
        <v>7.8454509000000006E-2</v>
      </c>
      <c r="Q69" s="6">
        <v>7.1607049999999998E-3</v>
      </c>
      <c r="R69" s="6">
        <v>881</v>
      </c>
      <c r="S69" s="6">
        <v>9.0123099999999995E-4</v>
      </c>
      <c r="T69" s="6">
        <v>5.6568542449999999</v>
      </c>
      <c r="U69" s="6">
        <v>0.12852871699999999</v>
      </c>
      <c r="V69" s="6">
        <v>7.0119040000000002E-3</v>
      </c>
      <c r="W69" s="6">
        <v>3.8955000000000001E-4</v>
      </c>
      <c r="X69" s="6">
        <v>3.06757E-4</v>
      </c>
      <c r="Y69" s="6">
        <v>0.102614991</v>
      </c>
      <c r="Z69" s="6">
        <v>1.0693853999999999E-2</v>
      </c>
      <c r="AA69" s="6">
        <v>7.4490687E-2</v>
      </c>
      <c r="AB69" s="6">
        <v>6.5775190000000004E-3</v>
      </c>
      <c r="AC69" s="6">
        <v>5.7410712000000003E-2</v>
      </c>
      <c r="AD69" s="6">
        <v>5.0855659999999997E-3</v>
      </c>
      <c r="AE69" s="6">
        <v>7.8454509000000006E-2</v>
      </c>
      <c r="AF69" s="6">
        <v>7.1607049999999998E-3</v>
      </c>
      <c r="AG69" s="6">
        <v>4.5114560030000002</v>
      </c>
      <c r="AH69" s="6">
        <v>0.67904910200000002</v>
      </c>
      <c r="AI69" s="6">
        <v>-6.8577332179999999</v>
      </c>
      <c r="AJ69" s="6">
        <v>0.60994722199999996</v>
      </c>
      <c r="AK69" s="6">
        <v>8.2151718290000009</v>
      </c>
      <c r="AL69" s="6">
        <v>0.85188820200000004</v>
      </c>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row>
    <row r="70" spans="1:84" ht="16" x14ac:dyDescent="0.2">
      <c r="A70" s="4">
        <v>45811</v>
      </c>
      <c r="B70" s="19">
        <v>25154</v>
      </c>
      <c r="C70" s="5" t="s">
        <v>49</v>
      </c>
      <c r="D70" s="25">
        <v>14</v>
      </c>
      <c r="E70" s="53" t="s">
        <v>1119</v>
      </c>
      <c r="F70" s="37">
        <v>5.6</v>
      </c>
      <c r="G70" s="5" t="s">
        <v>2</v>
      </c>
      <c r="H70" s="5" t="s">
        <v>3</v>
      </c>
      <c r="I70" s="5">
        <v>1.2</v>
      </c>
      <c r="J70" s="5">
        <v>43.5</v>
      </c>
      <c r="K70" s="5">
        <v>8.4</v>
      </c>
      <c r="L70" s="5">
        <v>5.2</v>
      </c>
      <c r="M70" s="5"/>
      <c r="N70" s="15">
        <v>42.443677777799998</v>
      </c>
      <c r="O70" t="s">
        <v>487</v>
      </c>
      <c r="P70" s="6">
        <v>5.3771471000000001E-2</v>
      </c>
      <c r="Q70" s="6">
        <v>6.3470159999999996E-3</v>
      </c>
      <c r="R70" s="6">
        <v>975</v>
      </c>
      <c r="S70" s="6">
        <v>7.0107199999999996E-4</v>
      </c>
      <c r="T70" s="6">
        <v>3.9999999979999998</v>
      </c>
      <c r="U70" s="6">
        <v>0.121142318</v>
      </c>
      <c r="V70" s="6">
        <v>5.7871800000000003E-3</v>
      </c>
      <c r="W70" s="6">
        <v>3.2151E-4</v>
      </c>
      <c r="X70" s="6">
        <v>2.7687700000000003E-4</v>
      </c>
      <c r="Y70" s="6">
        <v>7.4172220999999997E-2</v>
      </c>
      <c r="Z70" s="6">
        <v>9.7374260000000004E-3</v>
      </c>
      <c r="AA70" s="6">
        <v>4.9035979E-2</v>
      </c>
      <c r="AB70" s="6">
        <v>5.5076910000000003E-3</v>
      </c>
      <c r="AC70" s="6">
        <v>4.3493997E-2</v>
      </c>
      <c r="AD70" s="6">
        <v>5.1941000000000001E-3</v>
      </c>
      <c r="AE70" s="6">
        <v>5.3771471000000001E-2</v>
      </c>
      <c r="AF70" s="6">
        <v>6.3470159999999996E-3</v>
      </c>
      <c r="AG70" s="6">
        <v>5.8241827510000004</v>
      </c>
      <c r="AH70" s="6">
        <v>0.74899653899999996</v>
      </c>
      <c r="AI70" s="6">
        <v>-5.3319048450000004</v>
      </c>
      <c r="AJ70" s="6">
        <v>0.78319422000000005</v>
      </c>
      <c r="AK70" s="6">
        <v>7.9038560310000001</v>
      </c>
      <c r="AL70" s="6">
        <v>1.0264691459999999</v>
      </c>
      <c r="AM70" s="6" t="s">
        <v>506</v>
      </c>
      <c r="AN70" s="6">
        <v>1.0227631290000001</v>
      </c>
      <c r="AO70" s="6">
        <v>0.51138156499999998</v>
      </c>
      <c r="AP70" s="6">
        <v>1</v>
      </c>
      <c r="AQ70" s="6">
        <v>1</v>
      </c>
      <c r="AR70" s="6">
        <v>6.1691625E-2</v>
      </c>
      <c r="AS70" s="6">
        <v>8.9002201000000003E-2</v>
      </c>
      <c r="AT70" s="6">
        <v>0</v>
      </c>
      <c r="AU70" s="6" t="s">
        <v>453</v>
      </c>
      <c r="AV70" s="6">
        <v>0.75569078199999995</v>
      </c>
      <c r="AW70" s="6" t="s">
        <v>453</v>
      </c>
      <c r="AX70" s="6">
        <v>2.8058359999999999E-3</v>
      </c>
      <c r="AY70" s="6">
        <v>355.4</v>
      </c>
      <c r="AZ70" s="6">
        <v>423</v>
      </c>
      <c r="BA70" s="6">
        <v>310.33333333299998</v>
      </c>
      <c r="BB70" s="6">
        <v>0.57681818200000001</v>
      </c>
      <c r="BC70" s="6">
        <v>1.5841937E-2</v>
      </c>
      <c r="BD70" s="6">
        <v>3.8501669999999998E-3</v>
      </c>
      <c r="BE70" s="6">
        <v>0.243036377</v>
      </c>
      <c r="BF70" s="6">
        <v>0.37949687100000001</v>
      </c>
      <c r="BG70" s="6">
        <v>2.947112E-3</v>
      </c>
      <c r="BH70" s="6">
        <v>7.7658390000000001E-3</v>
      </c>
      <c r="BI70" s="6">
        <v>10.546618086000001</v>
      </c>
      <c r="BJ70" s="6">
        <v>9.4542734000000003E-2</v>
      </c>
      <c r="BK70" s="6">
        <v>8.9642699999999999E-3</v>
      </c>
      <c r="BL70" s="6">
        <v>8.8663788990000008</v>
      </c>
      <c r="BM70" s="6">
        <v>0</v>
      </c>
      <c r="BN70" s="6">
        <v>0</v>
      </c>
      <c r="BO70" s="6">
        <v>0.55587621899999995</v>
      </c>
      <c r="BP70" s="6">
        <v>0</v>
      </c>
      <c r="BQ70" s="6">
        <v>0</v>
      </c>
      <c r="BR70" s="6">
        <v>0.41639172800000002</v>
      </c>
      <c r="BS70" s="6" t="s">
        <v>453</v>
      </c>
      <c r="BT70" s="6" t="s">
        <v>453</v>
      </c>
      <c r="BU70" s="6">
        <v>2.2801321999999999E-2</v>
      </c>
      <c r="BV70" s="6" t="s">
        <v>453</v>
      </c>
      <c r="BW70" s="6" t="s">
        <v>453</v>
      </c>
      <c r="BX70" s="6">
        <v>2.6410112999999999E-2</v>
      </c>
      <c r="BY70" s="6" t="s">
        <v>453</v>
      </c>
      <c r="BZ70" s="6" t="s">
        <v>453</v>
      </c>
      <c r="CA70" s="6">
        <v>8.8663788990000008</v>
      </c>
      <c r="CB70" s="6" t="s">
        <v>453</v>
      </c>
      <c r="CC70" s="6" t="s">
        <v>453</v>
      </c>
      <c r="CD70" s="6">
        <v>0.55587621899999995</v>
      </c>
      <c r="CE70" s="6" t="s">
        <v>453</v>
      </c>
      <c r="CF70" s="6" t="s">
        <v>453</v>
      </c>
    </row>
    <row r="71" spans="1:84" ht="16" x14ac:dyDescent="0.2">
      <c r="A71" s="4">
        <v>45811</v>
      </c>
      <c r="B71" s="19">
        <v>25154</v>
      </c>
      <c r="C71" s="5" t="s">
        <v>49</v>
      </c>
      <c r="D71" s="26">
        <v>15</v>
      </c>
      <c r="E71" s="53" t="s">
        <v>1120</v>
      </c>
      <c r="F71" s="37"/>
      <c r="G71" s="37" t="s">
        <v>2</v>
      </c>
      <c r="H71" s="6" t="s">
        <v>6</v>
      </c>
      <c r="I71" s="6">
        <v>0.5</v>
      </c>
      <c r="J71" s="6">
        <v>30.7</v>
      </c>
      <c r="K71" s="6">
        <v>8</v>
      </c>
      <c r="L71" s="6">
        <v>4.3</v>
      </c>
      <c r="M71" s="6"/>
      <c r="N71" s="15"/>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row>
    <row r="72" spans="1:84" ht="16" x14ac:dyDescent="0.2">
      <c r="A72" s="4">
        <v>45811</v>
      </c>
      <c r="B72" s="19">
        <v>25154</v>
      </c>
      <c r="C72" s="5" t="s">
        <v>49</v>
      </c>
      <c r="D72" s="5">
        <v>16</v>
      </c>
      <c r="E72" s="53" t="s">
        <v>1121</v>
      </c>
      <c r="F72" s="37">
        <v>-1.3</v>
      </c>
      <c r="G72" s="5" t="s">
        <v>2</v>
      </c>
      <c r="H72" s="5" t="s">
        <v>3</v>
      </c>
      <c r="I72" s="5">
        <v>1</v>
      </c>
      <c r="J72" s="5">
        <v>38.4</v>
      </c>
      <c r="K72" s="5">
        <v>8.6</v>
      </c>
      <c r="L72" s="5">
        <v>5.05</v>
      </c>
      <c r="M72" s="5"/>
      <c r="N72" s="15">
        <v>42.443677777799998</v>
      </c>
      <c r="O72" t="s">
        <v>843</v>
      </c>
      <c r="P72" s="6">
        <v>5.9679033999999999E-2</v>
      </c>
      <c r="Q72" s="6">
        <v>2.3890011999999999E-2</v>
      </c>
      <c r="R72" s="6">
        <v>794</v>
      </c>
      <c r="S72" s="6">
        <v>2.6237629999999999E-3</v>
      </c>
      <c r="T72" s="6">
        <v>5.6568542449999999</v>
      </c>
      <c r="U72" s="6">
        <v>0.117331691</v>
      </c>
      <c r="V72" s="6">
        <v>2.2361928999999999E-2</v>
      </c>
      <c r="W72" s="6">
        <v>1.2423289999999999E-3</v>
      </c>
      <c r="X72" s="6">
        <v>9.0641500000000004E-4</v>
      </c>
      <c r="Y72" s="6">
        <v>8.6085200000000001E-2</v>
      </c>
      <c r="Z72" s="6">
        <v>3.6226688E-2</v>
      </c>
      <c r="AA72" s="6">
        <v>5.4876711000000002E-2</v>
      </c>
      <c r="AB72" s="6">
        <v>2.1274995000000001E-2</v>
      </c>
      <c r="AC72" s="6">
        <v>3.6935932999999997E-2</v>
      </c>
      <c r="AD72" s="6">
        <v>1.3941199E-2</v>
      </c>
      <c r="AE72" s="6">
        <v>5.9679033999999999E-2</v>
      </c>
      <c r="AF72" s="6">
        <v>2.3890011999999999E-2</v>
      </c>
      <c r="AG72" s="6">
        <v>6.1181809600000001</v>
      </c>
      <c r="AH72" s="6">
        <v>0.84341520199999997</v>
      </c>
      <c r="AI72" s="6">
        <v>-9.8303914609999996</v>
      </c>
      <c r="AJ72" s="6">
        <v>0.966137511</v>
      </c>
      <c r="AK72" s="6">
        <v>11.594478353</v>
      </c>
      <c r="AL72" s="6">
        <v>1.1318654690000001</v>
      </c>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row>
    <row r="73" spans="1:84" ht="16" x14ac:dyDescent="0.2">
      <c r="A73" s="4">
        <v>45811</v>
      </c>
      <c r="B73" s="19">
        <v>25154</v>
      </c>
      <c r="C73" s="5" t="s">
        <v>49</v>
      </c>
      <c r="D73" s="5">
        <v>17</v>
      </c>
      <c r="E73" s="53" t="s">
        <v>1122</v>
      </c>
      <c r="F73" s="37">
        <v>28.7</v>
      </c>
      <c r="G73" s="5" t="s">
        <v>2</v>
      </c>
      <c r="H73" s="5" t="s">
        <v>5</v>
      </c>
      <c r="I73" s="5">
        <v>0.7</v>
      </c>
      <c r="J73" s="5">
        <v>35.950000000000003</v>
      </c>
      <c r="K73" s="5">
        <v>8.9</v>
      </c>
      <c r="L73" s="5">
        <v>4.4000000000000004</v>
      </c>
      <c r="M73" s="5"/>
      <c r="N73" s="15">
        <v>42.443677777799998</v>
      </c>
      <c r="O73" t="s">
        <v>844</v>
      </c>
      <c r="P73" s="6">
        <v>7.5848774999999993E-2</v>
      </c>
      <c r="Q73" s="6">
        <v>8.5968169999999997E-3</v>
      </c>
      <c r="R73" s="6">
        <v>945</v>
      </c>
      <c r="S73" s="6">
        <v>1.1303330000000001E-3</v>
      </c>
      <c r="T73" s="6">
        <v>5.6568542449999999</v>
      </c>
      <c r="U73" s="6">
        <v>0.137779086</v>
      </c>
      <c r="V73" s="6">
        <v>8.2039550000000006E-3</v>
      </c>
      <c r="W73" s="6">
        <v>4.5577500000000001E-4</v>
      </c>
      <c r="X73" s="6">
        <v>4.3043600000000002E-4</v>
      </c>
      <c r="Y73" s="6">
        <v>0.10732143299999999</v>
      </c>
      <c r="Z73" s="6">
        <v>1.2061242E-2</v>
      </c>
      <c r="AA73" s="6">
        <v>6.9568514999999997E-2</v>
      </c>
      <c r="AB73" s="6">
        <v>7.9435210000000003E-3</v>
      </c>
      <c r="AC73" s="6">
        <v>5.0965845000000003E-2</v>
      </c>
      <c r="AD73" s="6">
        <v>6.1719540000000003E-3</v>
      </c>
      <c r="AE73" s="6">
        <v>7.5848774999999993E-2</v>
      </c>
      <c r="AF73" s="6">
        <v>8.5968169999999997E-3</v>
      </c>
      <c r="AG73" s="6">
        <v>6.1358942140000003</v>
      </c>
      <c r="AH73" s="6">
        <v>0.27328474699999999</v>
      </c>
      <c r="AI73" s="6">
        <v>-8.6377900390000004</v>
      </c>
      <c r="AJ73" s="6">
        <v>0.55291090899999995</v>
      </c>
      <c r="AK73" s="6">
        <v>10.604260012999999</v>
      </c>
      <c r="AL73" s="6">
        <v>0.43643764600000001</v>
      </c>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row>
    <row r="74" spans="1:84" ht="16" x14ac:dyDescent="0.2">
      <c r="A74" s="4">
        <v>45811</v>
      </c>
      <c r="B74" s="19">
        <v>25154</v>
      </c>
      <c r="C74" s="5" t="s">
        <v>49</v>
      </c>
      <c r="D74" s="5">
        <v>18</v>
      </c>
      <c r="E74" s="53" t="s">
        <v>1123</v>
      </c>
      <c r="F74" s="37">
        <v>15.8</v>
      </c>
      <c r="G74" s="5" t="s">
        <v>2</v>
      </c>
      <c r="H74" s="5" t="s">
        <v>3</v>
      </c>
      <c r="I74" s="5">
        <v>0.6</v>
      </c>
      <c r="J74" s="5">
        <v>31.1</v>
      </c>
      <c r="K74" s="5">
        <v>8.1999999999999993</v>
      </c>
      <c r="L74" s="5">
        <v>4.4000000000000004</v>
      </c>
      <c r="M74" s="5"/>
      <c r="N74" s="15">
        <v>42.443677777799998</v>
      </c>
      <c r="O74" t="s">
        <v>845</v>
      </c>
      <c r="P74" s="6">
        <v>5.2639576E-2</v>
      </c>
      <c r="Q74" s="6">
        <v>1.5044257E-2</v>
      </c>
      <c r="R74" s="6">
        <v>544</v>
      </c>
      <c r="S74" s="6">
        <v>1.4598409999999999E-3</v>
      </c>
      <c r="T74" s="6">
        <v>2.8284271240000001</v>
      </c>
      <c r="U74" s="6">
        <v>0.115395502</v>
      </c>
      <c r="V74" s="6">
        <v>1.2650758999999999E-2</v>
      </c>
      <c r="W74" s="6">
        <v>7.0282000000000005E-4</v>
      </c>
      <c r="X74" s="6">
        <v>6.2670499999999997E-4</v>
      </c>
      <c r="Y74" s="6">
        <v>7.8665039000000006E-2</v>
      </c>
      <c r="Z74" s="6">
        <v>2.3083141000000001E-2</v>
      </c>
      <c r="AA74" s="6">
        <v>4.6517586999999999E-2</v>
      </c>
      <c r="AB74" s="6">
        <v>1.3194601E-2</v>
      </c>
      <c r="AC74" s="6">
        <v>3.4996212999999998E-2</v>
      </c>
      <c r="AD74" s="6">
        <v>1.0136328E-2</v>
      </c>
      <c r="AE74" s="6">
        <v>5.2639576E-2</v>
      </c>
      <c r="AF74" s="6">
        <v>1.5044257E-2</v>
      </c>
      <c r="AG74" s="6">
        <v>7.3662026909999998</v>
      </c>
      <c r="AH74" s="6">
        <v>0.79751092700000004</v>
      </c>
      <c r="AI74" s="6">
        <v>-8.9514848550000004</v>
      </c>
      <c r="AJ74" s="6">
        <v>1.559589331</v>
      </c>
      <c r="AK74" s="6">
        <v>11.601413914</v>
      </c>
      <c r="AL74" s="6">
        <v>1.6926865639999999</v>
      </c>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row>
    <row r="75" spans="1:84" ht="16" x14ac:dyDescent="0.2">
      <c r="A75" s="4">
        <v>45811</v>
      </c>
      <c r="B75" s="19">
        <v>25154</v>
      </c>
      <c r="C75" s="5" t="s">
        <v>49</v>
      </c>
      <c r="D75" s="25">
        <v>19</v>
      </c>
      <c r="E75" s="53" t="s">
        <v>1124</v>
      </c>
      <c r="F75" s="37">
        <v>-5.3</v>
      </c>
      <c r="G75" s="5" t="s">
        <v>2</v>
      </c>
      <c r="H75" s="5" t="s">
        <v>5</v>
      </c>
      <c r="I75" s="5">
        <v>0.95</v>
      </c>
      <c r="J75" s="5">
        <v>38.85</v>
      </c>
      <c r="K75" s="5">
        <v>9.1999999999999993</v>
      </c>
      <c r="L75" s="5">
        <v>4.8</v>
      </c>
      <c r="M75" s="5"/>
      <c r="N75" s="15">
        <v>42.443677777799998</v>
      </c>
      <c r="O75" t="s">
        <v>488</v>
      </c>
      <c r="P75" s="6">
        <v>6.3938096E-2</v>
      </c>
      <c r="Q75" s="6">
        <v>1.3310986E-2</v>
      </c>
      <c r="R75" s="6">
        <v>953</v>
      </c>
      <c r="S75" s="6">
        <v>1.5643059999999999E-3</v>
      </c>
      <c r="T75" s="6">
        <v>90.509667729</v>
      </c>
      <c r="U75" s="6">
        <v>0.107299425</v>
      </c>
      <c r="V75" s="6">
        <v>1.4578888999999999E-2</v>
      </c>
      <c r="W75" s="6">
        <v>8.0993799999999996E-4</v>
      </c>
      <c r="X75" s="6">
        <v>4.9402099999999998E-4</v>
      </c>
      <c r="Y75" s="6">
        <v>9.1906015999999993E-2</v>
      </c>
      <c r="Z75" s="6">
        <v>2.5958297000000002E-2</v>
      </c>
      <c r="AA75" s="6">
        <v>5.8877467000000003E-2</v>
      </c>
      <c r="AB75" s="6">
        <v>9.5599589999999998E-3</v>
      </c>
      <c r="AC75" s="6">
        <v>4.1348373000000001E-2</v>
      </c>
      <c r="AD75" s="6">
        <v>5.5077310000000001E-3</v>
      </c>
      <c r="AE75" s="6">
        <v>6.3938096E-2</v>
      </c>
      <c r="AF75" s="6">
        <v>1.3310986E-2</v>
      </c>
      <c r="AG75" s="6">
        <v>5.8574865300000001</v>
      </c>
      <c r="AH75" s="6">
        <v>2.2443441709999998</v>
      </c>
      <c r="AI75" s="6">
        <v>-9.0754945770000006</v>
      </c>
      <c r="AJ75" s="6">
        <v>2.0504895240000001</v>
      </c>
      <c r="AK75" s="6">
        <v>10.845274078999999</v>
      </c>
      <c r="AL75" s="6">
        <v>2.8801693290000001</v>
      </c>
      <c r="AM75" s="6" t="s">
        <v>507</v>
      </c>
      <c r="AN75" s="6">
        <v>2.0948570270000002</v>
      </c>
      <c r="AO75" s="6">
        <v>0.69828567600000002</v>
      </c>
      <c r="AP75" s="6">
        <v>1.7763401110000001</v>
      </c>
      <c r="AQ75" s="6">
        <v>0.59211336999999997</v>
      </c>
      <c r="AR75" s="6">
        <v>0.87502714400000003</v>
      </c>
      <c r="AS75" s="6">
        <v>0.79648403099999998</v>
      </c>
      <c r="AT75" s="6">
        <v>0.62879939399999996</v>
      </c>
      <c r="AU75" s="6">
        <v>0.90716576800000004</v>
      </c>
      <c r="AV75" s="6">
        <v>0.64519952300000005</v>
      </c>
      <c r="AW75" s="6">
        <v>0.85182489900000002</v>
      </c>
      <c r="AX75" s="6">
        <v>1.7653759000000002E-2</v>
      </c>
      <c r="AY75" s="6">
        <v>55.645161289999997</v>
      </c>
      <c r="AZ75" s="6">
        <v>101.875</v>
      </c>
      <c r="BA75" s="6">
        <v>39.565217390999997</v>
      </c>
      <c r="BB75" s="6">
        <v>0.72026897199999995</v>
      </c>
      <c r="BC75" s="6">
        <v>2.5533308000000001E-2</v>
      </c>
      <c r="BD75" s="6">
        <v>1.6371673999999999E-2</v>
      </c>
      <c r="BE75" s="6">
        <v>0.64118892199999999</v>
      </c>
      <c r="BF75" s="6">
        <v>0.36466699499999999</v>
      </c>
      <c r="BG75" s="6">
        <v>3.6850342000000001E-2</v>
      </c>
      <c r="BH75" s="6">
        <v>0.101052035</v>
      </c>
      <c r="BI75" s="6">
        <v>10.113953534</v>
      </c>
      <c r="BJ75" s="6">
        <v>1.0301882630000001</v>
      </c>
      <c r="BK75" s="6">
        <v>0.101858117</v>
      </c>
      <c r="BL75" s="6">
        <v>9.0654583629999994</v>
      </c>
      <c r="BM75" s="6">
        <v>3.821471469</v>
      </c>
      <c r="BN75" s="6">
        <v>0.42154200200000003</v>
      </c>
      <c r="BO75" s="6">
        <v>1.779845055</v>
      </c>
      <c r="BP75" s="6">
        <v>1.3782428760000001</v>
      </c>
      <c r="BQ75" s="6">
        <v>0.77436115699999997</v>
      </c>
      <c r="BR75" s="6">
        <v>0.24849310599999999</v>
      </c>
      <c r="BS75" s="6">
        <v>0.16385227799999999</v>
      </c>
      <c r="BT75" s="6">
        <v>0.65938359700000004</v>
      </c>
      <c r="BU75" s="6">
        <v>9.7533814999999996E-2</v>
      </c>
      <c r="BV75" s="6">
        <v>7.2931444999999998E-2</v>
      </c>
      <c r="BW75" s="6">
        <v>0.74775548199999997</v>
      </c>
      <c r="BX75" s="6">
        <v>9.6739992999999996E-2</v>
      </c>
      <c r="BY75" s="6">
        <v>6.8634933999999995E-2</v>
      </c>
      <c r="BZ75" s="6">
        <v>0.70947839000000001</v>
      </c>
      <c r="CA75" s="6">
        <v>5.1655837590000004</v>
      </c>
      <c r="CB75" s="6">
        <v>3.6116062470000001</v>
      </c>
      <c r="CC75" s="6">
        <v>0.69916710599999998</v>
      </c>
      <c r="CD75" s="6">
        <v>1.85049654</v>
      </c>
      <c r="CE75" s="6">
        <v>1.2634200659999999</v>
      </c>
      <c r="CF75" s="6">
        <v>0.68274651600000003</v>
      </c>
    </row>
    <row r="76" spans="1:84" ht="16" x14ac:dyDescent="0.2">
      <c r="A76" s="4">
        <v>45812</v>
      </c>
      <c r="B76" s="19">
        <v>25155</v>
      </c>
      <c r="C76" s="37" t="s">
        <v>52</v>
      </c>
      <c r="D76" s="5">
        <v>1</v>
      </c>
      <c r="E76" s="53" t="s">
        <v>1125</v>
      </c>
      <c r="F76" s="37">
        <v>22.7</v>
      </c>
      <c r="G76" s="5" t="s">
        <v>2</v>
      </c>
      <c r="H76" s="5" t="s">
        <v>3</v>
      </c>
      <c r="I76" s="5">
        <v>0.95</v>
      </c>
      <c r="J76" s="5">
        <v>38.9</v>
      </c>
      <c r="K76" s="5">
        <v>9.9</v>
      </c>
      <c r="L76" s="5">
        <v>4.45</v>
      </c>
      <c r="M76" s="5"/>
      <c r="N76" s="15">
        <v>42.446750000000002</v>
      </c>
      <c r="O76" t="s">
        <v>846</v>
      </c>
      <c r="P76" s="6">
        <v>6.0204252999999999E-2</v>
      </c>
      <c r="Q76" s="6">
        <v>1.1009100000000001E-2</v>
      </c>
      <c r="R76" s="6">
        <v>910</v>
      </c>
      <c r="S76" s="6">
        <v>1.326912E-3</v>
      </c>
      <c r="T76" s="6">
        <v>5.6568542449999999</v>
      </c>
      <c r="U76" s="6">
        <v>0.121175479</v>
      </c>
      <c r="V76" s="6">
        <v>1.0950334000000001E-2</v>
      </c>
      <c r="W76" s="6">
        <v>6.0835200000000005E-4</v>
      </c>
      <c r="X76" s="6">
        <v>4.4419899999999999E-4</v>
      </c>
      <c r="Y76" s="6">
        <v>8.3889402000000002E-2</v>
      </c>
      <c r="Z76" s="6">
        <v>1.4017025000000001E-2</v>
      </c>
      <c r="AA76" s="6">
        <v>5.5656484999999999E-2</v>
      </c>
      <c r="AB76" s="6">
        <v>1.0414922E-2</v>
      </c>
      <c r="AC76" s="6">
        <v>4.2558512999999999E-2</v>
      </c>
      <c r="AD76" s="6">
        <v>9.2197200000000007E-3</v>
      </c>
      <c r="AE76" s="6">
        <v>6.0204252999999999E-2</v>
      </c>
      <c r="AF76" s="6">
        <v>1.1009100000000001E-2</v>
      </c>
      <c r="AG76" s="6">
        <v>5.8563817880000002</v>
      </c>
      <c r="AH76" s="6">
        <v>0.580857187</v>
      </c>
      <c r="AI76" s="6">
        <v>-7.8780823089999998</v>
      </c>
      <c r="AJ76" s="6">
        <v>1.1391178769999999</v>
      </c>
      <c r="AK76" s="6">
        <v>9.8205857630000004</v>
      </c>
      <c r="AL76" s="6">
        <v>1.2459443670000001</v>
      </c>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row>
    <row r="77" spans="1:84" ht="16" x14ac:dyDescent="0.2">
      <c r="A77" s="4">
        <v>45812</v>
      </c>
      <c r="B77" s="19">
        <v>25155</v>
      </c>
      <c r="C77" s="37" t="s">
        <v>52</v>
      </c>
      <c r="D77" s="5">
        <v>2</v>
      </c>
      <c r="E77" s="53" t="s">
        <v>1126</v>
      </c>
      <c r="F77" s="37">
        <v>0</v>
      </c>
      <c r="G77" s="5" t="s">
        <v>2</v>
      </c>
      <c r="H77" s="5" t="s">
        <v>6</v>
      </c>
      <c r="I77" s="5">
        <v>0.65</v>
      </c>
      <c r="J77" s="5">
        <v>30.4</v>
      </c>
      <c r="K77" s="5">
        <v>8</v>
      </c>
      <c r="L77" s="5">
        <v>3.6</v>
      </c>
      <c r="M77" s="5"/>
      <c r="N77" s="15">
        <v>42.446750000000002</v>
      </c>
      <c r="O77" t="s">
        <v>847</v>
      </c>
      <c r="P77" s="6">
        <v>8.4365292999999994E-2</v>
      </c>
      <c r="Q77" s="6">
        <v>2.1104621E-2</v>
      </c>
      <c r="R77" s="6">
        <v>606</v>
      </c>
      <c r="S77" s="6">
        <v>2.3128990000000002E-3</v>
      </c>
      <c r="T77" s="6">
        <v>3.9999999979999998</v>
      </c>
      <c r="U77" s="6">
        <v>0.115389162</v>
      </c>
      <c r="V77" s="6">
        <v>2.0044335E-2</v>
      </c>
      <c r="W77" s="6">
        <v>1.113574E-3</v>
      </c>
      <c r="X77" s="6">
        <v>7.8412200000000005E-4</v>
      </c>
      <c r="Y77" s="6">
        <v>0.128386216</v>
      </c>
      <c r="Z77" s="6">
        <v>3.289181E-2</v>
      </c>
      <c r="AA77" s="6">
        <v>7.4328494999999994E-2</v>
      </c>
      <c r="AB77" s="6">
        <v>1.8530600000000001E-2</v>
      </c>
      <c r="AC77" s="6">
        <v>4.9338662999999998E-2</v>
      </c>
      <c r="AD77" s="6">
        <v>1.1722882E-2</v>
      </c>
      <c r="AE77" s="6">
        <v>8.4365292999999994E-2</v>
      </c>
      <c r="AF77" s="6">
        <v>2.1104621E-2</v>
      </c>
      <c r="AG77" s="6">
        <v>7.6786955560000001</v>
      </c>
      <c r="AH77" s="6">
        <v>0.52904939699999998</v>
      </c>
      <c r="AI77" s="6">
        <v>-11.033927374999999</v>
      </c>
      <c r="AJ77" s="6">
        <v>0.96783701200000005</v>
      </c>
      <c r="AK77" s="6">
        <v>13.444938822999999</v>
      </c>
      <c r="AL77" s="6">
        <v>1.077054612</v>
      </c>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row>
    <row r="78" spans="1:84" ht="16" x14ac:dyDescent="0.2">
      <c r="A78" s="4">
        <v>45812</v>
      </c>
      <c r="B78" s="19">
        <v>25155</v>
      </c>
      <c r="C78" s="37" t="s">
        <v>52</v>
      </c>
      <c r="D78" s="25">
        <v>3</v>
      </c>
      <c r="E78" s="53" t="s">
        <v>1127</v>
      </c>
      <c r="F78" s="37">
        <v>-11.5</v>
      </c>
      <c r="G78" s="5" t="s">
        <v>2</v>
      </c>
      <c r="H78" s="5" t="s">
        <v>5</v>
      </c>
      <c r="I78" s="5">
        <v>0.9</v>
      </c>
      <c r="J78" s="5">
        <v>37.450000000000003</v>
      </c>
      <c r="K78" s="5">
        <v>9</v>
      </c>
      <c r="L78" s="5">
        <v>4.45</v>
      </c>
      <c r="M78" s="5"/>
      <c r="N78" s="15">
        <v>42.446750000000002</v>
      </c>
      <c r="O78" t="s">
        <v>489</v>
      </c>
      <c r="P78" s="6">
        <v>6.2398018E-2</v>
      </c>
      <c r="Q78" s="6">
        <v>9.4278250000000008E-3</v>
      </c>
      <c r="R78" s="6">
        <v>668</v>
      </c>
      <c r="S78" s="6">
        <v>1.0869499999999999E-3</v>
      </c>
      <c r="T78" s="6">
        <v>5.6568542449999999</v>
      </c>
      <c r="U78" s="6">
        <v>0.115440479</v>
      </c>
      <c r="V78" s="6">
        <v>9.4156699999999992E-3</v>
      </c>
      <c r="W78" s="6">
        <v>5.2309299999999997E-4</v>
      </c>
      <c r="X78" s="6">
        <v>3.7478099999999997E-4</v>
      </c>
      <c r="Y78" s="6">
        <v>8.7653935000000002E-2</v>
      </c>
      <c r="Z78" s="6">
        <v>1.4327141999999999E-2</v>
      </c>
      <c r="AA78" s="6">
        <v>5.6875211000000002E-2</v>
      </c>
      <c r="AB78" s="6">
        <v>8.3634550000000005E-3</v>
      </c>
      <c r="AC78" s="6">
        <v>4.4688449999999998E-2</v>
      </c>
      <c r="AD78" s="6">
        <v>6.454871E-3</v>
      </c>
      <c r="AE78" s="6">
        <v>6.2398018E-2</v>
      </c>
      <c r="AF78" s="6">
        <v>9.4278250000000008E-3</v>
      </c>
      <c r="AG78" s="6">
        <v>6.0790284269999999</v>
      </c>
      <c r="AH78" s="6">
        <v>0.59470606800000003</v>
      </c>
      <c r="AI78" s="6">
        <v>-7.4414140609999997</v>
      </c>
      <c r="AJ78" s="6">
        <v>0.57190969999999997</v>
      </c>
      <c r="AK78" s="6">
        <v>9.6130777470000002</v>
      </c>
      <c r="AL78" s="6">
        <v>0.77369185100000004</v>
      </c>
      <c r="AM78" s="6" t="s">
        <v>508</v>
      </c>
      <c r="AN78" s="6">
        <v>1.8122017109999999</v>
      </c>
      <c r="AO78" s="6">
        <v>0.60406723699999998</v>
      </c>
      <c r="AP78" s="6">
        <v>1.9756097560000001</v>
      </c>
      <c r="AQ78" s="6">
        <v>0.65853658500000001</v>
      </c>
      <c r="AR78" s="6">
        <v>0.68550268299999995</v>
      </c>
      <c r="AS78" s="6">
        <v>0.62397143200000005</v>
      </c>
      <c r="AT78" s="6">
        <v>0.68696157700000005</v>
      </c>
      <c r="AU78" s="6">
        <v>0.99107606000000004</v>
      </c>
      <c r="AV78" s="6">
        <v>0.63130191099999999</v>
      </c>
      <c r="AW78" s="6">
        <v>0.80752374599999999</v>
      </c>
      <c r="AX78" s="6">
        <v>7.4937550000000004E-3</v>
      </c>
      <c r="AY78" s="6">
        <v>132.444444444</v>
      </c>
      <c r="AZ78" s="6" t="s">
        <v>452</v>
      </c>
      <c r="BA78" s="6">
        <v>71</v>
      </c>
      <c r="BB78" s="6" t="s">
        <v>453</v>
      </c>
      <c r="BC78" s="6">
        <v>2.3137206E-2</v>
      </c>
      <c r="BD78" s="6">
        <v>1.3415542000000001E-2</v>
      </c>
      <c r="BE78" s="6">
        <v>0.57982549900000002</v>
      </c>
      <c r="BF78" s="6">
        <v>0.37270112799999999</v>
      </c>
      <c r="BG78" s="6">
        <v>1.7880067999999999E-2</v>
      </c>
      <c r="BH78" s="6">
        <v>4.7974279000000002E-2</v>
      </c>
      <c r="BI78" s="6">
        <v>10.335653505</v>
      </c>
      <c r="BJ78" s="6">
        <v>0.51863548100000001</v>
      </c>
      <c r="BK78" s="6">
        <v>5.0179264000000001E-2</v>
      </c>
      <c r="BL78" s="6">
        <v>9.138986182</v>
      </c>
      <c r="BM78" s="6">
        <v>3.6285133950000001</v>
      </c>
      <c r="BN78" s="6">
        <v>0.39703675300000002</v>
      </c>
      <c r="BO78" s="6">
        <v>1.691963007</v>
      </c>
      <c r="BP78" s="6">
        <v>1.3885525519999999</v>
      </c>
      <c r="BQ78" s="6">
        <v>0.82067547900000004</v>
      </c>
      <c r="BR78" s="6">
        <v>0.306236018</v>
      </c>
      <c r="BS78" s="6">
        <v>0.17417146999999999</v>
      </c>
      <c r="BT78" s="6">
        <v>0.56874913500000002</v>
      </c>
      <c r="BU78" s="6">
        <v>7.1832164000000004E-2</v>
      </c>
      <c r="BV78" s="6">
        <v>7.7524567000000003E-2</v>
      </c>
      <c r="BW78" s="6">
        <v>1.079245886</v>
      </c>
      <c r="BX78" s="6">
        <v>7.2552467999999995E-2</v>
      </c>
      <c r="BY78" s="6">
        <v>7.2957468999999997E-2</v>
      </c>
      <c r="BZ78" s="6">
        <v>1.0055821739999999</v>
      </c>
      <c r="CA78" s="6">
        <v>6.4383439920000001</v>
      </c>
      <c r="CB78" s="6">
        <v>3.8390602720000002</v>
      </c>
      <c r="CC78" s="6">
        <v>0.59628070099999997</v>
      </c>
      <c r="CD78" s="6">
        <v>1.4052567469999999</v>
      </c>
      <c r="CE78" s="6">
        <v>1.3429885349999999</v>
      </c>
      <c r="CF78" s="6">
        <v>0.95568908500000005</v>
      </c>
    </row>
    <row r="79" spans="1:84" ht="16" x14ac:dyDescent="0.2">
      <c r="A79" s="4">
        <v>45812</v>
      </c>
      <c r="B79" s="19">
        <v>25155</v>
      </c>
      <c r="C79" s="37" t="s">
        <v>52</v>
      </c>
      <c r="D79" s="26">
        <v>4</v>
      </c>
      <c r="E79" s="53" t="s">
        <v>1128</v>
      </c>
      <c r="F79" s="37"/>
      <c r="G79" s="37" t="s">
        <v>2</v>
      </c>
      <c r="H79" s="6" t="s">
        <v>5</v>
      </c>
      <c r="I79" s="6">
        <v>0.85</v>
      </c>
      <c r="J79" s="6">
        <v>37.5</v>
      </c>
      <c r="K79" s="6">
        <v>8.6</v>
      </c>
      <c r="L79" s="6">
        <v>5</v>
      </c>
      <c r="M79" s="6"/>
      <c r="N79" s="15"/>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row>
    <row r="80" spans="1:84" ht="16" x14ac:dyDescent="0.2">
      <c r="A80" s="4">
        <v>45812</v>
      </c>
      <c r="B80" s="19">
        <v>25155</v>
      </c>
      <c r="C80" s="37" t="s">
        <v>52</v>
      </c>
      <c r="D80" s="5">
        <v>5</v>
      </c>
      <c r="E80" s="53" t="s">
        <v>1129</v>
      </c>
      <c r="F80" s="37">
        <v>0</v>
      </c>
      <c r="G80" s="5" t="s">
        <v>2</v>
      </c>
      <c r="H80" s="5" t="s">
        <v>6</v>
      </c>
      <c r="I80" s="5">
        <v>0.1</v>
      </c>
      <c r="J80" s="5" t="s">
        <v>8</v>
      </c>
      <c r="K80" s="5" t="s">
        <v>8</v>
      </c>
      <c r="L80" s="5" t="s">
        <v>8</v>
      </c>
      <c r="M80" s="5"/>
      <c r="N80" s="15">
        <v>42.446750000000002</v>
      </c>
      <c r="O80" t="s">
        <v>848</v>
      </c>
      <c r="P80" s="6">
        <v>2.4640564E-2</v>
      </c>
      <c r="Q80" s="6">
        <v>9.1594160000000001E-3</v>
      </c>
      <c r="R80" s="6">
        <v>194</v>
      </c>
      <c r="S80" s="6">
        <v>1.396474E-3</v>
      </c>
      <c r="T80" s="6">
        <v>45.254833888</v>
      </c>
      <c r="U80" s="6">
        <v>0.13170182999999999</v>
      </c>
      <c r="V80" s="6">
        <v>1.06033E-2</v>
      </c>
      <c r="W80" s="6">
        <v>5.8907199999999995E-4</v>
      </c>
      <c r="X80" s="6">
        <v>4.93754E-4</v>
      </c>
      <c r="Y80" s="6">
        <v>3.7032354000000003E-2</v>
      </c>
      <c r="Z80" s="6">
        <v>1.447791E-2</v>
      </c>
      <c r="AA80" s="6">
        <v>2.1902507000000002E-2</v>
      </c>
      <c r="AB80" s="6">
        <v>8.0353630000000002E-3</v>
      </c>
      <c r="AC80" s="6">
        <v>1.4882602999999999E-2</v>
      </c>
      <c r="AD80" s="6">
        <v>4.8407659999999998E-3</v>
      </c>
      <c r="AE80" s="6">
        <v>2.4640564E-2</v>
      </c>
      <c r="AF80" s="6">
        <v>9.1594160000000001E-3</v>
      </c>
      <c r="AG80" s="6">
        <v>7.315871477</v>
      </c>
      <c r="AH80" s="6">
        <v>0.50824603999999995</v>
      </c>
      <c r="AI80" s="6">
        <v>-10.251135374</v>
      </c>
      <c r="AJ80" s="6">
        <v>1.3777741560000001</v>
      </c>
      <c r="AK80" s="6">
        <v>12.603772763</v>
      </c>
      <c r="AL80" s="6">
        <v>1.3812885619999999</v>
      </c>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row>
    <row r="81" spans="1:84" ht="16" x14ac:dyDescent="0.2">
      <c r="A81" s="4">
        <v>45812</v>
      </c>
      <c r="B81" s="19">
        <v>25155</v>
      </c>
      <c r="C81" s="37" t="s">
        <v>52</v>
      </c>
      <c r="D81" s="26">
        <v>6</v>
      </c>
      <c r="E81" s="53" t="s">
        <v>1130</v>
      </c>
      <c r="F81" s="37"/>
      <c r="G81" s="37" t="s">
        <v>2</v>
      </c>
      <c r="H81" s="5" t="s">
        <v>6</v>
      </c>
      <c r="I81" s="5">
        <v>0.35</v>
      </c>
      <c r="J81" s="5">
        <v>27.9</v>
      </c>
      <c r="K81" s="5">
        <v>7.95</v>
      </c>
      <c r="L81" s="5">
        <v>3.5</v>
      </c>
      <c r="M81" s="5"/>
      <c r="N81" s="15"/>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row>
    <row r="82" spans="1:84" ht="16" x14ac:dyDescent="0.2">
      <c r="A82" s="4">
        <v>45812</v>
      </c>
      <c r="B82" s="19">
        <v>25155</v>
      </c>
      <c r="C82" s="37" t="s">
        <v>52</v>
      </c>
      <c r="D82" s="5">
        <v>7</v>
      </c>
      <c r="E82" s="53" t="s">
        <v>1131</v>
      </c>
      <c r="F82" s="37">
        <v>55.6</v>
      </c>
      <c r="G82" s="5" t="s">
        <v>2</v>
      </c>
      <c r="H82" s="5" t="s">
        <v>6</v>
      </c>
      <c r="I82" s="5">
        <v>0.35</v>
      </c>
      <c r="J82" s="5">
        <v>26.85</v>
      </c>
      <c r="K82" s="5">
        <v>7.6</v>
      </c>
      <c r="L82" s="5">
        <v>3.8</v>
      </c>
      <c r="M82" s="5"/>
      <c r="N82" s="15">
        <v>42.446750000000002</v>
      </c>
      <c r="O82" t="s">
        <v>849</v>
      </c>
      <c r="P82" s="6">
        <v>4.3904362000000002E-2</v>
      </c>
      <c r="Q82" s="6">
        <v>1.2782198E-2</v>
      </c>
      <c r="R82" s="6">
        <v>411</v>
      </c>
      <c r="S82" s="6">
        <v>1.327681E-3</v>
      </c>
      <c r="T82" s="6">
        <v>2.8284271240000001</v>
      </c>
      <c r="U82" s="6">
        <v>0.11124724</v>
      </c>
      <c r="V82" s="6">
        <v>1.1934508999999999E-2</v>
      </c>
      <c r="W82" s="6">
        <v>6.6302799999999997E-4</v>
      </c>
      <c r="X82" s="6">
        <v>4.61741E-4</v>
      </c>
      <c r="Y82" s="6">
        <v>6.7665330999999995E-2</v>
      </c>
      <c r="Z82" s="6">
        <v>2.1749385999999999E-2</v>
      </c>
      <c r="AA82" s="6">
        <v>3.8239271999999998E-2</v>
      </c>
      <c r="AB82" s="6">
        <v>1.0458449E-2</v>
      </c>
      <c r="AC82" s="6">
        <v>2.6827295000000001E-2</v>
      </c>
      <c r="AD82" s="6">
        <v>6.8586209999999996E-3</v>
      </c>
      <c r="AE82" s="6">
        <v>4.3904362000000002E-2</v>
      </c>
      <c r="AF82" s="6">
        <v>1.2782198E-2</v>
      </c>
      <c r="AG82" s="6">
        <v>7.8199972039999999</v>
      </c>
      <c r="AH82" s="6">
        <v>0.97832796600000005</v>
      </c>
      <c r="AI82" s="6">
        <v>-10.172691049000001</v>
      </c>
      <c r="AJ82" s="6">
        <v>1.1976435949999999</v>
      </c>
      <c r="AK82" s="6">
        <v>12.834741713</v>
      </c>
      <c r="AL82" s="6">
        <v>1.5154702170000001</v>
      </c>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row>
    <row r="83" spans="1:84" ht="16" x14ac:dyDescent="0.2">
      <c r="A83" s="4">
        <v>45812</v>
      </c>
      <c r="B83" s="19">
        <v>25155</v>
      </c>
      <c r="C83" s="37" t="s">
        <v>52</v>
      </c>
      <c r="D83" s="5">
        <v>8</v>
      </c>
      <c r="E83" s="53" t="s">
        <v>1132</v>
      </c>
      <c r="F83" s="37">
        <v>11.4</v>
      </c>
      <c r="G83" s="5" t="s">
        <v>2</v>
      </c>
      <c r="H83" s="5" t="s">
        <v>3</v>
      </c>
      <c r="I83" s="5">
        <v>1</v>
      </c>
      <c r="J83" s="5">
        <v>39.4</v>
      </c>
      <c r="K83" s="5">
        <v>9.25</v>
      </c>
      <c r="L83" s="5">
        <v>5</v>
      </c>
      <c r="M83" s="5"/>
      <c r="N83" s="15">
        <v>42.446750000000002</v>
      </c>
      <c r="O83" t="s">
        <v>850</v>
      </c>
      <c r="P83" s="6">
        <v>3.8474951E-2</v>
      </c>
      <c r="Q83" s="6">
        <v>2.393559E-2</v>
      </c>
      <c r="R83" s="6">
        <v>523</v>
      </c>
      <c r="S83" s="6">
        <v>2.404981E-3</v>
      </c>
      <c r="T83" s="6">
        <v>3.9999999979999998</v>
      </c>
      <c r="U83" s="6">
        <v>0.10817581800000001</v>
      </c>
      <c r="V83" s="6">
        <v>2.2232147000000001E-2</v>
      </c>
      <c r="W83" s="6">
        <v>1.235119E-3</v>
      </c>
      <c r="X83" s="6">
        <v>8.7929600000000001E-4</v>
      </c>
      <c r="Y83" s="6">
        <v>5.2751260000000001E-2</v>
      </c>
      <c r="Z83" s="6">
        <v>3.3157499E-2</v>
      </c>
      <c r="AA83" s="6">
        <v>3.6298423000000003E-2</v>
      </c>
      <c r="AB83" s="6">
        <v>2.2428463999999999E-2</v>
      </c>
      <c r="AC83" s="6">
        <v>2.5533619E-2</v>
      </c>
      <c r="AD83" s="6">
        <v>1.5717333E-2</v>
      </c>
      <c r="AE83" s="6">
        <v>3.8474951E-2</v>
      </c>
      <c r="AF83" s="6">
        <v>2.393559E-2</v>
      </c>
      <c r="AG83" s="6">
        <v>5.1425959690000003</v>
      </c>
      <c r="AH83" s="6">
        <v>0.34669865900000002</v>
      </c>
      <c r="AI83" s="6">
        <v>-8.6314075639999999</v>
      </c>
      <c r="AJ83" s="6">
        <v>0.39481280400000002</v>
      </c>
      <c r="AK83" s="6">
        <v>10.050243207999999</v>
      </c>
      <c r="AL83" s="6">
        <v>0.46482711500000001</v>
      </c>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row>
    <row r="84" spans="1:84" ht="16" x14ac:dyDescent="0.2">
      <c r="A84" s="4">
        <v>45812</v>
      </c>
      <c r="B84" s="19">
        <v>25155</v>
      </c>
      <c r="C84" s="37" t="s">
        <v>52</v>
      </c>
      <c r="D84" s="5">
        <v>9</v>
      </c>
      <c r="E84" s="53" t="s">
        <v>1133</v>
      </c>
      <c r="F84" s="37">
        <v>15.9</v>
      </c>
      <c r="G84" s="5" t="s">
        <v>2</v>
      </c>
      <c r="H84" s="5" t="s">
        <v>5</v>
      </c>
      <c r="I84" s="5">
        <v>0.7</v>
      </c>
      <c r="J84" s="5">
        <v>35.35</v>
      </c>
      <c r="K84" s="5">
        <v>8.6</v>
      </c>
      <c r="L84" s="5">
        <v>4.3</v>
      </c>
      <c r="M84" s="5"/>
      <c r="N84" s="15">
        <v>42.446750000000002</v>
      </c>
      <c r="O84" t="s">
        <v>851</v>
      </c>
      <c r="P84" s="6">
        <v>6.1474231999999997E-2</v>
      </c>
      <c r="Q84" s="6">
        <v>1.527572E-2</v>
      </c>
      <c r="R84" s="6">
        <v>727</v>
      </c>
      <c r="S84" s="6">
        <v>1.7849400000000001E-3</v>
      </c>
      <c r="T84" s="6">
        <v>3.9999999979999998</v>
      </c>
      <c r="U84" s="6">
        <v>0.12493881699999999</v>
      </c>
      <c r="V84" s="6">
        <v>1.4286510000000001E-2</v>
      </c>
      <c r="W84" s="6">
        <v>7.9369499999999997E-4</v>
      </c>
      <c r="X84" s="6">
        <v>5.9112699999999999E-4</v>
      </c>
      <c r="Y84" s="6">
        <v>8.7957656999999995E-2</v>
      </c>
      <c r="Z84" s="6">
        <v>2.1790154999999999E-2</v>
      </c>
      <c r="AA84" s="6">
        <v>5.6109723E-2</v>
      </c>
      <c r="AB84" s="6">
        <v>1.4044940000000001E-2</v>
      </c>
      <c r="AC84" s="6">
        <v>4.1028118000000002E-2</v>
      </c>
      <c r="AD84" s="6">
        <v>1.025973E-2</v>
      </c>
      <c r="AE84" s="6">
        <v>6.1474231999999997E-2</v>
      </c>
      <c r="AF84" s="6">
        <v>1.527572E-2</v>
      </c>
      <c r="AG84" s="6">
        <v>6.3859396630000003</v>
      </c>
      <c r="AH84" s="6">
        <v>0.32977634900000002</v>
      </c>
      <c r="AI84" s="6">
        <v>-8.7668465770000008</v>
      </c>
      <c r="AJ84" s="6">
        <v>0.64172890400000004</v>
      </c>
      <c r="AK84" s="6">
        <v>10.852963927999999</v>
      </c>
      <c r="AL84" s="6">
        <v>0.60939411499999996</v>
      </c>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row>
    <row r="85" spans="1:84" ht="16" x14ac:dyDescent="0.2">
      <c r="A85" s="4">
        <v>45813</v>
      </c>
      <c r="B85" s="19">
        <v>25156</v>
      </c>
      <c r="C85" s="5" t="s">
        <v>35</v>
      </c>
      <c r="D85" s="25">
        <v>1</v>
      </c>
      <c r="E85" s="53" t="s">
        <v>1134</v>
      </c>
      <c r="F85" s="37">
        <v>-34.1</v>
      </c>
      <c r="G85" s="5" t="s">
        <v>2</v>
      </c>
      <c r="H85" s="5" t="s">
        <v>5</v>
      </c>
      <c r="I85" s="5">
        <v>0.5</v>
      </c>
      <c r="J85" s="5">
        <v>36.35</v>
      </c>
      <c r="K85" s="5">
        <v>9</v>
      </c>
      <c r="L85" s="5">
        <v>4.45</v>
      </c>
      <c r="M85" s="5"/>
      <c r="N85" s="15">
        <v>42.588641666699999</v>
      </c>
      <c r="O85" t="s">
        <v>490</v>
      </c>
      <c r="P85" s="6">
        <v>3.5378598999999997E-2</v>
      </c>
      <c r="Q85" s="6">
        <v>7.660432E-3</v>
      </c>
      <c r="R85" s="6">
        <v>426</v>
      </c>
      <c r="S85" s="6">
        <v>8.5012E-4</v>
      </c>
      <c r="T85" s="6">
        <v>2.8284271240000001</v>
      </c>
      <c r="U85" s="6">
        <v>0.13855899599999999</v>
      </c>
      <c r="V85" s="6">
        <v>6.1354390000000003E-3</v>
      </c>
      <c r="W85" s="6">
        <v>3.4085799999999998E-4</v>
      </c>
      <c r="X85" s="6">
        <v>3.2016999999999999E-4</v>
      </c>
      <c r="Y85" s="6">
        <v>5.2320480000000003E-2</v>
      </c>
      <c r="Z85" s="6">
        <v>1.2226304E-2</v>
      </c>
      <c r="AA85" s="6">
        <v>3.1916531999999997E-2</v>
      </c>
      <c r="AB85" s="6">
        <v>6.5830799999999998E-3</v>
      </c>
      <c r="AC85" s="6">
        <v>2.2900083000000002E-2</v>
      </c>
      <c r="AD85" s="6">
        <v>4.9247470000000002E-3</v>
      </c>
      <c r="AE85" s="6">
        <v>3.5378598999999997E-2</v>
      </c>
      <c r="AF85" s="6">
        <v>7.660432E-3</v>
      </c>
      <c r="AG85" s="6">
        <v>6.8604199780000004</v>
      </c>
      <c r="AH85" s="6">
        <v>0.79533298399999997</v>
      </c>
      <c r="AI85" s="6">
        <v>-9.4219212159999994</v>
      </c>
      <c r="AJ85" s="6">
        <v>0.80547171500000003</v>
      </c>
      <c r="AK85" s="6">
        <v>11.661859056000001</v>
      </c>
      <c r="AL85" s="6">
        <v>1.0582780540000001</v>
      </c>
      <c r="AM85" s="6" t="s">
        <v>509</v>
      </c>
      <c r="AN85" s="6">
        <v>2.216446527</v>
      </c>
      <c r="AO85" s="6">
        <v>0.73881550900000004</v>
      </c>
      <c r="AP85" s="6">
        <v>1.8823529409999999</v>
      </c>
      <c r="AQ85" s="6">
        <v>0.62745097999999999</v>
      </c>
      <c r="AR85" s="6">
        <v>0.86928451100000004</v>
      </c>
      <c r="AS85" s="6">
        <v>0.79125686100000003</v>
      </c>
      <c r="AT85" s="6">
        <v>0.66156323800000005</v>
      </c>
      <c r="AU85" s="6">
        <v>0.95443400300000003</v>
      </c>
      <c r="AV85" s="6">
        <v>0.68313324499999994</v>
      </c>
      <c r="AW85" s="6">
        <v>0.87284543199999998</v>
      </c>
      <c r="AX85" s="6">
        <v>1.1080332E-2</v>
      </c>
      <c r="AY85" s="6">
        <v>89.25</v>
      </c>
      <c r="AZ85" s="6" t="s">
        <v>452</v>
      </c>
      <c r="BA85" s="6">
        <v>48.375</v>
      </c>
      <c r="BB85" s="6" t="s">
        <v>453</v>
      </c>
      <c r="BC85" s="6">
        <v>4.2456717999999997E-2</v>
      </c>
      <c r="BD85" s="6">
        <v>1.2875852E-2</v>
      </c>
      <c r="BE85" s="6">
        <v>0.30327008</v>
      </c>
      <c r="BF85" s="6">
        <v>0.328036257</v>
      </c>
      <c r="BG85" s="6">
        <v>5.3123626E-2</v>
      </c>
      <c r="BH85" s="6">
        <v>0.161944374</v>
      </c>
      <c r="BI85" s="6">
        <v>9.0764512939999999</v>
      </c>
      <c r="BJ85" s="6">
        <v>1.4469826050000001</v>
      </c>
      <c r="BK85" s="6">
        <v>0.15942162400000001</v>
      </c>
      <c r="BL85" s="6">
        <v>7.1186851779999998</v>
      </c>
      <c r="BM85" s="6">
        <v>4.5539735119999998</v>
      </c>
      <c r="BN85" s="6">
        <v>0.63972115600000001</v>
      </c>
      <c r="BO85" s="6">
        <v>2.0404358230000001</v>
      </c>
      <c r="BP85" s="6">
        <v>1.174945404</v>
      </c>
      <c r="BQ85" s="6">
        <v>0.57583061000000002</v>
      </c>
      <c r="BR85" s="6">
        <v>0.26148526100000002</v>
      </c>
      <c r="BS85" s="6">
        <v>0.16969153300000001</v>
      </c>
      <c r="BT85" s="6">
        <v>0.64895257200000001</v>
      </c>
      <c r="BU85" s="6">
        <v>9.1750943000000001E-2</v>
      </c>
      <c r="BV85" s="6">
        <v>7.5530525000000001E-2</v>
      </c>
      <c r="BW85" s="6">
        <v>0.82321252099999997</v>
      </c>
      <c r="BX85" s="6">
        <v>9.1297799999999998E-2</v>
      </c>
      <c r="BY85" s="6">
        <v>7.1080899000000003E-2</v>
      </c>
      <c r="BZ85" s="6">
        <v>0.77856091999999999</v>
      </c>
      <c r="CA85" s="6">
        <v>5.4519548110000002</v>
      </c>
      <c r="CB85" s="6">
        <v>3.7403141870000001</v>
      </c>
      <c r="CC85" s="6">
        <v>0.68605010799999999</v>
      </c>
      <c r="CD85" s="6">
        <v>1.7503175870000001</v>
      </c>
      <c r="CE85" s="6">
        <v>1.308444962</v>
      </c>
      <c r="CF85" s="6">
        <v>0.74754717199999998</v>
      </c>
    </row>
    <row r="86" spans="1:84" ht="16" x14ac:dyDescent="0.2">
      <c r="A86" s="4">
        <v>45813</v>
      </c>
      <c r="B86" s="19">
        <v>25156</v>
      </c>
      <c r="C86" s="5" t="s">
        <v>35</v>
      </c>
      <c r="D86" s="25">
        <v>2</v>
      </c>
      <c r="E86" s="53" t="s">
        <v>1135</v>
      </c>
      <c r="F86" s="37">
        <v>13.4</v>
      </c>
      <c r="G86" s="5" t="s">
        <v>2</v>
      </c>
      <c r="H86" s="5" t="s">
        <v>3</v>
      </c>
      <c r="I86" s="5">
        <v>0.6</v>
      </c>
      <c r="J86" s="5">
        <v>32.450000000000003</v>
      </c>
      <c r="K86" s="5">
        <v>8.5</v>
      </c>
      <c r="L86" s="5">
        <v>4.5999999999999996</v>
      </c>
      <c r="M86" s="5"/>
      <c r="N86" s="15">
        <v>42.588641666699999</v>
      </c>
      <c r="O86" t="s">
        <v>491</v>
      </c>
      <c r="P86" s="6">
        <v>7.2171162999999997E-2</v>
      </c>
      <c r="Q86" s="6">
        <v>1.0812136999999999E-2</v>
      </c>
      <c r="R86" s="6">
        <v>592</v>
      </c>
      <c r="S86" s="6">
        <v>1.3361250000000001E-3</v>
      </c>
      <c r="T86" s="6">
        <v>3.9999999979999998</v>
      </c>
      <c r="U86" s="6">
        <v>0.138170195</v>
      </c>
      <c r="V86" s="6">
        <v>9.6701389999999995E-3</v>
      </c>
      <c r="W86" s="6">
        <v>5.3722999999999998E-4</v>
      </c>
      <c r="X86" s="6">
        <v>4.9291700000000005E-4</v>
      </c>
      <c r="Y86" s="6">
        <v>0.100375779</v>
      </c>
      <c r="Z86" s="6">
        <v>1.4386509E-2</v>
      </c>
      <c r="AA86" s="6">
        <v>6.7880609999999994E-2</v>
      </c>
      <c r="AB86" s="6">
        <v>1.0391396000000001E-2</v>
      </c>
      <c r="AC86" s="6">
        <v>4.5467726E-2</v>
      </c>
      <c r="AD86" s="6">
        <v>7.4379590000000001E-3</v>
      </c>
      <c r="AE86" s="6">
        <v>7.2171162999999997E-2</v>
      </c>
      <c r="AF86" s="6">
        <v>1.0812136999999999E-2</v>
      </c>
      <c r="AG86" s="6">
        <v>5.5616734909999996</v>
      </c>
      <c r="AH86" s="6">
        <v>0.397517079</v>
      </c>
      <c r="AI86" s="6">
        <v>-9.7935057939999997</v>
      </c>
      <c r="AJ86" s="6">
        <v>0.45255775100000001</v>
      </c>
      <c r="AK86" s="6">
        <v>11.265959991000001</v>
      </c>
      <c r="AL86" s="6">
        <v>0.53461380400000003</v>
      </c>
      <c r="AM86" s="6" t="s">
        <v>510</v>
      </c>
      <c r="AN86" s="6">
        <v>1.125265358</v>
      </c>
      <c r="AO86" s="6">
        <v>0.56263267900000002</v>
      </c>
      <c r="AP86" s="6">
        <v>1</v>
      </c>
      <c r="AQ86" s="6">
        <v>1</v>
      </c>
      <c r="AR86" s="6">
        <v>0.22465079499999999</v>
      </c>
      <c r="AS86" s="6">
        <v>0.324102587</v>
      </c>
      <c r="AT86" s="6">
        <v>0</v>
      </c>
      <c r="AU86" s="6"/>
      <c r="AV86" s="6">
        <v>0.78131633899999997</v>
      </c>
      <c r="AW86" s="6"/>
      <c r="AX86" s="6">
        <v>5.6925999999999999E-3</v>
      </c>
      <c r="AY86" s="6">
        <v>174.66666666699999</v>
      </c>
      <c r="AZ86" s="6">
        <v>251</v>
      </c>
      <c r="BA86" s="6">
        <v>136.5</v>
      </c>
      <c r="BB86" s="6">
        <v>0.64774193499999999</v>
      </c>
      <c r="BC86" s="6">
        <v>1.7033596000000002E-2</v>
      </c>
      <c r="BD86" s="6">
        <v>7.9423489999999996E-3</v>
      </c>
      <c r="BE86" s="6">
        <v>0.46627550400000001</v>
      </c>
      <c r="BF86" s="6">
        <v>0.37858471399999999</v>
      </c>
      <c r="BG86" s="6">
        <v>6.0794730000000002E-3</v>
      </c>
      <c r="BH86" s="6">
        <v>1.6058422999999999E-2</v>
      </c>
      <c r="BI86" s="6">
        <v>10.517356304</v>
      </c>
      <c r="BJ86" s="6">
        <v>0.19502826200000001</v>
      </c>
      <c r="BK86" s="6">
        <v>1.8543468E-2</v>
      </c>
      <c r="BL86" s="6">
        <v>8.8663788990000008</v>
      </c>
      <c r="BM86" s="6">
        <v>0</v>
      </c>
      <c r="BN86" s="6">
        <v>0</v>
      </c>
      <c r="BO86" s="6">
        <v>0.55587621899999995</v>
      </c>
      <c r="BP86" s="6">
        <v>0</v>
      </c>
      <c r="BQ86" s="6">
        <v>0</v>
      </c>
      <c r="BR86" s="6">
        <v>0.41639172800000002</v>
      </c>
      <c r="BS86" s="6" t="s">
        <v>453</v>
      </c>
      <c r="BT86" s="6" t="s">
        <v>453</v>
      </c>
      <c r="BU86" s="6">
        <v>2.2801321999999999E-2</v>
      </c>
      <c r="BV86" s="6" t="s">
        <v>453</v>
      </c>
      <c r="BW86" s="6" t="s">
        <v>453</v>
      </c>
      <c r="BX86" s="6">
        <v>2.6410112999999999E-2</v>
      </c>
      <c r="BY86" s="6" t="s">
        <v>453</v>
      </c>
      <c r="BZ86" s="6" t="s">
        <v>453</v>
      </c>
      <c r="CA86" s="6">
        <v>8.8663788990000008</v>
      </c>
      <c r="CB86" s="6" t="s">
        <v>453</v>
      </c>
      <c r="CC86" s="6" t="s">
        <v>453</v>
      </c>
      <c r="CD86" s="6">
        <v>0.55587621899999995</v>
      </c>
      <c r="CE86" s="6" t="s">
        <v>453</v>
      </c>
      <c r="CF86" s="6" t="s">
        <v>453</v>
      </c>
    </row>
    <row r="87" spans="1:84" ht="16" x14ac:dyDescent="0.2">
      <c r="A87" s="7">
        <v>45813</v>
      </c>
      <c r="B87" s="19">
        <v>25156</v>
      </c>
      <c r="C87" s="8" t="s">
        <v>35</v>
      </c>
      <c r="D87" s="5">
        <v>3</v>
      </c>
      <c r="E87" s="53" t="s">
        <v>1136</v>
      </c>
      <c r="F87" s="5">
        <v>51.4</v>
      </c>
      <c r="G87" s="5" t="s">
        <v>2</v>
      </c>
      <c r="H87" s="37" t="s">
        <v>6</v>
      </c>
      <c r="I87" s="5">
        <v>0.05</v>
      </c>
      <c r="J87" s="37" t="s">
        <v>8</v>
      </c>
      <c r="K87" s="37" t="s">
        <v>8</v>
      </c>
      <c r="L87" s="5" t="s">
        <v>8</v>
      </c>
      <c r="M87" s="5"/>
      <c r="N87" s="15">
        <v>42.588641666699999</v>
      </c>
      <c r="O87" t="s">
        <v>852</v>
      </c>
      <c r="P87" s="6">
        <v>1.1640196E-2</v>
      </c>
      <c r="Q87" s="6">
        <v>4.9364370000000001E-3</v>
      </c>
      <c r="R87" s="6">
        <v>132</v>
      </c>
      <c r="S87" s="6">
        <v>5.5095600000000002E-4</v>
      </c>
      <c r="T87" s="6">
        <v>2</v>
      </c>
      <c r="U87" s="6">
        <v>0.14204450099999999</v>
      </c>
      <c r="V87" s="6">
        <v>3.8787600000000002E-3</v>
      </c>
      <c r="W87" s="6">
        <v>2.1548699999999999E-4</v>
      </c>
      <c r="X87" s="6">
        <v>2.23477E-4</v>
      </c>
      <c r="Y87" s="6">
        <v>1.8873139000000001E-2</v>
      </c>
      <c r="Z87" s="6">
        <v>8.0277690000000006E-3</v>
      </c>
      <c r="AA87" s="6">
        <v>9.9856779999999996E-3</v>
      </c>
      <c r="AB87" s="6">
        <v>4.2387299999999996E-3</v>
      </c>
      <c r="AC87" s="6">
        <v>5.8648320000000004E-3</v>
      </c>
      <c r="AD87" s="6">
        <v>2.4552279999999998E-3</v>
      </c>
      <c r="AE87" s="6">
        <v>1.1640196E-2</v>
      </c>
      <c r="AF87" s="6">
        <v>4.9364370000000001E-3</v>
      </c>
      <c r="AG87" s="6">
        <v>9.0185597160000004</v>
      </c>
      <c r="AH87" s="6">
        <v>0.19677362400000001</v>
      </c>
      <c r="AI87" s="6">
        <v>-13.886725585000001</v>
      </c>
      <c r="AJ87" s="6">
        <v>0.57992259300000004</v>
      </c>
      <c r="AK87" s="6">
        <v>16.559662003</v>
      </c>
      <c r="AL87" s="6">
        <v>0.5725654</v>
      </c>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row>
    <row r="88" spans="1:84" ht="16" x14ac:dyDescent="0.2">
      <c r="A88" s="4">
        <v>45813</v>
      </c>
      <c r="B88" s="19">
        <v>25156</v>
      </c>
      <c r="C88" s="5" t="s">
        <v>35</v>
      </c>
      <c r="D88" s="5">
        <v>4</v>
      </c>
      <c r="E88" s="53" t="s">
        <v>1137</v>
      </c>
      <c r="F88" s="37">
        <v>6.3</v>
      </c>
      <c r="G88" s="5" t="s">
        <v>2</v>
      </c>
      <c r="H88" s="5" t="s">
        <v>6</v>
      </c>
      <c r="I88" s="5">
        <v>0.4</v>
      </c>
      <c r="J88" s="5">
        <v>26.65</v>
      </c>
      <c r="K88" s="5">
        <v>7.5</v>
      </c>
      <c r="L88" s="5">
        <v>3.9</v>
      </c>
      <c r="M88" s="5"/>
      <c r="N88" s="15">
        <v>42.588641666699999</v>
      </c>
      <c r="O88" t="s">
        <v>853</v>
      </c>
      <c r="P88" s="6">
        <v>2.8290383999999998E-2</v>
      </c>
      <c r="Q88" s="6">
        <v>1.0329847E-2</v>
      </c>
      <c r="R88" s="6">
        <v>293</v>
      </c>
      <c r="S88" s="6">
        <v>1.2972610000000001E-3</v>
      </c>
      <c r="T88" s="6">
        <v>3.9999999979999998</v>
      </c>
      <c r="U88" s="6">
        <v>0.141757402</v>
      </c>
      <c r="V88" s="6">
        <v>9.1512759999999999E-3</v>
      </c>
      <c r="W88" s="6">
        <v>5.0840399999999995E-4</v>
      </c>
      <c r="X88" s="6">
        <v>4.37458E-4</v>
      </c>
      <c r="Y88" s="6">
        <v>4.1240809000000003E-2</v>
      </c>
      <c r="Z88" s="6">
        <v>1.5984295999999999E-2</v>
      </c>
      <c r="AA88" s="6">
        <v>2.5878411E-2</v>
      </c>
      <c r="AB88" s="6">
        <v>9.2336299999999996E-3</v>
      </c>
      <c r="AC88" s="6">
        <v>1.6274858999999999E-2</v>
      </c>
      <c r="AD88" s="6">
        <v>5.2267920000000001E-3</v>
      </c>
      <c r="AE88" s="6">
        <v>2.8290383999999998E-2</v>
      </c>
      <c r="AF88" s="6">
        <v>1.0329847E-2</v>
      </c>
      <c r="AG88" s="6">
        <v>6.427629445</v>
      </c>
      <c r="AH88" s="6">
        <v>0.52042626000000003</v>
      </c>
      <c r="AI88" s="6">
        <v>-11.097236754000001</v>
      </c>
      <c r="AJ88" s="6">
        <v>1.091688547</v>
      </c>
      <c r="AK88" s="6">
        <v>12.82759628</v>
      </c>
      <c r="AL88" s="6">
        <v>1.173966557</v>
      </c>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row>
    <row r="89" spans="1:84" ht="16" x14ac:dyDescent="0.2">
      <c r="A89" s="4">
        <v>45813</v>
      </c>
      <c r="B89" s="19">
        <v>25156</v>
      </c>
      <c r="C89" s="5" t="s">
        <v>35</v>
      </c>
      <c r="D89" s="25">
        <v>5</v>
      </c>
      <c r="E89" s="53" t="s">
        <v>1138</v>
      </c>
      <c r="F89" s="37">
        <v>9.6</v>
      </c>
      <c r="G89" s="5" t="s">
        <v>2</v>
      </c>
      <c r="H89" s="5" t="s">
        <v>3</v>
      </c>
      <c r="I89" s="5">
        <v>0.85</v>
      </c>
      <c r="J89" s="5">
        <v>39.950000000000003</v>
      </c>
      <c r="K89" s="5">
        <v>9.9</v>
      </c>
      <c r="L89" s="5">
        <v>4.95</v>
      </c>
      <c r="M89" s="5"/>
      <c r="N89" s="15">
        <v>42.588641666699999</v>
      </c>
      <c r="O89" t="s">
        <v>492</v>
      </c>
      <c r="P89" s="6">
        <v>0.10397374400000001</v>
      </c>
      <c r="Q89" s="6">
        <v>8.3154690000000007E-3</v>
      </c>
      <c r="R89" s="6">
        <v>1126</v>
      </c>
      <c r="S89" s="6">
        <v>9.4457500000000002E-4</v>
      </c>
      <c r="T89" s="6">
        <v>5.6568542449999999</v>
      </c>
      <c r="U89" s="6">
        <v>0.108244294</v>
      </c>
      <c r="V89" s="6">
        <v>8.7263280000000002E-3</v>
      </c>
      <c r="W89" s="6">
        <v>4.8479600000000001E-4</v>
      </c>
      <c r="X89" s="6">
        <v>3.6560800000000001E-4</v>
      </c>
      <c r="Y89" s="6">
        <v>0.15723521300000001</v>
      </c>
      <c r="Z89" s="6">
        <v>1.4157108999999999E-2</v>
      </c>
      <c r="AA89" s="6">
        <v>9.2379758000000006E-2</v>
      </c>
      <c r="AB89" s="6">
        <v>7.0415950000000003E-3</v>
      </c>
      <c r="AC89" s="6">
        <v>5.9948533999999998E-2</v>
      </c>
      <c r="AD89" s="6">
        <v>4.0260340000000004E-3</v>
      </c>
      <c r="AE89" s="6">
        <v>0.10397374400000001</v>
      </c>
      <c r="AF89" s="6">
        <v>8.3154690000000007E-3</v>
      </c>
      <c r="AG89" s="6">
        <v>7.5058365340000002</v>
      </c>
      <c r="AH89" s="6">
        <v>0.32410152800000003</v>
      </c>
      <c r="AI89" s="6">
        <v>-11.386467303</v>
      </c>
      <c r="AJ89" s="6">
        <v>0.82486186800000005</v>
      </c>
      <c r="AK89" s="6">
        <v>13.641164887</v>
      </c>
      <c r="AL89" s="6">
        <v>0.83258455799999997</v>
      </c>
      <c r="AM89" s="6" t="s">
        <v>511</v>
      </c>
      <c r="AN89" s="6">
        <v>1</v>
      </c>
      <c r="AO89" s="6">
        <v>1</v>
      </c>
      <c r="AP89" s="6" t="s">
        <v>452</v>
      </c>
      <c r="AQ89" s="6" t="s">
        <v>453</v>
      </c>
      <c r="AR89" s="6">
        <v>0</v>
      </c>
      <c r="AS89" s="6" t="s">
        <v>453</v>
      </c>
      <c r="AT89" s="6">
        <v>0</v>
      </c>
      <c r="AU89" s="6" t="s">
        <v>453</v>
      </c>
      <c r="AV89" s="6" t="s">
        <v>452</v>
      </c>
      <c r="AW89" s="6" t="s">
        <v>453</v>
      </c>
      <c r="AX89" s="6">
        <v>0</v>
      </c>
      <c r="AY89" s="6" t="s">
        <v>452</v>
      </c>
      <c r="AZ89" s="6" t="s">
        <v>452</v>
      </c>
      <c r="BA89" s="6" t="s">
        <v>452</v>
      </c>
      <c r="BB89" s="6" t="s">
        <v>453</v>
      </c>
      <c r="BC89" s="6">
        <v>1.5501627E-2</v>
      </c>
      <c r="BD89" s="6" t="s">
        <v>453</v>
      </c>
      <c r="BE89" s="6" t="s">
        <v>453</v>
      </c>
      <c r="BF89" s="6">
        <v>0.37975736100000002</v>
      </c>
      <c r="BG89" s="6" t="s">
        <v>453</v>
      </c>
      <c r="BH89" s="6" t="s">
        <v>453</v>
      </c>
      <c r="BI89" s="6">
        <v>10.554974562</v>
      </c>
      <c r="BJ89" s="6" t="s">
        <v>453</v>
      </c>
      <c r="BK89" s="6" t="s">
        <v>453</v>
      </c>
      <c r="BL89" s="6" t="s">
        <v>453</v>
      </c>
      <c r="BM89" s="6" t="s">
        <v>453</v>
      </c>
      <c r="BN89" s="6" t="s">
        <v>453</v>
      </c>
      <c r="BO89" s="6" t="s">
        <v>453</v>
      </c>
      <c r="BP89" s="6" t="s">
        <v>453</v>
      </c>
      <c r="BQ89" s="6" t="s">
        <v>453</v>
      </c>
      <c r="BR89" s="6">
        <v>0</v>
      </c>
      <c r="BS89" s="6">
        <v>0</v>
      </c>
      <c r="BT89" s="6" t="s">
        <v>453</v>
      </c>
      <c r="BU89" s="6">
        <v>0</v>
      </c>
      <c r="BV89" s="6">
        <v>0</v>
      </c>
      <c r="BW89" s="6" t="s">
        <v>453</v>
      </c>
      <c r="BX89" s="6">
        <v>0</v>
      </c>
      <c r="BY89" s="6">
        <v>0</v>
      </c>
      <c r="BZ89" s="6" t="s">
        <v>453</v>
      </c>
      <c r="CA89" s="6">
        <v>0</v>
      </c>
      <c r="CB89" s="6">
        <v>0</v>
      </c>
      <c r="CC89" s="6" t="s">
        <v>453</v>
      </c>
      <c r="CD89" s="6">
        <v>0</v>
      </c>
      <c r="CE89" s="6">
        <v>0</v>
      </c>
      <c r="CF89" s="6" t="s">
        <v>453</v>
      </c>
    </row>
    <row r="90" spans="1:84" ht="16" x14ac:dyDescent="0.2">
      <c r="A90" s="4">
        <v>45813</v>
      </c>
      <c r="B90" s="19">
        <v>25156</v>
      </c>
      <c r="C90" s="5" t="s">
        <v>35</v>
      </c>
      <c r="D90" s="25">
        <v>6</v>
      </c>
      <c r="E90" s="53" t="s">
        <v>1139</v>
      </c>
      <c r="F90" s="37">
        <v>-46.1</v>
      </c>
      <c r="G90" s="5" t="s">
        <v>2</v>
      </c>
      <c r="H90" s="5" t="s">
        <v>3</v>
      </c>
      <c r="I90" s="5">
        <v>0.55000000000000004</v>
      </c>
      <c r="J90" s="5">
        <v>32.85</v>
      </c>
      <c r="K90" s="5">
        <v>9.0500000000000007</v>
      </c>
      <c r="L90" s="5">
        <v>4.45</v>
      </c>
      <c r="M90" s="5"/>
      <c r="N90" s="15">
        <v>42.588641666699999</v>
      </c>
      <c r="O90" t="s">
        <v>493</v>
      </c>
      <c r="P90" s="6">
        <v>5.5527083999999997E-2</v>
      </c>
      <c r="Q90" s="6">
        <v>1.2509743E-2</v>
      </c>
      <c r="R90" s="6">
        <v>547</v>
      </c>
      <c r="S90" s="6">
        <v>1.4511260000000001E-3</v>
      </c>
      <c r="T90" s="6">
        <v>3.9999999979999998</v>
      </c>
      <c r="U90" s="6">
        <v>0.126609637</v>
      </c>
      <c r="V90" s="6">
        <v>1.1461415000000001E-2</v>
      </c>
      <c r="W90" s="6">
        <v>6.3674499999999998E-4</v>
      </c>
      <c r="X90" s="6">
        <v>5.5302699999999999E-4</v>
      </c>
      <c r="Y90" s="6">
        <v>7.6065737999999994E-2</v>
      </c>
      <c r="Z90" s="6">
        <v>1.6959638999999999E-2</v>
      </c>
      <c r="AA90" s="6">
        <v>5.2249833000000002E-2</v>
      </c>
      <c r="AB90" s="6">
        <v>1.1892761E-2</v>
      </c>
      <c r="AC90" s="6">
        <v>3.8136545000000001E-2</v>
      </c>
      <c r="AD90" s="6">
        <v>8.7357449999999996E-3</v>
      </c>
      <c r="AE90" s="6">
        <v>5.5527083999999997E-2</v>
      </c>
      <c r="AF90" s="6">
        <v>1.2509743E-2</v>
      </c>
      <c r="AG90" s="6">
        <v>5.3412891939999998</v>
      </c>
      <c r="AH90" s="6">
        <v>0.21963962400000001</v>
      </c>
      <c r="AI90" s="6">
        <v>-8.2151909589999992</v>
      </c>
      <c r="AJ90" s="6">
        <v>0.87747900099999998</v>
      </c>
      <c r="AK90" s="6">
        <v>9.8089709200000001</v>
      </c>
      <c r="AL90" s="6">
        <v>0.78782719599999995</v>
      </c>
      <c r="AM90" s="6" t="s">
        <v>512</v>
      </c>
      <c r="AN90" s="6">
        <v>1.259327522</v>
      </c>
      <c r="AO90" s="6">
        <v>0.41977584099999998</v>
      </c>
      <c r="AP90" s="6">
        <v>1.9756097560000001</v>
      </c>
      <c r="AQ90" s="6">
        <v>0.65853658500000001</v>
      </c>
      <c r="AR90" s="6">
        <v>0.420057185</v>
      </c>
      <c r="AS90" s="6">
        <v>0.382352527</v>
      </c>
      <c r="AT90" s="6">
        <v>0.68696157700000005</v>
      </c>
      <c r="AU90" s="6">
        <v>0.99107606000000004</v>
      </c>
      <c r="AV90" s="6">
        <v>0.53915621300000005</v>
      </c>
      <c r="AW90" s="6">
        <v>0.68671429299999998</v>
      </c>
      <c r="AX90" s="6">
        <v>9.3457939999999993E-3</v>
      </c>
      <c r="AY90" s="6">
        <v>106</v>
      </c>
      <c r="AZ90" s="6">
        <v>452</v>
      </c>
      <c r="BA90" s="6">
        <v>62.75</v>
      </c>
      <c r="BB90" s="6">
        <v>0.87809616300000004</v>
      </c>
      <c r="BC90" s="6">
        <v>3.6185373E-2</v>
      </c>
      <c r="BD90" s="6">
        <v>8.7971860000000002E-3</v>
      </c>
      <c r="BE90" s="6">
        <v>0.243114413</v>
      </c>
      <c r="BF90" s="6">
        <v>0.361100319</v>
      </c>
      <c r="BG90" s="6">
        <v>2.1292379E-2</v>
      </c>
      <c r="BH90" s="6">
        <v>5.8965272999999999E-2</v>
      </c>
      <c r="BI90" s="6">
        <v>9.9728768690000003</v>
      </c>
      <c r="BJ90" s="6">
        <v>0.58713530999999997</v>
      </c>
      <c r="BK90" s="6">
        <v>5.8873214E-2</v>
      </c>
      <c r="BL90" s="6">
        <v>6.5508126710000001</v>
      </c>
      <c r="BM90" s="6">
        <v>3.6734770879999998</v>
      </c>
      <c r="BN90" s="6">
        <v>0.56076662099999997</v>
      </c>
      <c r="BO90" s="6">
        <v>1.5693107019999999</v>
      </c>
      <c r="BP90" s="6">
        <v>1.210335438</v>
      </c>
      <c r="BQ90" s="6">
        <v>0.77125290499999999</v>
      </c>
      <c r="BR90" s="6">
        <v>0.27869709100000001</v>
      </c>
      <c r="BS90" s="6">
        <v>0.17417146999999999</v>
      </c>
      <c r="BT90" s="6">
        <v>0.62494900799999997</v>
      </c>
      <c r="BU90" s="6">
        <v>8.4089873999999995E-2</v>
      </c>
      <c r="BV90" s="6">
        <v>7.7524567000000003E-2</v>
      </c>
      <c r="BW90" s="6">
        <v>0.92192511899999996</v>
      </c>
      <c r="BX90" s="6">
        <v>8.4088056999999994E-2</v>
      </c>
      <c r="BY90" s="6">
        <v>7.2957468999999997E-2</v>
      </c>
      <c r="BZ90" s="6">
        <v>0.867631759</v>
      </c>
      <c r="CA90" s="6">
        <v>5.8313352649999999</v>
      </c>
      <c r="CB90" s="6">
        <v>3.8390602720000002</v>
      </c>
      <c r="CC90" s="6">
        <v>0.65835012000000004</v>
      </c>
      <c r="CD90" s="6">
        <v>1.617601879</v>
      </c>
      <c r="CE90" s="6">
        <v>1.3429885349999999</v>
      </c>
      <c r="CF90" s="6">
        <v>0.83023428200000005</v>
      </c>
    </row>
    <row r="91" spans="1:84" ht="16" x14ac:dyDescent="0.2">
      <c r="A91" s="4">
        <v>45813</v>
      </c>
      <c r="B91" s="19">
        <v>25156</v>
      </c>
      <c r="C91" s="5" t="s">
        <v>35</v>
      </c>
      <c r="D91" s="5">
        <v>7</v>
      </c>
      <c r="E91" s="53" t="s">
        <v>1140</v>
      </c>
      <c r="F91" s="37">
        <v>24.4</v>
      </c>
      <c r="G91" s="5" t="s">
        <v>2</v>
      </c>
      <c r="H91" s="5" t="s">
        <v>3</v>
      </c>
      <c r="I91" s="5">
        <v>0.8</v>
      </c>
      <c r="J91" s="5">
        <v>38.700000000000003</v>
      </c>
      <c r="K91" s="5">
        <v>8.5</v>
      </c>
      <c r="L91" s="5">
        <v>4.3499999999999996</v>
      </c>
      <c r="M91" s="5"/>
      <c r="N91" s="15">
        <v>42.588641666699999</v>
      </c>
      <c r="O91" t="s">
        <v>854</v>
      </c>
      <c r="P91" s="6">
        <v>7.9658858999999999E-2</v>
      </c>
      <c r="Q91" s="6">
        <v>1.207039E-2</v>
      </c>
      <c r="R91" s="6">
        <v>936</v>
      </c>
      <c r="S91" s="6">
        <v>1.415712E-3</v>
      </c>
      <c r="T91" s="6">
        <v>5.6568542449999999</v>
      </c>
      <c r="U91" s="6">
        <v>0.119271638</v>
      </c>
      <c r="V91" s="6">
        <v>1.1869645999999999E-2</v>
      </c>
      <c r="W91" s="6">
        <v>6.5942500000000005E-4</v>
      </c>
      <c r="X91" s="6">
        <v>5.0832299999999998E-4</v>
      </c>
      <c r="Y91" s="6">
        <v>0.118945105</v>
      </c>
      <c r="Z91" s="6">
        <v>1.8321301000000002E-2</v>
      </c>
      <c r="AA91" s="6">
        <v>6.9891645000000002E-2</v>
      </c>
      <c r="AB91" s="6">
        <v>1.0535955E-2</v>
      </c>
      <c r="AC91" s="6">
        <v>5.3074666999999999E-2</v>
      </c>
      <c r="AD91" s="6">
        <v>8.2263270000000003E-3</v>
      </c>
      <c r="AE91" s="6">
        <v>7.9658858999999999E-2</v>
      </c>
      <c r="AF91" s="6">
        <v>1.207039E-2</v>
      </c>
      <c r="AG91" s="6">
        <v>7.5168176080000002</v>
      </c>
      <c r="AH91" s="6">
        <v>0.25996534100000002</v>
      </c>
      <c r="AI91" s="6">
        <v>-8.8584283460000002</v>
      </c>
      <c r="AJ91" s="6">
        <v>0.836438613</v>
      </c>
      <c r="AK91" s="6">
        <v>11.624651867000001</v>
      </c>
      <c r="AL91" s="6">
        <v>0.78026325500000004</v>
      </c>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row>
    <row r="92" spans="1:84" ht="16" x14ac:dyDescent="0.2">
      <c r="A92" s="4">
        <v>45813</v>
      </c>
      <c r="B92" s="19">
        <v>25156</v>
      </c>
      <c r="C92" s="5" t="s">
        <v>35</v>
      </c>
      <c r="D92" s="5">
        <v>8</v>
      </c>
      <c r="E92" s="53" t="s">
        <v>1141</v>
      </c>
      <c r="F92" s="37">
        <v>-27.8</v>
      </c>
      <c r="G92" s="5" t="s">
        <v>2</v>
      </c>
      <c r="H92" s="5" t="s">
        <v>6</v>
      </c>
      <c r="I92" s="5">
        <v>0.4</v>
      </c>
      <c r="J92" s="5">
        <v>29.15</v>
      </c>
      <c r="K92" s="5">
        <v>7.2</v>
      </c>
      <c r="L92" s="5">
        <v>3.95</v>
      </c>
      <c r="M92" s="5"/>
      <c r="N92" s="15">
        <v>42.588641666699999</v>
      </c>
      <c r="O92" t="s">
        <v>855</v>
      </c>
      <c r="P92" s="6">
        <v>7.8497813E-2</v>
      </c>
      <c r="Q92" s="6">
        <v>9.0093110000000007E-3</v>
      </c>
      <c r="R92" s="6">
        <v>563</v>
      </c>
      <c r="S92" s="6">
        <v>1.1570829999999999E-3</v>
      </c>
      <c r="T92" s="6">
        <v>7.9999999920000002</v>
      </c>
      <c r="U92" s="6">
        <v>0.125206335</v>
      </c>
      <c r="V92" s="6">
        <v>9.2414079999999996E-3</v>
      </c>
      <c r="W92" s="6">
        <v>5.1341199999999998E-4</v>
      </c>
      <c r="X92" s="6">
        <v>4.2417699999999997E-4</v>
      </c>
      <c r="Y92" s="6">
        <v>0.12024636800000001</v>
      </c>
      <c r="Z92" s="6">
        <v>1.2974283E-2</v>
      </c>
      <c r="AA92" s="6">
        <v>6.9884750999999995E-2</v>
      </c>
      <c r="AB92" s="6">
        <v>8.3241730000000007E-3</v>
      </c>
      <c r="AC92" s="6">
        <v>4.1905862000000002E-2</v>
      </c>
      <c r="AD92" s="6">
        <v>5.6919919999999999E-3</v>
      </c>
      <c r="AE92" s="6">
        <v>7.8497813E-2</v>
      </c>
      <c r="AF92" s="6">
        <v>9.0093110000000007E-3</v>
      </c>
      <c r="AG92" s="6">
        <v>7.6963208090000004</v>
      </c>
      <c r="AH92" s="6">
        <v>0.34373250700000002</v>
      </c>
      <c r="AI92" s="6">
        <v>-12.834448023</v>
      </c>
      <c r="AJ92" s="6">
        <v>0.78869700399999998</v>
      </c>
      <c r="AK92" s="6">
        <v>14.966353577</v>
      </c>
      <c r="AL92" s="6">
        <v>0.83952593900000005</v>
      </c>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row>
    <row r="93" spans="1:84" ht="16" x14ac:dyDescent="0.2">
      <c r="A93" s="4">
        <v>45817</v>
      </c>
      <c r="B93" s="19">
        <v>25160</v>
      </c>
      <c r="C93" s="5" t="s">
        <v>37</v>
      </c>
      <c r="D93" s="25">
        <v>1</v>
      </c>
      <c r="E93" s="53" t="s">
        <v>1142</v>
      </c>
      <c r="F93" s="37">
        <v>49.8</v>
      </c>
      <c r="G93" s="5" t="s">
        <v>2</v>
      </c>
      <c r="H93" s="5" t="s">
        <v>3</v>
      </c>
      <c r="I93" s="5">
        <v>1.05</v>
      </c>
      <c r="J93" s="5">
        <v>37.299999999999997</v>
      </c>
      <c r="K93" s="5">
        <v>9.25</v>
      </c>
      <c r="L93" s="5">
        <v>4.8</v>
      </c>
      <c r="M93" s="5"/>
      <c r="N93" s="15">
        <v>42.774216666699999</v>
      </c>
      <c r="O93" t="s">
        <v>494</v>
      </c>
      <c r="P93" s="6">
        <v>0.111512228</v>
      </c>
      <c r="Q93" s="6">
        <v>9.0690960000000004E-3</v>
      </c>
      <c r="R93" s="6">
        <v>928</v>
      </c>
      <c r="S93" s="6">
        <v>1.06931E-3</v>
      </c>
      <c r="T93" s="6">
        <v>5.6568542449999999</v>
      </c>
      <c r="U93" s="6">
        <v>0.11716133099999999</v>
      </c>
      <c r="V93" s="6">
        <v>9.1268200000000008E-3</v>
      </c>
      <c r="W93" s="6">
        <v>5.0704600000000004E-4</v>
      </c>
      <c r="X93" s="6">
        <v>4.3046000000000002E-4</v>
      </c>
      <c r="Y93" s="6">
        <v>0.174095323</v>
      </c>
      <c r="Z93" s="6">
        <v>1.4457325E-2</v>
      </c>
      <c r="AA93" s="6">
        <v>9.8369058999999995E-2</v>
      </c>
      <c r="AB93" s="6">
        <v>8.1369589999999992E-3</v>
      </c>
      <c r="AC93" s="6">
        <v>5.6449894E-2</v>
      </c>
      <c r="AD93" s="6">
        <v>5.171976E-3</v>
      </c>
      <c r="AE93" s="6">
        <v>0.111512228</v>
      </c>
      <c r="AF93" s="6">
        <v>9.0690960000000004E-3</v>
      </c>
      <c r="AG93" s="6">
        <v>8.0754142170000005</v>
      </c>
      <c r="AH93" s="6">
        <v>0.449671078</v>
      </c>
      <c r="AI93" s="6">
        <v>-13.747452396</v>
      </c>
      <c r="AJ93" s="6">
        <v>0.74795339000000005</v>
      </c>
      <c r="AK93" s="6">
        <v>15.945734271999999</v>
      </c>
      <c r="AL93" s="6">
        <v>0.83659553600000003</v>
      </c>
      <c r="AM93" s="6" t="s">
        <v>513</v>
      </c>
      <c r="AN93" s="6">
        <v>1</v>
      </c>
      <c r="AO93" s="6">
        <v>1</v>
      </c>
      <c r="AP93" s="6" t="s">
        <v>452</v>
      </c>
      <c r="AQ93" s="6" t="s">
        <v>453</v>
      </c>
      <c r="AR93" s="6">
        <v>0</v>
      </c>
      <c r="AS93" s="6" t="s">
        <v>453</v>
      </c>
      <c r="AT93" s="6">
        <v>0</v>
      </c>
      <c r="AU93" s="6" t="s">
        <v>453</v>
      </c>
      <c r="AV93" s="6" t="s">
        <v>452</v>
      </c>
      <c r="AW93" s="6" t="s">
        <v>453</v>
      </c>
      <c r="AX93" s="6">
        <v>0</v>
      </c>
      <c r="AY93" s="6" t="s">
        <v>452</v>
      </c>
      <c r="AZ93" s="6" t="s">
        <v>452</v>
      </c>
      <c r="BA93" s="6" t="s">
        <v>452</v>
      </c>
      <c r="BB93" s="6" t="s">
        <v>453</v>
      </c>
      <c r="BC93" s="6">
        <v>1.5501627E-2</v>
      </c>
      <c r="BD93" s="6" t="s">
        <v>453</v>
      </c>
      <c r="BE93" s="6" t="s">
        <v>453</v>
      </c>
      <c r="BF93" s="6">
        <v>0.37975736100000002</v>
      </c>
      <c r="BG93" s="6" t="s">
        <v>453</v>
      </c>
      <c r="BH93" s="6" t="s">
        <v>453</v>
      </c>
      <c r="BI93" s="6">
        <v>10.554974562</v>
      </c>
      <c r="BJ93" s="6" t="s">
        <v>453</v>
      </c>
      <c r="BK93" s="6" t="s">
        <v>453</v>
      </c>
      <c r="BL93" s="6" t="s">
        <v>453</v>
      </c>
      <c r="BM93" s="6" t="s">
        <v>453</v>
      </c>
      <c r="BN93" s="6" t="s">
        <v>453</v>
      </c>
      <c r="BO93" s="6" t="s">
        <v>453</v>
      </c>
      <c r="BP93" s="6" t="s">
        <v>453</v>
      </c>
      <c r="BQ93" s="6" t="s">
        <v>453</v>
      </c>
      <c r="BR93" s="6">
        <v>0</v>
      </c>
      <c r="BS93" s="6">
        <v>0</v>
      </c>
      <c r="BT93" s="6" t="s">
        <v>453</v>
      </c>
      <c r="BU93" s="6">
        <v>0</v>
      </c>
      <c r="BV93" s="6">
        <v>0</v>
      </c>
      <c r="BW93" s="6" t="s">
        <v>453</v>
      </c>
      <c r="BX93" s="6">
        <v>0</v>
      </c>
      <c r="BY93" s="6">
        <v>0</v>
      </c>
      <c r="BZ93" s="6" t="s">
        <v>453</v>
      </c>
      <c r="CA93" s="6">
        <v>0</v>
      </c>
      <c r="CB93" s="6">
        <v>0</v>
      </c>
      <c r="CC93" s="6" t="s">
        <v>453</v>
      </c>
      <c r="CD93" s="6">
        <v>0</v>
      </c>
      <c r="CE93" s="6">
        <v>0</v>
      </c>
      <c r="CF93" s="6" t="s">
        <v>453</v>
      </c>
    </row>
    <row r="94" spans="1:84" ht="16" x14ac:dyDescent="0.2">
      <c r="A94" s="4">
        <v>45817</v>
      </c>
      <c r="B94" s="19">
        <v>25160</v>
      </c>
      <c r="C94" s="5" t="s">
        <v>37</v>
      </c>
      <c r="D94" s="5">
        <v>2</v>
      </c>
      <c r="E94" s="53" t="s">
        <v>1143</v>
      </c>
      <c r="F94" s="37">
        <v>17.5</v>
      </c>
      <c r="G94" s="5" t="s">
        <v>2</v>
      </c>
      <c r="H94" s="5" t="s">
        <v>3</v>
      </c>
      <c r="I94" s="5">
        <v>0.75</v>
      </c>
      <c r="J94" s="5">
        <v>34</v>
      </c>
      <c r="K94" s="5">
        <v>8.8000000000000007</v>
      </c>
      <c r="L94" s="5">
        <v>4</v>
      </c>
      <c r="M94" s="5"/>
      <c r="N94" s="15">
        <v>42.774216666699999</v>
      </c>
      <c r="O94" t="s">
        <v>856</v>
      </c>
      <c r="P94" s="6">
        <v>0.11543263600000001</v>
      </c>
      <c r="Q94" s="6">
        <v>8.9965849999999997E-3</v>
      </c>
      <c r="R94" s="6">
        <v>846</v>
      </c>
      <c r="S94" s="6">
        <v>1.135198E-3</v>
      </c>
      <c r="T94" s="6">
        <v>5.6568542449999999</v>
      </c>
      <c r="U94" s="6">
        <v>0.13364282199999999</v>
      </c>
      <c r="V94" s="6">
        <v>8.4942669999999998E-3</v>
      </c>
      <c r="W94" s="6">
        <v>4.7190399999999999E-4</v>
      </c>
      <c r="X94" s="6">
        <v>4.5373800000000003E-4</v>
      </c>
      <c r="Y94" s="6">
        <v>0.18155260500000001</v>
      </c>
      <c r="Z94" s="6">
        <v>1.4161887999999999E-2</v>
      </c>
      <c r="AA94" s="6">
        <v>9.9091960000000007E-2</v>
      </c>
      <c r="AB94" s="6">
        <v>8.1170059999999995E-3</v>
      </c>
      <c r="AC94" s="6">
        <v>6.5461422000000005E-2</v>
      </c>
      <c r="AD94" s="6">
        <v>4.8733370000000002E-3</v>
      </c>
      <c r="AE94" s="6">
        <v>0.11543263600000001</v>
      </c>
      <c r="AF94" s="6">
        <v>8.9965849999999997E-3</v>
      </c>
      <c r="AG94" s="6">
        <v>8.5682756260000001</v>
      </c>
      <c r="AH94" s="6">
        <v>0.39495625699999998</v>
      </c>
      <c r="AI94" s="6">
        <v>-11.706593429</v>
      </c>
      <c r="AJ94" s="6">
        <v>0.57666651000000002</v>
      </c>
      <c r="AK94" s="6">
        <v>14.509864589999999</v>
      </c>
      <c r="AL94" s="6">
        <v>0.64183395899999995</v>
      </c>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row>
    <row r="95" spans="1:84" ht="16" x14ac:dyDescent="0.2">
      <c r="A95" s="4">
        <v>45817</v>
      </c>
      <c r="B95" s="19">
        <v>25160</v>
      </c>
      <c r="C95" s="5" t="s">
        <v>37</v>
      </c>
      <c r="D95" s="5">
        <v>3</v>
      </c>
      <c r="E95" s="53" t="s">
        <v>1144</v>
      </c>
      <c r="F95" s="37">
        <v>46.4</v>
      </c>
      <c r="G95" s="5" t="s">
        <v>2</v>
      </c>
      <c r="H95" s="5" t="s">
        <v>5</v>
      </c>
      <c r="I95" s="5">
        <v>1.1000000000000001</v>
      </c>
      <c r="J95" s="5">
        <v>40.5</v>
      </c>
      <c r="K95" s="5">
        <v>10</v>
      </c>
      <c r="L95" s="5">
        <v>5</v>
      </c>
      <c r="M95" s="5"/>
      <c r="N95" s="15">
        <v>42.774216666699999</v>
      </c>
      <c r="O95" t="s">
        <v>857</v>
      </c>
      <c r="P95" s="6">
        <v>7.7421785000000007E-2</v>
      </c>
      <c r="Q95" s="6">
        <v>1.7294793999999999E-2</v>
      </c>
      <c r="R95" s="6">
        <v>958</v>
      </c>
      <c r="S95" s="6">
        <v>1.5565570000000001E-3</v>
      </c>
      <c r="T95" s="6">
        <v>45.254833888</v>
      </c>
      <c r="U95" s="6">
        <v>9.1531700999999993E-2</v>
      </c>
      <c r="V95" s="6">
        <v>1.7005655000000001E-2</v>
      </c>
      <c r="W95" s="6">
        <v>9.4475899999999999E-4</v>
      </c>
      <c r="X95" s="6">
        <v>6.30639E-4</v>
      </c>
      <c r="Y95" s="6">
        <v>0.112570095</v>
      </c>
      <c r="Z95" s="6">
        <v>2.6051162999999999E-2</v>
      </c>
      <c r="AA95" s="6">
        <v>7.1075192999999995E-2</v>
      </c>
      <c r="AB95" s="6">
        <v>1.5753157E-2</v>
      </c>
      <c r="AC95" s="6">
        <v>4.5529597999999998E-2</v>
      </c>
      <c r="AD95" s="6">
        <v>9.4567829999999999E-3</v>
      </c>
      <c r="AE95" s="6">
        <v>7.7421785000000007E-2</v>
      </c>
      <c r="AF95" s="6">
        <v>1.7294793999999999E-2</v>
      </c>
      <c r="AG95" s="6">
        <v>6.4881301689999997</v>
      </c>
      <c r="AH95" s="6">
        <v>0.49850939799999999</v>
      </c>
      <c r="AI95" s="6">
        <v>-10.9606884</v>
      </c>
      <c r="AJ95" s="6">
        <v>0.70574709800000002</v>
      </c>
      <c r="AK95" s="6">
        <v>12.740998686999999</v>
      </c>
      <c r="AL95" s="6">
        <v>0.80371735099999997</v>
      </c>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row>
    <row r="96" spans="1:84" ht="16" x14ac:dyDescent="0.2">
      <c r="A96" s="4">
        <v>45818</v>
      </c>
      <c r="B96" s="19">
        <v>25161</v>
      </c>
      <c r="C96" s="5" t="s">
        <v>38</v>
      </c>
      <c r="D96" s="5">
        <v>1</v>
      </c>
      <c r="E96" s="53" t="s">
        <v>1145</v>
      </c>
      <c r="F96" s="37">
        <v>-48.8</v>
      </c>
      <c r="G96" s="5" t="s">
        <v>2</v>
      </c>
      <c r="H96" s="5" t="s">
        <v>3</v>
      </c>
      <c r="I96" s="5">
        <v>0.9</v>
      </c>
      <c r="J96" s="5">
        <v>35.5</v>
      </c>
      <c r="K96" s="5">
        <v>8.5</v>
      </c>
      <c r="L96" s="5">
        <v>4.45</v>
      </c>
      <c r="M96" s="5"/>
      <c r="N96" s="15">
        <v>42.779716666699997</v>
      </c>
      <c r="O96" t="s">
        <v>858</v>
      </c>
      <c r="P96" s="6">
        <v>8.0003949000000005E-2</v>
      </c>
      <c r="Q96" s="6">
        <v>2.1005673999999998E-2</v>
      </c>
      <c r="R96" s="6">
        <v>752</v>
      </c>
      <c r="S96" s="6">
        <v>2.275259E-3</v>
      </c>
      <c r="T96" s="6">
        <v>3.9999999979999998</v>
      </c>
      <c r="U96" s="6">
        <v>0.10761098099999999</v>
      </c>
      <c r="V96" s="6">
        <v>2.1143370000000002E-2</v>
      </c>
      <c r="W96" s="6">
        <v>1.1746320000000001E-3</v>
      </c>
      <c r="X96" s="6">
        <v>7.3399499999999998E-4</v>
      </c>
      <c r="Y96" s="6">
        <v>0.113568474</v>
      </c>
      <c r="Z96" s="6">
        <v>3.1576198999999999E-2</v>
      </c>
      <c r="AA96" s="6">
        <v>7.3441450000000005E-2</v>
      </c>
      <c r="AB96" s="6">
        <v>1.9020808E-2</v>
      </c>
      <c r="AC96" s="6">
        <v>5.1048964000000002E-2</v>
      </c>
      <c r="AD96" s="6">
        <v>1.309869E-2</v>
      </c>
      <c r="AE96" s="6">
        <v>8.0003949000000005E-2</v>
      </c>
      <c r="AF96" s="6">
        <v>2.1005673999999998E-2</v>
      </c>
      <c r="AG96" s="6">
        <v>6.1079329290000004</v>
      </c>
      <c r="AH96" s="6">
        <v>1.1135092600000001</v>
      </c>
      <c r="AI96" s="6">
        <v>-9.4724394759999999</v>
      </c>
      <c r="AJ96" s="6">
        <v>1.4870984549999999</v>
      </c>
      <c r="AK96" s="6">
        <v>11.27195201</v>
      </c>
      <c r="AL96" s="6">
        <v>1.8515900860000001</v>
      </c>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row>
    <row r="97" spans="1:84" ht="16" x14ac:dyDescent="0.2">
      <c r="A97" s="4">
        <v>45824</v>
      </c>
      <c r="B97" s="19">
        <v>25167</v>
      </c>
      <c r="C97" s="5" t="s">
        <v>1</v>
      </c>
      <c r="D97" s="25">
        <v>15</v>
      </c>
      <c r="E97" s="53" t="s">
        <v>1146</v>
      </c>
      <c r="F97" s="37">
        <v>4.5999999999999996</v>
      </c>
      <c r="G97" s="5" t="s">
        <v>2</v>
      </c>
      <c r="H97" s="5" t="s">
        <v>3</v>
      </c>
      <c r="I97" s="5">
        <v>0.9</v>
      </c>
      <c r="J97" s="5">
        <v>36.549999999999997</v>
      </c>
      <c r="K97" s="5">
        <v>9.25</v>
      </c>
      <c r="L97" s="5">
        <v>5.0999999999999996</v>
      </c>
      <c r="M97" s="5" t="s">
        <v>4</v>
      </c>
      <c r="N97" s="15">
        <v>42.080227777799998</v>
      </c>
      <c r="O97" s="9" t="s">
        <v>516</v>
      </c>
      <c r="P97" s="6">
        <v>0.10343590900000001</v>
      </c>
      <c r="Q97" s="6">
        <v>2.0593949E-2</v>
      </c>
      <c r="R97" s="6">
        <v>769</v>
      </c>
      <c r="S97" s="6">
        <v>2.191288E-3</v>
      </c>
      <c r="T97" s="6">
        <v>3.9999999979999998</v>
      </c>
      <c r="U97" s="6">
        <v>0.10885740300000001</v>
      </c>
      <c r="V97" s="6">
        <v>2.0129897000000001E-2</v>
      </c>
      <c r="W97" s="6">
        <v>1.118328E-3</v>
      </c>
      <c r="X97" s="6">
        <v>7.3260600000000001E-4</v>
      </c>
      <c r="Y97" s="6">
        <v>0.146030991</v>
      </c>
      <c r="Z97" s="6">
        <v>3.0881991000000001E-2</v>
      </c>
      <c r="AA97" s="6">
        <v>9.4770180999999995E-2</v>
      </c>
      <c r="AB97" s="6">
        <v>1.8418087E-2</v>
      </c>
      <c r="AC97" s="6">
        <v>6.6712682999999995E-2</v>
      </c>
      <c r="AD97" s="6">
        <v>1.2260701000000001E-2</v>
      </c>
      <c r="AE97" s="6">
        <v>0.10343590900000001</v>
      </c>
      <c r="AF97" s="6">
        <v>2.0593949E-2</v>
      </c>
      <c r="AG97" s="6">
        <v>6.0519270199999999</v>
      </c>
      <c r="AH97" s="6">
        <v>0.46180787600000001</v>
      </c>
      <c r="AI97" s="6">
        <v>-9.1785037440000004</v>
      </c>
      <c r="AJ97" s="6">
        <v>0.76791698100000005</v>
      </c>
      <c r="AK97" s="6">
        <v>10.995062406000001</v>
      </c>
      <c r="AL97" s="6">
        <v>0.88447167999999998</v>
      </c>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row>
    <row r="98" spans="1:84" ht="16" x14ac:dyDescent="0.2">
      <c r="A98" s="4">
        <v>45824</v>
      </c>
      <c r="B98" s="19">
        <v>25167</v>
      </c>
      <c r="C98" s="5" t="s">
        <v>1</v>
      </c>
      <c r="D98" s="5">
        <v>16</v>
      </c>
      <c r="E98" s="53" t="s">
        <v>1147</v>
      </c>
      <c r="F98" s="37">
        <v>3.6</v>
      </c>
      <c r="G98" s="5" t="s">
        <v>2</v>
      </c>
      <c r="H98" s="5" t="s">
        <v>3</v>
      </c>
      <c r="I98" s="5">
        <v>0.7</v>
      </c>
      <c r="J98" s="5">
        <v>36.5</v>
      </c>
      <c r="K98" s="5">
        <v>8.3000000000000007</v>
      </c>
      <c r="L98" s="5">
        <v>4.8</v>
      </c>
      <c r="M98" s="5" t="s">
        <v>4</v>
      </c>
      <c r="N98" s="15">
        <v>42.080227777799998</v>
      </c>
      <c r="O98" t="s">
        <v>859</v>
      </c>
      <c r="P98" s="6">
        <v>8.3388219999999999E-2</v>
      </c>
      <c r="Q98" s="6">
        <v>1.5079535999999999E-2</v>
      </c>
      <c r="R98" s="6">
        <v>948</v>
      </c>
      <c r="S98" s="6">
        <v>1.779458E-3</v>
      </c>
      <c r="T98" s="6">
        <v>3.9999999979999998</v>
      </c>
      <c r="U98" s="6">
        <v>0.119789463</v>
      </c>
      <c r="V98" s="6">
        <v>1.4854882E-2</v>
      </c>
      <c r="W98" s="6">
        <v>8.2527100000000003E-4</v>
      </c>
      <c r="X98" s="6">
        <v>5.7121500000000003E-4</v>
      </c>
      <c r="Y98" s="6">
        <v>0.123795745</v>
      </c>
      <c r="Z98" s="6">
        <v>2.4699355999999999E-2</v>
      </c>
      <c r="AA98" s="6">
        <v>7.3975864000000002E-2</v>
      </c>
      <c r="AB98" s="6">
        <v>1.2761445999999999E-2</v>
      </c>
      <c r="AC98" s="6">
        <v>5.3739482999999998E-2</v>
      </c>
      <c r="AD98" s="6">
        <v>8.9689120000000008E-3</v>
      </c>
      <c r="AE98" s="6">
        <v>8.3388219999999999E-2</v>
      </c>
      <c r="AF98" s="6">
        <v>1.5079535999999999E-2</v>
      </c>
      <c r="AG98" s="6">
        <v>7.1831235370000002</v>
      </c>
      <c r="AH98" s="6">
        <v>0.94797115099999996</v>
      </c>
      <c r="AI98" s="6">
        <v>-9.3435330820000004</v>
      </c>
      <c r="AJ98" s="6">
        <v>0.82413362999999995</v>
      </c>
      <c r="AK98" s="6">
        <v>11.789312475999999</v>
      </c>
      <c r="AL98" s="6">
        <v>1.2201381849999999</v>
      </c>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row>
    <row r="99" spans="1:84" ht="16" x14ac:dyDescent="0.2">
      <c r="A99" s="4">
        <v>45824</v>
      </c>
      <c r="B99" s="19">
        <v>25167</v>
      </c>
      <c r="C99" s="5" t="s">
        <v>1</v>
      </c>
      <c r="D99" s="5">
        <v>17</v>
      </c>
      <c r="E99" s="53" t="s">
        <v>1148</v>
      </c>
      <c r="F99" s="6">
        <v>-2.2000000000000002</v>
      </c>
      <c r="G99" s="5" t="s">
        <v>2</v>
      </c>
      <c r="H99" s="5" t="s">
        <v>5</v>
      </c>
      <c r="I99" s="5">
        <v>1.45</v>
      </c>
      <c r="J99" s="5">
        <v>43.05</v>
      </c>
      <c r="K99" s="5">
        <v>9.0500000000000007</v>
      </c>
      <c r="L99" s="5">
        <v>5.4</v>
      </c>
      <c r="M99" s="5" t="s">
        <v>4</v>
      </c>
      <c r="N99" s="15">
        <v>42.080227777799998</v>
      </c>
      <c r="O99" s="6" t="s">
        <v>860</v>
      </c>
      <c r="P99" s="6">
        <v>9.2850098000000006E-2</v>
      </c>
      <c r="Q99" s="6">
        <v>1.3756455000000001E-2</v>
      </c>
      <c r="R99" s="6">
        <v>1310</v>
      </c>
      <c r="S99" s="6">
        <v>1.532006E-3</v>
      </c>
      <c r="T99" s="6">
        <v>5.6568542449999999</v>
      </c>
      <c r="U99" s="6">
        <v>0.113067891</v>
      </c>
      <c r="V99" s="6">
        <v>1.3549434000000001E-2</v>
      </c>
      <c r="W99" s="6">
        <v>7.5274599999999999E-4</v>
      </c>
      <c r="X99" s="6">
        <v>5.0929299999999996E-4</v>
      </c>
      <c r="Y99" s="6">
        <v>0.11938838</v>
      </c>
      <c r="Z99" s="6">
        <v>2.0076786999999999E-2</v>
      </c>
      <c r="AA99" s="6">
        <v>8.8457490999999999E-2</v>
      </c>
      <c r="AB99" s="6">
        <v>1.2629629999999999E-2</v>
      </c>
      <c r="AC99" s="6">
        <v>7.0056232999999996E-2</v>
      </c>
      <c r="AD99" s="6">
        <v>9.1528479999999999E-3</v>
      </c>
      <c r="AE99" s="6">
        <v>9.2850098000000006E-2</v>
      </c>
      <c r="AF99" s="6">
        <v>1.3756455000000001E-2</v>
      </c>
      <c r="AG99" s="6">
        <v>4.1890921130000001</v>
      </c>
      <c r="AH99" s="6">
        <v>0.54857553599999997</v>
      </c>
      <c r="AI99" s="6">
        <v>-6.2043898310000003</v>
      </c>
      <c r="AJ99" s="6">
        <v>1.156442017</v>
      </c>
      <c r="AK99" s="6">
        <v>7.4932313270000002</v>
      </c>
      <c r="AL99" s="6">
        <v>1.237999568</v>
      </c>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row>
    <row r="100" spans="1:84" ht="16" x14ac:dyDescent="0.2">
      <c r="A100" s="4">
        <v>45824</v>
      </c>
      <c r="B100" s="19">
        <v>25167</v>
      </c>
      <c r="C100" s="5" t="s">
        <v>1</v>
      </c>
      <c r="D100" s="5">
        <v>18</v>
      </c>
      <c r="E100" s="53" t="s">
        <v>1149</v>
      </c>
      <c r="F100" s="6">
        <v>44.7</v>
      </c>
      <c r="G100" s="5" t="s">
        <v>2</v>
      </c>
      <c r="H100" s="5" t="s">
        <v>5</v>
      </c>
      <c r="I100" s="5">
        <v>0.8</v>
      </c>
      <c r="J100" s="5">
        <v>34</v>
      </c>
      <c r="K100" s="5">
        <v>8</v>
      </c>
      <c r="L100" s="5">
        <v>4.8499999999999996</v>
      </c>
      <c r="M100" s="5" t="s">
        <v>4</v>
      </c>
      <c r="N100" s="15">
        <v>42.080227777799998</v>
      </c>
      <c r="O100" s="6" t="s">
        <v>861</v>
      </c>
      <c r="P100" s="6">
        <v>8.3440723999999994E-2</v>
      </c>
      <c r="Q100" s="6">
        <v>1.2090727000000001E-2</v>
      </c>
      <c r="R100" s="6">
        <v>909</v>
      </c>
      <c r="S100" s="6">
        <v>1.445128E-3</v>
      </c>
      <c r="T100" s="6">
        <v>5.6568542449999999</v>
      </c>
      <c r="U100" s="6">
        <v>0.127861739</v>
      </c>
      <c r="V100" s="6">
        <v>1.130227E-2</v>
      </c>
      <c r="W100" s="6">
        <v>6.2790399999999998E-4</v>
      </c>
      <c r="X100" s="6">
        <v>5.0785900000000004E-4</v>
      </c>
      <c r="Y100" s="6">
        <v>0.113806066</v>
      </c>
      <c r="Z100" s="6">
        <v>1.7711201999999999E-2</v>
      </c>
      <c r="AA100" s="6">
        <v>7.6499507999999994E-2</v>
      </c>
      <c r="AB100" s="6">
        <v>1.0793275E-2</v>
      </c>
      <c r="AC100" s="6">
        <v>6.2721317999999998E-2</v>
      </c>
      <c r="AD100" s="6">
        <v>9.5178429999999998E-3</v>
      </c>
      <c r="AE100" s="6">
        <v>8.3440723999999994E-2</v>
      </c>
      <c r="AF100" s="6">
        <v>1.2090727000000001E-2</v>
      </c>
      <c r="AG100" s="6">
        <v>5.5803919649999996</v>
      </c>
      <c r="AH100" s="6">
        <v>0.756254121</v>
      </c>
      <c r="AI100" s="6">
        <v>-6.5040886599999999</v>
      </c>
      <c r="AJ100" s="6">
        <v>0.88733535399999997</v>
      </c>
      <c r="AK100" s="6">
        <v>8.5737640269999993</v>
      </c>
      <c r="AL100" s="6">
        <v>1.1374209879999999</v>
      </c>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row>
    <row r="101" spans="1:84" ht="16" x14ac:dyDescent="0.2">
      <c r="A101" s="4">
        <v>45824</v>
      </c>
      <c r="B101" s="19">
        <v>25167</v>
      </c>
      <c r="C101" s="5" t="s">
        <v>1</v>
      </c>
      <c r="D101" s="5">
        <v>19</v>
      </c>
      <c r="E101" s="53" t="s">
        <v>1150</v>
      </c>
      <c r="F101" s="37">
        <v>12.9</v>
      </c>
      <c r="G101" s="5" t="s">
        <v>2</v>
      </c>
      <c r="H101" s="5" t="s">
        <v>5</v>
      </c>
      <c r="I101" s="5">
        <v>1.35</v>
      </c>
      <c r="J101" s="5">
        <v>43.55</v>
      </c>
      <c r="K101" s="5">
        <v>10.199999999999999</v>
      </c>
      <c r="L101" s="5">
        <v>5.9</v>
      </c>
      <c r="M101" s="5" t="s">
        <v>4</v>
      </c>
      <c r="N101" s="15">
        <v>42.080227777799998</v>
      </c>
      <c r="O101" t="s">
        <v>862</v>
      </c>
      <c r="P101" s="6">
        <v>6.6882084999999994E-2</v>
      </c>
      <c r="Q101" s="6">
        <v>7.1927609999999998E-3</v>
      </c>
      <c r="R101" s="6">
        <v>1346</v>
      </c>
      <c r="S101" s="6">
        <v>7.6155199999999998E-4</v>
      </c>
      <c r="T101" s="6">
        <v>3.9999999979999998</v>
      </c>
      <c r="U101" s="6">
        <v>0.100057045</v>
      </c>
      <c r="V101" s="6">
        <v>7.611179E-3</v>
      </c>
      <c r="W101" s="6">
        <v>4.22843E-4</v>
      </c>
      <c r="X101" s="6">
        <v>2.7727699999999998E-4</v>
      </c>
      <c r="Y101" s="6">
        <v>8.6772699999999994E-2</v>
      </c>
      <c r="Z101" s="6">
        <v>9.2593780000000004E-3</v>
      </c>
      <c r="AA101" s="6">
        <v>6.3487204000000005E-2</v>
      </c>
      <c r="AB101" s="6">
        <v>6.949223E-3</v>
      </c>
      <c r="AC101" s="6">
        <v>5.2635574999999997E-2</v>
      </c>
      <c r="AD101" s="6">
        <v>6.6978259999999996E-3</v>
      </c>
      <c r="AE101" s="6">
        <v>6.6882084999999994E-2</v>
      </c>
      <c r="AF101" s="6">
        <v>7.1927609999999998E-3</v>
      </c>
      <c r="AG101" s="6">
        <v>4.4183627029999997</v>
      </c>
      <c r="AH101" s="6">
        <v>0.719771987</v>
      </c>
      <c r="AI101" s="6">
        <v>-5.6475007579999996</v>
      </c>
      <c r="AJ101" s="6">
        <v>0.89234028700000001</v>
      </c>
      <c r="AK101" s="6">
        <v>7.1753829930000004</v>
      </c>
      <c r="AL101" s="6">
        <v>1.115510464</v>
      </c>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row>
    <row r="102" spans="1:84" ht="16" x14ac:dyDescent="0.2">
      <c r="A102" s="4">
        <v>45824</v>
      </c>
      <c r="B102" s="19">
        <v>25167</v>
      </c>
      <c r="C102" s="5" t="s">
        <v>1</v>
      </c>
      <c r="D102" s="5">
        <v>20</v>
      </c>
      <c r="E102" s="53" t="s">
        <v>1151</v>
      </c>
      <c r="F102" s="37">
        <v>28</v>
      </c>
      <c r="G102" s="5" t="s">
        <v>2</v>
      </c>
      <c r="H102" s="5" t="s">
        <v>3</v>
      </c>
      <c r="I102" s="5">
        <v>1.1499999999999999</v>
      </c>
      <c r="J102" s="5">
        <v>39</v>
      </c>
      <c r="K102" s="5">
        <v>10.1</v>
      </c>
      <c r="L102" s="5">
        <v>5.15</v>
      </c>
      <c r="M102" s="5" t="s">
        <v>4</v>
      </c>
      <c r="N102" s="15">
        <v>42.080227777799998</v>
      </c>
      <c r="O102" t="s">
        <v>863</v>
      </c>
      <c r="P102" s="6">
        <v>9.4270287999999994E-2</v>
      </c>
      <c r="Q102" s="6">
        <v>1.5639720999999999E-2</v>
      </c>
      <c r="R102" s="6">
        <v>1070</v>
      </c>
      <c r="S102" s="6">
        <v>1.9182030000000001E-3</v>
      </c>
      <c r="T102" s="6">
        <v>3.9999999979999998</v>
      </c>
      <c r="U102" s="6">
        <v>0.13125671699999999</v>
      </c>
      <c r="V102" s="6">
        <v>1.4614129E-2</v>
      </c>
      <c r="W102" s="6">
        <v>8.1189599999999999E-4</v>
      </c>
      <c r="X102" s="6">
        <v>6.6144399999999996E-4</v>
      </c>
      <c r="Y102" s="6">
        <v>0.13322646299999999</v>
      </c>
      <c r="Z102" s="6">
        <v>2.2759234E-2</v>
      </c>
      <c r="AA102" s="6">
        <v>8.5803106000000004E-2</v>
      </c>
      <c r="AB102" s="6">
        <v>1.4195213E-2</v>
      </c>
      <c r="AC102" s="6">
        <v>6.3783124999999996E-2</v>
      </c>
      <c r="AD102" s="6">
        <v>1.0645718E-2</v>
      </c>
      <c r="AE102" s="6">
        <v>9.4270287999999994E-2</v>
      </c>
      <c r="AF102" s="6">
        <v>1.5639720999999999E-2</v>
      </c>
      <c r="AG102" s="6">
        <v>6.209800596</v>
      </c>
      <c r="AH102" s="6">
        <v>0.56328083500000004</v>
      </c>
      <c r="AI102" s="6">
        <v>-8.4339995670000008</v>
      </c>
      <c r="AJ102" s="6">
        <v>0.86967828800000002</v>
      </c>
      <c r="AK102" s="6">
        <v>10.476676436</v>
      </c>
      <c r="AL102" s="6">
        <v>1.0033870680000001</v>
      </c>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row>
    <row r="103" spans="1:84" ht="16" x14ac:dyDescent="0.2">
      <c r="A103" s="4">
        <v>45824</v>
      </c>
      <c r="B103" s="19">
        <v>25167</v>
      </c>
      <c r="C103" s="5" t="s">
        <v>1</v>
      </c>
      <c r="D103" s="25">
        <v>21</v>
      </c>
      <c r="E103" s="53" t="s">
        <v>1152</v>
      </c>
      <c r="F103" s="37">
        <v>2.7</v>
      </c>
      <c r="G103" s="5" t="s">
        <v>2</v>
      </c>
      <c r="H103" s="5" t="s">
        <v>6</v>
      </c>
      <c r="I103" s="5">
        <v>0.35</v>
      </c>
      <c r="J103" s="5">
        <v>31.3</v>
      </c>
      <c r="K103" s="5" t="s">
        <v>8</v>
      </c>
      <c r="L103" s="5" t="s">
        <v>8</v>
      </c>
      <c r="M103" s="5" t="s">
        <v>9</v>
      </c>
      <c r="N103" s="15">
        <v>42.080227777799998</v>
      </c>
      <c r="O103" t="s">
        <v>518</v>
      </c>
      <c r="P103" s="6">
        <v>6.4689592000000004E-2</v>
      </c>
      <c r="Q103" s="6">
        <v>1.7347448000000001E-2</v>
      </c>
      <c r="R103" s="6">
        <v>556</v>
      </c>
      <c r="S103" s="6">
        <v>1.7973209999999999E-3</v>
      </c>
      <c r="T103" s="6">
        <v>3.9999999979999998</v>
      </c>
      <c r="U103" s="6">
        <v>0.111517768</v>
      </c>
      <c r="V103" s="6">
        <v>1.6116902999999998E-2</v>
      </c>
      <c r="W103" s="6">
        <v>8.9538300000000003E-4</v>
      </c>
      <c r="X103" s="6">
        <v>6.6151299999999997E-4</v>
      </c>
      <c r="Y103" s="6">
        <v>8.6693790000000007E-2</v>
      </c>
      <c r="Z103" s="6">
        <v>2.3181574999999999E-2</v>
      </c>
      <c r="AA103" s="6">
        <v>5.9951882999999997E-2</v>
      </c>
      <c r="AB103" s="6">
        <v>1.6162323999999999E-2</v>
      </c>
      <c r="AC103" s="6">
        <v>4.9273791999999997E-2</v>
      </c>
      <c r="AD103" s="6">
        <v>1.3341617E-2</v>
      </c>
      <c r="AE103" s="6">
        <v>6.4689592000000004E-2</v>
      </c>
      <c r="AF103" s="6">
        <v>1.7347448000000001E-2</v>
      </c>
      <c r="AG103" s="6">
        <v>5.2254749729999999</v>
      </c>
      <c r="AH103" s="6">
        <v>0.56485634299999998</v>
      </c>
      <c r="AI103" s="6">
        <v>-6.2645794869999998</v>
      </c>
      <c r="AJ103" s="6">
        <v>0.426227311</v>
      </c>
      <c r="AK103" s="6">
        <v>8.174642317</v>
      </c>
      <c r="AL103" s="6">
        <v>0.47540135700000002</v>
      </c>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row>
    <row r="104" spans="1:84" ht="16" x14ac:dyDescent="0.2">
      <c r="A104" s="4">
        <v>45824</v>
      </c>
      <c r="B104" s="19">
        <v>25167</v>
      </c>
      <c r="C104" s="5" t="s">
        <v>1</v>
      </c>
      <c r="D104" s="5">
        <v>22</v>
      </c>
      <c r="E104" s="53" t="s">
        <v>1153</v>
      </c>
      <c r="F104" s="37">
        <v>2.8</v>
      </c>
      <c r="G104" s="5" t="s">
        <v>2</v>
      </c>
      <c r="H104" s="5" t="s">
        <v>3</v>
      </c>
      <c r="I104" s="5">
        <v>1</v>
      </c>
      <c r="J104" s="5">
        <v>36.799999999999997</v>
      </c>
      <c r="K104" s="5">
        <v>9.25</v>
      </c>
      <c r="L104" s="5">
        <v>5.5</v>
      </c>
      <c r="M104" s="5" t="s">
        <v>4</v>
      </c>
      <c r="N104" s="15">
        <v>42.080227777799998</v>
      </c>
      <c r="O104" t="s">
        <v>864</v>
      </c>
      <c r="P104" s="6">
        <v>7.7871350000000006E-2</v>
      </c>
      <c r="Q104" s="6">
        <v>5.7614010000000002E-3</v>
      </c>
      <c r="R104" s="6">
        <v>1338</v>
      </c>
      <c r="S104" s="6">
        <v>7.2339699999999997E-4</v>
      </c>
      <c r="T104" s="6">
        <v>5.6568542449999999</v>
      </c>
      <c r="U104" s="6">
        <v>0.103236333</v>
      </c>
      <c r="V104" s="6">
        <v>7.0071949999999999E-3</v>
      </c>
      <c r="W104" s="6">
        <v>3.8928900000000002E-4</v>
      </c>
      <c r="X104" s="6">
        <v>2.6048299999999999E-4</v>
      </c>
      <c r="Y104" s="6">
        <v>0.115980519</v>
      </c>
      <c r="Z104" s="6">
        <v>1.1281414999999999E-2</v>
      </c>
      <c r="AA104" s="6">
        <v>6.9582121999999996E-2</v>
      </c>
      <c r="AB104" s="6">
        <v>4.8491740000000004E-3</v>
      </c>
      <c r="AC104" s="6">
        <v>4.8951202999999999E-2</v>
      </c>
      <c r="AD104" s="6">
        <v>3.5819630000000001E-3</v>
      </c>
      <c r="AE104" s="6">
        <v>7.7871350000000006E-2</v>
      </c>
      <c r="AF104" s="6">
        <v>5.7614010000000002E-3</v>
      </c>
      <c r="AG104" s="6">
        <v>7.1947724050000001</v>
      </c>
      <c r="AH104" s="6">
        <v>0.88464045599999996</v>
      </c>
      <c r="AI104" s="6">
        <v>-9.9009872439999995</v>
      </c>
      <c r="AJ104" s="6">
        <v>1.2310646110000001</v>
      </c>
      <c r="AK104" s="6">
        <v>12.240826845999999</v>
      </c>
      <c r="AL104" s="6">
        <v>1.501510122</v>
      </c>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row>
    <row r="105" spans="1:84" ht="16" x14ac:dyDescent="0.2">
      <c r="A105" s="4">
        <v>45824</v>
      </c>
      <c r="B105" s="19">
        <v>25167</v>
      </c>
      <c r="C105" s="5" t="s">
        <v>1</v>
      </c>
      <c r="D105" s="5">
        <v>23</v>
      </c>
      <c r="E105" s="53" t="s">
        <v>1154</v>
      </c>
      <c r="F105" s="37">
        <v>22.6</v>
      </c>
      <c r="G105" s="5" t="s">
        <v>2</v>
      </c>
      <c r="H105" s="5" t="s">
        <v>5</v>
      </c>
      <c r="I105" s="5">
        <v>0.75</v>
      </c>
      <c r="J105" s="5">
        <v>38.15</v>
      </c>
      <c r="K105" s="5">
        <v>9.6</v>
      </c>
      <c r="L105" s="5">
        <v>5.0999999999999996</v>
      </c>
      <c r="M105" s="5" t="s">
        <v>4</v>
      </c>
      <c r="N105" s="15">
        <v>42.080227777799998</v>
      </c>
      <c r="O105" t="s">
        <v>865</v>
      </c>
      <c r="P105" s="6">
        <v>6.6503195000000001E-2</v>
      </c>
      <c r="Q105" s="6">
        <v>8.2314959999999996E-3</v>
      </c>
      <c r="R105" s="6">
        <v>959</v>
      </c>
      <c r="S105" s="6">
        <v>9.4635900000000002E-4</v>
      </c>
      <c r="T105" s="6">
        <v>11.313708483999999</v>
      </c>
      <c r="U105" s="6">
        <v>0.11631246200000001</v>
      </c>
      <c r="V105" s="6">
        <v>8.1363530000000007E-3</v>
      </c>
      <c r="W105" s="6">
        <v>4.5202000000000003E-4</v>
      </c>
      <c r="X105" s="6">
        <v>3.7123199999999999E-4</v>
      </c>
      <c r="Y105" s="6">
        <v>8.4735717000000002E-2</v>
      </c>
      <c r="Z105" s="6">
        <v>9.1464909999999996E-3</v>
      </c>
      <c r="AA105" s="6">
        <v>6.3266897000000002E-2</v>
      </c>
      <c r="AB105" s="6">
        <v>8.1192790000000001E-3</v>
      </c>
      <c r="AC105" s="6">
        <v>5.3894422999999997E-2</v>
      </c>
      <c r="AD105" s="6">
        <v>8.9014599999999999E-3</v>
      </c>
      <c r="AE105" s="6">
        <v>6.6503195000000001E-2</v>
      </c>
      <c r="AF105" s="6">
        <v>8.2314959999999996E-3</v>
      </c>
      <c r="AG105" s="6">
        <v>4.1770332379999999</v>
      </c>
      <c r="AH105" s="6">
        <v>0.68443172100000005</v>
      </c>
      <c r="AI105" s="6">
        <v>-5.1284102269999998</v>
      </c>
      <c r="AJ105" s="6">
        <v>1.2829307700000001</v>
      </c>
      <c r="AK105" s="6">
        <v>6.6293820559999999</v>
      </c>
      <c r="AL105" s="6">
        <v>1.3833439750000001</v>
      </c>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row>
    <row r="106" spans="1:84" ht="16" x14ac:dyDescent="0.2">
      <c r="A106" s="4">
        <v>45824</v>
      </c>
      <c r="B106" s="19">
        <v>25167</v>
      </c>
      <c r="C106" s="5" t="s">
        <v>1</v>
      </c>
      <c r="D106" s="5">
        <v>24</v>
      </c>
      <c r="E106" s="53" t="s">
        <v>1155</v>
      </c>
      <c r="F106" s="37">
        <v>8.8000000000000007</v>
      </c>
      <c r="G106" s="5" t="s">
        <v>2</v>
      </c>
      <c r="H106" s="5" t="s">
        <v>3</v>
      </c>
      <c r="I106" s="5">
        <v>1</v>
      </c>
      <c r="J106" s="5">
        <v>36.049999999999997</v>
      </c>
      <c r="K106" s="5">
        <v>8.25</v>
      </c>
      <c r="L106" s="5">
        <v>5</v>
      </c>
      <c r="M106" s="5" t="s">
        <v>4</v>
      </c>
      <c r="N106" s="15">
        <v>42.080227777799998</v>
      </c>
      <c r="O106" t="s">
        <v>866</v>
      </c>
      <c r="P106" s="6">
        <v>0.110768242</v>
      </c>
      <c r="Q106" s="6">
        <v>1.4154392999999999E-2</v>
      </c>
      <c r="R106" s="6">
        <v>1117</v>
      </c>
      <c r="S106" s="6">
        <v>1.467987E-3</v>
      </c>
      <c r="T106" s="6">
        <v>3.9999999979999998</v>
      </c>
      <c r="U106" s="6">
        <v>0.111154719</v>
      </c>
      <c r="V106" s="6">
        <v>1.3206701E-2</v>
      </c>
      <c r="W106" s="6">
        <v>7.3370599999999998E-4</v>
      </c>
      <c r="X106" s="6">
        <v>5.6152000000000003E-4</v>
      </c>
      <c r="Y106" s="6">
        <v>0.15892983699999999</v>
      </c>
      <c r="Z106" s="6">
        <v>2.1925572000000001E-2</v>
      </c>
      <c r="AA106" s="6">
        <v>0.10024960400000001</v>
      </c>
      <c r="AB106" s="6">
        <v>1.2268441E-2</v>
      </c>
      <c r="AC106" s="6">
        <v>7.1894732000000003E-2</v>
      </c>
      <c r="AD106" s="6">
        <v>9.1848610000000008E-3</v>
      </c>
      <c r="AE106" s="6">
        <v>0.110768242</v>
      </c>
      <c r="AF106" s="6">
        <v>1.4154392999999999E-2</v>
      </c>
      <c r="AG106" s="6">
        <v>6.4837605639999998</v>
      </c>
      <c r="AH106" s="6">
        <v>0.529883938</v>
      </c>
      <c r="AI106" s="6">
        <v>-9.1890597130000007</v>
      </c>
      <c r="AJ106" s="6">
        <v>0.74532711100000004</v>
      </c>
      <c r="AK106" s="6">
        <v>11.252862873</v>
      </c>
      <c r="AL106" s="6">
        <v>0.82897695599999999</v>
      </c>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row>
    <row r="107" spans="1:84" ht="16" x14ac:dyDescent="0.2">
      <c r="A107" s="4">
        <v>45824</v>
      </c>
      <c r="B107" s="19">
        <v>25167</v>
      </c>
      <c r="C107" s="5" t="s">
        <v>1</v>
      </c>
      <c r="D107" s="5">
        <v>25</v>
      </c>
      <c r="E107" s="53" t="s">
        <v>1156</v>
      </c>
      <c r="F107" s="37">
        <v>5.3</v>
      </c>
      <c r="G107" s="5" t="s">
        <v>2</v>
      </c>
      <c r="H107" s="5" t="s">
        <v>3</v>
      </c>
      <c r="I107" s="5">
        <v>1.25</v>
      </c>
      <c r="J107" s="5">
        <v>43.9</v>
      </c>
      <c r="K107" s="5">
        <v>10.7</v>
      </c>
      <c r="L107" s="5">
        <v>5.85</v>
      </c>
      <c r="M107" s="5" t="s">
        <v>4</v>
      </c>
      <c r="N107" s="15">
        <v>42.080227777799998</v>
      </c>
      <c r="O107" t="s">
        <v>867</v>
      </c>
      <c r="P107" s="6">
        <v>4.5971225999999997E-2</v>
      </c>
      <c r="Q107" s="6">
        <v>6.3496020000000002E-3</v>
      </c>
      <c r="R107" s="6">
        <v>1179</v>
      </c>
      <c r="S107" s="6">
        <v>6.4569099999999999E-4</v>
      </c>
      <c r="T107" s="6">
        <v>5.6568542449999999</v>
      </c>
      <c r="U107" s="6">
        <v>9.1000912000000003E-2</v>
      </c>
      <c r="V107" s="6">
        <v>7.0954319999999996E-3</v>
      </c>
      <c r="W107" s="6">
        <v>3.9419100000000001E-4</v>
      </c>
      <c r="X107" s="6">
        <v>2.39647E-4</v>
      </c>
      <c r="Y107" s="6">
        <v>5.6534595E-2</v>
      </c>
      <c r="Z107" s="6">
        <v>6.8334299999999997E-3</v>
      </c>
      <c r="AA107" s="6">
        <v>4.5204125999999997E-2</v>
      </c>
      <c r="AB107" s="6">
        <v>6.5632800000000003E-3</v>
      </c>
      <c r="AC107" s="6">
        <v>3.8976637000000001E-2</v>
      </c>
      <c r="AD107" s="6">
        <v>6.6588419999999999E-3</v>
      </c>
      <c r="AE107" s="6">
        <v>4.5971225999999997E-2</v>
      </c>
      <c r="AF107" s="6">
        <v>6.3496020000000002E-3</v>
      </c>
      <c r="AG107" s="6">
        <v>3.214754567</v>
      </c>
      <c r="AH107" s="6">
        <v>0.77604264499999998</v>
      </c>
      <c r="AI107" s="6">
        <v>-4.3517624970000002</v>
      </c>
      <c r="AJ107" s="6">
        <v>1.3115533150000001</v>
      </c>
      <c r="AK107" s="6">
        <v>5.4205961970000001</v>
      </c>
      <c r="AL107" s="6">
        <v>1.487259619</v>
      </c>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row>
    <row r="108" spans="1:84" ht="16" x14ac:dyDescent="0.2">
      <c r="A108" s="4">
        <v>45824</v>
      </c>
      <c r="B108" s="19">
        <v>25167</v>
      </c>
      <c r="C108" s="5" t="s">
        <v>1</v>
      </c>
      <c r="D108" s="5">
        <v>26</v>
      </c>
      <c r="E108" s="53" t="s">
        <v>1157</v>
      </c>
      <c r="F108" s="37">
        <v>-29.6</v>
      </c>
      <c r="G108" s="5" t="s">
        <v>2</v>
      </c>
      <c r="H108" s="5" t="s">
        <v>3</v>
      </c>
      <c r="I108" s="5">
        <v>0.85</v>
      </c>
      <c r="J108" s="5">
        <v>35.700000000000003</v>
      </c>
      <c r="K108" s="5">
        <v>9.35</v>
      </c>
      <c r="L108" s="5">
        <v>5</v>
      </c>
      <c r="M108" s="5" t="s">
        <v>4</v>
      </c>
      <c r="N108" s="15">
        <v>42.080227777799998</v>
      </c>
      <c r="O108" t="s">
        <v>868</v>
      </c>
      <c r="P108" s="6">
        <v>7.7691183999999996E-2</v>
      </c>
      <c r="Q108" s="6">
        <v>1.2389193999999999E-2</v>
      </c>
      <c r="R108" s="6">
        <v>963</v>
      </c>
      <c r="S108" s="6">
        <v>1.3954589999999999E-3</v>
      </c>
      <c r="T108" s="6">
        <v>3.9999999979999998</v>
      </c>
      <c r="U108" s="6">
        <v>0.112551178</v>
      </c>
      <c r="V108" s="6">
        <v>1.2398442000000001E-2</v>
      </c>
      <c r="W108" s="6">
        <v>6.8880199999999997E-4</v>
      </c>
      <c r="X108" s="6">
        <v>4.7728499999999998E-4</v>
      </c>
      <c r="Y108" s="6">
        <v>0.101545592</v>
      </c>
      <c r="Z108" s="6">
        <v>1.5607739000000001E-2</v>
      </c>
      <c r="AA108" s="6">
        <v>7.3302003000000004E-2</v>
      </c>
      <c r="AB108" s="6">
        <v>1.2060631E-2</v>
      </c>
      <c r="AC108" s="6">
        <v>5.920976E-2</v>
      </c>
      <c r="AD108" s="6">
        <v>9.7969719999999993E-3</v>
      </c>
      <c r="AE108" s="6">
        <v>7.7691183999999996E-2</v>
      </c>
      <c r="AF108" s="6">
        <v>1.2389193999999999E-2</v>
      </c>
      <c r="AG108" s="6">
        <v>4.6434893969999997</v>
      </c>
      <c r="AH108" s="6">
        <v>0.50901616500000002</v>
      </c>
      <c r="AI108" s="6">
        <v>-6.1680905319999999</v>
      </c>
      <c r="AJ108" s="6">
        <v>0.70574088999999995</v>
      </c>
      <c r="AK108" s="6">
        <v>7.7245657989999996</v>
      </c>
      <c r="AL108" s="6">
        <v>0.83397944899999998</v>
      </c>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row>
    <row r="109" spans="1:84" ht="16" x14ac:dyDescent="0.2">
      <c r="A109" s="4">
        <v>45826</v>
      </c>
      <c r="B109" s="19">
        <v>25169</v>
      </c>
      <c r="C109" s="5" t="s">
        <v>212</v>
      </c>
      <c r="D109" s="5">
        <v>3</v>
      </c>
      <c r="E109" s="53" t="s">
        <v>1158</v>
      </c>
      <c r="F109" s="37">
        <v>-11.6</v>
      </c>
      <c r="G109" s="5" t="s">
        <v>2</v>
      </c>
      <c r="H109" s="5" t="s">
        <v>3</v>
      </c>
      <c r="I109" s="5">
        <v>1.05</v>
      </c>
      <c r="J109" s="5">
        <v>38.1</v>
      </c>
      <c r="K109" s="5">
        <v>9.1</v>
      </c>
      <c r="L109" s="5">
        <v>5.0999999999999996</v>
      </c>
      <c r="M109" s="5" t="s">
        <v>4</v>
      </c>
      <c r="N109" s="15">
        <v>41.988944444399998</v>
      </c>
      <c r="O109" s="9" t="s">
        <v>869</v>
      </c>
      <c r="P109" s="6">
        <v>8.8126320999999994E-2</v>
      </c>
      <c r="Q109" s="6">
        <v>1.3521375E-2</v>
      </c>
      <c r="R109" s="6">
        <v>982</v>
      </c>
      <c r="S109" s="6">
        <v>1.3089919999999999E-3</v>
      </c>
      <c r="T109" s="6">
        <v>3.9999999979999998</v>
      </c>
      <c r="U109" s="6">
        <v>0.111737817</v>
      </c>
      <c r="V109" s="6">
        <v>1.1714852E-2</v>
      </c>
      <c r="W109" s="6">
        <v>6.5082499999999995E-4</v>
      </c>
      <c r="X109" s="6">
        <v>5.1761799999999996E-4</v>
      </c>
      <c r="Y109" s="6">
        <v>0.12672924699999999</v>
      </c>
      <c r="Z109" s="6">
        <v>2.0317874E-2</v>
      </c>
      <c r="AA109" s="6">
        <v>7.9474167999999998E-2</v>
      </c>
      <c r="AB109" s="6">
        <v>1.2113083E-2</v>
      </c>
      <c r="AC109" s="6">
        <v>5.8992571000000001E-2</v>
      </c>
      <c r="AD109" s="6">
        <v>9.0041210000000003E-3</v>
      </c>
      <c r="AE109" s="6">
        <v>8.8126320999999994E-2</v>
      </c>
      <c r="AF109" s="6">
        <v>1.3521375E-2</v>
      </c>
      <c r="AG109" s="6">
        <v>6.5824739509999999</v>
      </c>
      <c r="AH109" s="6">
        <v>0.60714739500000003</v>
      </c>
      <c r="AI109" s="6">
        <v>-8.6587204179999997</v>
      </c>
      <c r="AJ109" s="6">
        <v>0.87252622899999999</v>
      </c>
      <c r="AK109" s="6">
        <v>10.879978864</v>
      </c>
      <c r="AL109" s="6">
        <v>1.028746725</v>
      </c>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row>
    <row r="110" spans="1:84" ht="16" x14ac:dyDescent="0.2">
      <c r="A110" s="4">
        <v>45826</v>
      </c>
      <c r="B110" s="19">
        <v>25169</v>
      </c>
      <c r="C110" s="5" t="s">
        <v>214</v>
      </c>
      <c r="D110" s="5">
        <v>4</v>
      </c>
      <c r="E110" s="53" t="s">
        <v>1159</v>
      </c>
      <c r="F110" s="37">
        <v>41.5</v>
      </c>
      <c r="G110" s="5" t="s">
        <v>2</v>
      </c>
      <c r="H110" s="5" t="s">
        <v>3</v>
      </c>
      <c r="I110" s="5">
        <v>0.8</v>
      </c>
      <c r="J110" s="5">
        <v>37.549999999999997</v>
      </c>
      <c r="K110" s="5">
        <v>9</v>
      </c>
      <c r="L110" s="5">
        <v>5.05</v>
      </c>
      <c r="M110" s="5" t="s">
        <v>4</v>
      </c>
      <c r="N110" s="15">
        <v>41.984099999999998</v>
      </c>
      <c r="O110" t="s">
        <v>870</v>
      </c>
      <c r="P110" s="6">
        <v>0.105152592</v>
      </c>
      <c r="Q110" s="6">
        <v>2.0150474000000002E-2</v>
      </c>
      <c r="R110" s="6">
        <v>921</v>
      </c>
      <c r="S110" s="6">
        <v>2.0710820000000001E-3</v>
      </c>
      <c r="T110" s="6">
        <v>3.9999999979999998</v>
      </c>
      <c r="U110" s="6">
        <v>0.124599845</v>
      </c>
      <c r="V110" s="6">
        <v>1.6621865E-2</v>
      </c>
      <c r="W110" s="6">
        <v>9.2343700000000004E-4</v>
      </c>
      <c r="X110" s="6">
        <v>7.7334099999999998E-4</v>
      </c>
      <c r="Y110" s="6">
        <v>0.15710960099999999</v>
      </c>
      <c r="Z110" s="6">
        <v>3.1907987999999998E-2</v>
      </c>
      <c r="AA110" s="6">
        <v>9.3458726000000006E-2</v>
      </c>
      <c r="AB110" s="6">
        <v>1.7503181999999999E-2</v>
      </c>
      <c r="AC110" s="6">
        <v>6.3265072000000006E-2</v>
      </c>
      <c r="AD110" s="6">
        <v>1.1340849E-2</v>
      </c>
      <c r="AE110" s="6">
        <v>0.105152592</v>
      </c>
      <c r="AF110" s="6">
        <v>2.0150474000000002E-2</v>
      </c>
      <c r="AG110" s="6">
        <v>7.2771447399999998</v>
      </c>
      <c r="AH110" s="6">
        <v>0.61666512200000001</v>
      </c>
      <c r="AI110" s="6">
        <v>-10.534745832</v>
      </c>
      <c r="AJ110" s="6">
        <v>0.93999905500000003</v>
      </c>
      <c r="AK110" s="6">
        <v>12.807591733000001</v>
      </c>
      <c r="AL110" s="6">
        <v>1.0803095089999999</v>
      </c>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row>
    <row r="111" spans="1:84" ht="16" x14ac:dyDescent="0.2">
      <c r="A111" s="4">
        <v>45826</v>
      </c>
      <c r="B111" s="19">
        <v>25169</v>
      </c>
      <c r="C111" s="5" t="s">
        <v>214</v>
      </c>
      <c r="D111" s="5">
        <v>5</v>
      </c>
      <c r="E111" s="53" t="s">
        <v>1160</v>
      </c>
      <c r="F111" s="6">
        <v>20.9</v>
      </c>
      <c r="G111" s="5" t="s">
        <v>2</v>
      </c>
      <c r="H111" s="5" t="s">
        <v>5</v>
      </c>
      <c r="I111" s="5">
        <v>2.0499999999999998</v>
      </c>
      <c r="J111" s="5">
        <v>49.05</v>
      </c>
      <c r="K111" s="5">
        <v>10.8</v>
      </c>
      <c r="L111" s="5">
        <v>6.3</v>
      </c>
      <c r="M111" s="5" t="s">
        <v>4</v>
      </c>
      <c r="N111" s="15">
        <v>41.984099999999998</v>
      </c>
      <c r="O111" t="s">
        <v>871</v>
      </c>
      <c r="P111" s="6">
        <v>7.5529384000000005E-2</v>
      </c>
      <c r="Q111" s="6">
        <v>5.817605E-3</v>
      </c>
      <c r="R111" s="6">
        <v>1951</v>
      </c>
      <c r="S111" s="6">
        <v>6.5678600000000002E-4</v>
      </c>
      <c r="T111" s="6">
        <v>7.9999999920000002</v>
      </c>
      <c r="U111" s="6">
        <v>0.108141391</v>
      </c>
      <c r="V111" s="6">
        <v>6.0733970000000003E-3</v>
      </c>
      <c r="W111" s="6">
        <v>3.3741100000000003E-4</v>
      </c>
      <c r="X111" s="6">
        <v>2.34565E-4</v>
      </c>
      <c r="Y111" s="6">
        <v>0.11471944000000001</v>
      </c>
      <c r="Z111" s="6">
        <v>9.2669980000000002E-3</v>
      </c>
      <c r="AA111" s="6">
        <v>6.6662110999999996E-2</v>
      </c>
      <c r="AB111" s="6">
        <v>4.7261409999999997E-3</v>
      </c>
      <c r="AC111" s="6">
        <v>4.7139582999999999E-2</v>
      </c>
      <c r="AD111" s="6">
        <v>4.4655720000000001E-3</v>
      </c>
      <c r="AE111" s="6">
        <v>7.5529384000000005E-2</v>
      </c>
      <c r="AF111" s="6">
        <v>5.817605E-3</v>
      </c>
      <c r="AG111" s="6">
        <v>7.6659682159999996</v>
      </c>
      <c r="AH111" s="6">
        <v>0.259797685</v>
      </c>
      <c r="AI111" s="6">
        <v>-10.115080196999999</v>
      </c>
      <c r="AJ111" s="6">
        <v>0.659658093</v>
      </c>
      <c r="AK111" s="6">
        <v>12.700718935999999</v>
      </c>
      <c r="AL111" s="6">
        <v>0.52553046199999998</v>
      </c>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row>
    <row r="112" spans="1:84" ht="16" x14ac:dyDescent="0.2">
      <c r="A112" s="4">
        <v>45826</v>
      </c>
      <c r="B112" s="19">
        <v>25169</v>
      </c>
      <c r="C112" s="5" t="s">
        <v>214</v>
      </c>
      <c r="D112" s="25">
        <v>6</v>
      </c>
      <c r="E112" s="53" t="s">
        <v>1161</v>
      </c>
      <c r="F112" s="37">
        <v>34.700000000000003</v>
      </c>
      <c r="G112" s="5" t="s">
        <v>2</v>
      </c>
      <c r="H112" s="5" t="s">
        <v>5</v>
      </c>
      <c r="I112" s="5">
        <v>0.95</v>
      </c>
      <c r="J112" s="5">
        <v>35.369999999999997</v>
      </c>
      <c r="K112" s="5">
        <v>9</v>
      </c>
      <c r="L112" s="5">
        <v>5.35</v>
      </c>
      <c r="M112" s="5" t="s">
        <v>4</v>
      </c>
      <c r="N112" s="15">
        <v>41.984099999999998</v>
      </c>
      <c r="O112" t="s">
        <v>532</v>
      </c>
      <c r="P112" s="6">
        <v>7.6348888000000004E-2</v>
      </c>
      <c r="Q112" s="6">
        <v>2.1072537999999998E-2</v>
      </c>
      <c r="R112" s="6">
        <v>761</v>
      </c>
      <c r="S112" s="6">
        <v>2.2062990000000001E-3</v>
      </c>
      <c r="T112" s="6">
        <v>3.9999999979999998</v>
      </c>
      <c r="U112" s="6">
        <v>0.106721728</v>
      </c>
      <c r="V112" s="6">
        <v>2.0673381000000001E-2</v>
      </c>
      <c r="W112" s="6">
        <v>1.148521E-3</v>
      </c>
      <c r="X112" s="6">
        <v>8.1234899999999997E-4</v>
      </c>
      <c r="Y112" s="6">
        <v>9.7284310999999998E-2</v>
      </c>
      <c r="Z112" s="6">
        <v>2.7878433000000001E-2</v>
      </c>
      <c r="AA112" s="6">
        <v>7.3792677000000001E-2</v>
      </c>
      <c r="AB112" s="6">
        <v>2.0225658000000001E-2</v>
      </c>
      <c r="AC112" s="6">
        <v>5.5924385E-2</v>
      </c>
      <c r="AD112" s="6">
        <v>1.4437195E-2</v>
      </c>
      <c r="AE112" s="6">
        <v>7.6348888000000004E-2</v>
      </c>
      <c r="AF112" s="6">
        <v>2.1072537999999998E-2</v>
      </c>
      <c r="AG112" s="6">
        <v>3.8367894470000001</v>
      </c>
      <c r="AH112" s="6">
        <v>0.41111753299999998</v>
      </c>
      <c r="AI112" s="6">
        <v>-6.670798381</v>
      </c>
      <c r="AJ112" s="6">
        <v>0.96264223500000001</v>
      </c>
      <c r="AK112" s="6">
        <v>7.7022195809999996</v>
      </c>
      <c r="AL112" s="6">
        <v>0.99593130200000002</v>
      </c>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row>
    <row r="113" spans="1:84" ht="16" x14ac:dyDescent="0.2">
      <c r="A113" s="4">
        <v>45826</v>
      </c>
      <c r="B113" s="19">
        <v>25169</v>
      </c>
      <c r="C113" s="5" t="s">
        <v>214</v>
      </c>
      <c r="D113" s="5">
        <v>7</v>
      </c>
      <c r="E113" s="53" t="s">
        <v>1162</v>
      </c>
      <c r="F113" s="37">
        <v>15.2</v>
      </c>
      <c r="G113" s="5" t="s">
        <v>2</v>
      </c>
      <c r="H113" s="5" t="s">
        <v>3</v>
      </c>
      <c r="I113" s="5">
        <v>1.1499999999999999</v>
      </c>
      <c r="J113" s="5">
        <v>41</v>
      </c>
      <c r="K113" s="5">
        <v>9</v>
      </c>
      <c r="L113" s="5">
        <v>5.45</v>
      </c>
      <c r="M113" s="5" t="s">
        <v>4</v>
      </c>
      <c r="N113" s="15">
        <v>41.984099999999998</v>
      </c>
      <c r="O113" t="s">
        <v>872</v>
      </c>
      <c r="P113" s="6">
        <v>0.100787496</v>
      </c>
      <c r="Q113" s="6">
        <v>1.6231084E-2</v>
      </c>
      <c r="R113" s="6">
        <v>1119</v>
      </c>
      <c r="S113" s="6">
        <v>1.9481030000000001E-3</v>
      </c>
      <c r="T113" s="6">
        <v>2.8284271240000001</v>
      </c>
      <c r="U113" s="6">
        <v>0.12295951200000001</v>
      </c>
      <c r="V113" s="6">
        <v>1.5843448999999999E-2</v>
      </c>
      <c r="W113" s="6">
        <v>8.8019200000000002E-4</v>
      </c>
      <c r="X113" s="6">
        <v>6.3699899999999996E-4</v>
      </c>
      <c r="Y113" s="6">
        <v>0.15154078100000001</v>
      </c>
      <c r="Z113" s="6">
        <v>2.6310100999999999E-2</v>
      </c>
      <c r="AA113" s="6">
        <v>8.8714186E-2</v>
      </c>
      <c r="AB113" s="6">
        <v>1.3842454000000001E-2</v>
      </c>
      <c r="AC113" s="6">
        <v>6.2539497999999999E-2</v>
      </c>
      <c r="AD113" s="6">
        <v>9.6827300000000005E-3</v>
      </c>
      <c r="AE113" s="6">
        <v>0.100787496</v>
      </c>
      <c r="AF113" s="6">
        <v>1.6231084E-2</v>
      </c>
      <c r="AG113" s="6">
        <v>7.4890641970000003</v>
      </c>
      <c r="AH113" s="6">
        <v>0.80966828899999999</v>
      </c>
      <c r="AI113" s="6">
        <v>-10.020264407000001</v>
      </c>
      <c r="AJ113" s="6">
        <v>0.81448771200000003</v>
      </c>
      <c r="AK113" s="6">
        <v>12.515133731000001</v>
      </c>
      <c r="AL113" s="6">
        <v>1.0872164360000001</v>
      </c>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row>
    <row r="114" spans="1:84" ht="16" x14ac:dyDescent="0.2">
      <c r="A114" s="4">
        <v>45826</v>
      </c>
      <c r="B114" s="19">
        <v>25169</v>
      </c>
      <c r="C114" s="5" t="s">
        <v>214</v>
      </c>
      <c r="D114" s="5">
        <v>8</v>
      </c>
      <c r="E114" s="53" t="s">
        <v>1163</v>
      </c>
      <c r="F114" s="37">
        <v>20.9</v>
      </c>
      <c r="G114" s="5" t="s">
        <v>2</v>
      </c>
      <c r="H114" s="5" t="s">
        <v>3</v>
      </c>
      <c r="I114" s="5">
        <v>0.95</v>
      </c>
      <c r="J114" s="5">
        <v>39.299999999999997</v>
      </c>
      <c r="K114" s="5">
        <v>9</v>
      </c>
      <c r="L114" s="5">
        <v>5.35</v>
      </c>
      <c r="M114" s="5" t="s">
        <v>4</v>
      </c>
      <c r="N114" s="15">
        <v>41.984099999999998</v>
      </c>
      <c r="O114" t="s">
        <v>873</v>
      </c>
      <c r="P114" s="6">
        <v>8.7541963E-2</v>
      </c>
      <c r="Q114" s="6">
        <v>8.021439E-3</v>
      </c>
      <c r="R114" s="6">
        <v>1084</v>
      </c>
      <c r="S114" s="6">
        <v>8.5772500000000005E-4</v>
      </c>
      <c r="T114" s="6">
        <v>5.6568542449999999</v>
      </c>
      <c r="U114" s="6">
        <v>0.10650528500000001</v>
      </c>
      <c r="V114" s="6">
        <v>8.0533540000000004E-3</v>
      </c>
      <c r="W114" s="6">
        <v>4.4740900000000001E-4</v>
      </c>
      <c r="X114" s="6">
        <v>3.2064799999999998E-4</v>
      </c>
      <c r="Y114" s="6">
        <v>0.124908617</v>
      </c>
      <c r="Z114" s="6">
        <v>1.1505583E-2</v>
      </c>
      <c r="AA114" s="6">
        <v>7.8993340999999995E-2</v>
      </c>
      <c r="AB114" s="6">
        <v>7.3310479999999997E-3</v>
      </c>
      <c r="AC114" s="6">
        <v>6.0362391000000001E-2</v>
      </c>
      <c r="AD114" s="6">
        <v>5.5964329999999996E-3</v>
      </c>
      <c r="AE114" s="6">
        <v>8.7541963E-2</v>
      </c>
      <c r="AF114" s="6">
        <v>8.021439E-3</v>
      </c>
      <c r="AG114" s="6">
        <v>6.4832424619999998</v>
      </c>
      <c r="AH114" s="6">
        <v>0.311378351</v>
      </c>
      <c r="AI114" s="6">
        <v>-8.1345566629999997</v>
      </c>
      <c r="AJ114" s="6">
        <v>0.47866897000000003</v>
      </c>
      <c r="AK114" s="6">
        <v>10.40421993</v>
      </c>
      <c r="AL114" s="6">
        <v>0.53074685499999996</v>
      </c>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row>
    <row r="115" spans="1:84" ht="16" x14ac:dyDescent="0.2">
      <c r="A115" s="4">
        <v>45826</v>
      </c>
      <c r="B115" s="19">
        <v>25169</v>
      </c>
      <c r="C115" s="5" t="s">
        <v>214</v>
      </c>
      <c r="D115" s="26">
        <v>9</v>
      </c>
      <c r="E115" s="53" t="s">
        <v>1164</v>
      </c>
      <c r="G115" s="5" t="s">
        <v>2</v>
      </c>
      <c r="H115" s="5" t="s">
        <v>5</v>
      </c>
      <c r="I115" s="5">
        <v>1.85</v>
      </c>
      <c r="J115" s="5">
        <v>46.75</v>
      </c>
      <c r="K115" s="5">
        <v>11.15</v>
      </c>
      <c r="L115" s="5">
        <v>6.5</v>
      </c>
      <c r="M115" s="5" t="s">
        <v>4</v>
      </c>
      <c r="N115" s="15">
        <v>41.984099999999998</v>
      </c>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row>
    <row r="116" spans="1:84" ht="16" x14ac:dyDescent="0.2">
      <c r="A116" s="4">
        <v>45826</v>
      </c>
      <c r="B116" s="19">
        <v>25169</v>
      </c>
      <c r="C116" s="5" t="s">
        <v>214</v>
      </c>
      <c r="D116" s="5">
        <v>10</v>
      </c>
      <c r="E116" s="53" t="s">
        <v>1165</v>
      </c>
      <c r="F116" s="6">
        <v>-5.5</v>
      </c>
      <c r="G116" s="5" t="s">
        <v>2</v>
      </c>
      <c r="H116" s="5" t="s">
        <v>5</v>
      </c>
      <c r="I116" s="5">
        <v>0.95</v>
      </c>
      <c r="J116" s="5">
        <v>38.85</v>
      </c>
      <c r="K116" s="5">
        <v>8.5</v>
      </c>
      <c r="L116" s="5">
        <v>5.4</v>
      </c>
      <c r="M116" s="5" t="s">
        <v>4</v>
      </c>
      <c r="N116" s="15">
        <v>41.984099999999998</v>
      </c>
      <c r="O116" s="6" t="s">
        <v>874</v>
      </c>
      <c r="P116" s="6">
        <v>9.5570281000000007E-2</v>
      </c>
      <c r="Q116" s="6">
        <v>1.2849602999999999E-2</v>
      </c>
      <c r="R116" s="6">
        <v>1112</v>
      </c>
      <c r="S116" s="6">
        <v>1.626703E-3</v>
      </c>
      <c r="T116" s="6">
        <v>3.9999999979999998</v>
      </c>
      <c r="U116" s="6">
        <v>0.13940200799999999</v>
      </c>
      <c r="V116" s="6">
        <v>1.1669153E-2</v>
      </c>
      <c r="W116" s="6">
        <v>6.4828599999999998E-4</v>
      </c>
      <c r="X116" s="6">
        <v>5.9655699999999995E-4</v>
      </c>
      <c r="Y116" s="6">
        <v>0.135893298</v>
      </c>
      <c r="Z116" s="6">
        <v>1.9006713000000001E-2</v>
      </c>
      <c r="AA116" s="6">
        <v>8.6575175000000004E-2</v>
      </c>
      <c r="AB116" s="6">
        <v>1.1500636E-2</v>
      </c>
      <c r="AC116" s="6">
        <v>6.4926293999999996E-2</v>
      </c>
      <c r="AD116" s="6">
        <v>8.8842590000000003E-3</v>
      </c>
      <c r="AE116" s="6">
        <v>9.5570281000000007E-2</v>
      </c>
      <c r="AF116" s="6">
        <v>1.2849602999999999E-2</v>
      </c>
      <c r="AG116" s="6">
        <v>6.3585033989999999</v>
      </c>
      <c r="AH116" s="6">
        <v>0.45081291899999998</v>
      </c>
      <c r="AI116" s="6">
        <v>-8.3816026099999998</v>
      </c>
      <c r="AJ116" s="6">
        <v>0.73633942799999996</v>
      </c>
      <c r="AK116" s="6">
        <v>10.524705093</v>
      </c>
      <c r="AL116" s="6">
        <v>0.811024089</v>
      </c>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row>
    <row r="117" spans="1:84" ht="16" x14ac:dyDescent="0.2">
      <c r="A117" s="4">
        <v>45826</v>
      </c>
      <c r="B117" s="19">
        <v>25169</v>
      </c>
      <c r="C117" s="5" t="s">
        <v>214</v>
      </c>
      <c r="D117" s="5">
        <v>11</v>
      </c>
      <c r="E117" s="53" t="s">
        <v>1166</v>
      </c>
      <c r="F117" s="37">
        <v>11.6</v>
      </c>
      <c r="G117" s="5" t="s">
        <v>2</v>
      </c>
      <c r="H117" s="5" t="s">
        <v>3</v>
      </c>
      <c r="I117" s="5">
        <v>0.9</v>
      </c>
      <c r="J117" s="5">
        <v>36.65</v>
      </c>
      <c r="K117" s="5">
        <v>8.4499999999999993</v>
      </c>
      <c r="L117" s="5">
        <v>5.2</v>
      </c>
      <c r="M117" s="5" t="s">
        <v>4</v>
      </c>
      <c r="N117" s="15">
        <v>41.984099999999998</v>
      </c>
      <c r="O117" t="s">
        <v>875</v>
      </c>
      <c r="P117" s="6">
        <v>8.8250225000000002E-2</v>
      </c>
      <c r="Q117" s="6">
        <v>2.2452923999999999E-2</v>
      </c>
      <c r="R117" s="6">
        <v>896</v>
      </c>
      <c r="S117" s="6">
        <v>2.6458710000000002E-3</v>
      </c>
      <c r="T117" s="6">
        <v>2.8284271240000001</v>
      </c>
      <c r="U117" s="6">
        <v>0.13437997500000001</v>
      </c>
      <c r="V117" s="6">
        <v>1.9689472999999999E-2</v>
      </c>
      <c r="W117" s="6">
        <v>1.0938600000000001E-3</v>
      </c>
      <c r="X117" s="6">
        <v>8.74379E-4</v>
      </c>
      <c r="Y117" s="6">
        <v>0.130759127</v>
      </c>
      <c r="Z117" s="6">
        <v>3.4311518999999999E-2</v>
      </c>
      <c r="AA117" s="6">
        <v>7.7856165000000005E-2</v>
      </c>
      <c r="AB117" s="6">
        <v>1.9568813000000001E-2</v>
      </c>
      <c r="AC117" s="6">
        <v>5.8132536999999998E-2</v>
      </c>
      <c r="AD117" s="6">
        <v>1.4351934E-2</v>
      </c>
      <c r="AE117" s="6">
        <v>8.8250225000000002E-2</v>
      </c>
      <c r="AF117" s="6">
        <v>2.2452923999999999E-2</v>
      </c>
      <c r="AG117" s="6">
        <v>7.2106210329999998</v>
      </c>
      <c r="AH117" s="6">
        <v>0.68862002300000003</v>
      </c>
      <c r="AI117" s="6">
        <v>-8.9002951919999997</v>
      </c>
      <c r="AJ117" s="6">
        <v>0.88599625299999996</v>
      </c>
      <c r="AK117" s="6">
        <v>11.457738497999999</v>
      </c>
      <c r="AL117" s="6">
        <v>1.089791639</v>
      </c>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row>
    <row r="118" spans="1:84" ht="16" x14ac:dyDescent="0.2">
      <c r="A118" s="4">
        <v>45826</v>
      </c>
      <c r="B118" s="19">
        <v>25169</v>
      </c>
      <c r="C118" s="5" t="s">
        <v>214</v>
      </c>
      <c r="D118" s="5">
        <v>12</v>
      </c>
      <c r="E118" s="53" t="s">
        <v>1167</v>
      </c>
      <c r="F118" s="37">
        <v>13.9</v>
      </c>
      <c r="G118" s="5" t="s">
        <v>2</v>
      </c>
      <c r="H118" s="5" t="s">
        <v>5</v>
      </c>
      <c r="I118" s="5">
        <v>1.25</v>
      </c>
      <c r="J118" s="5">
        <v>42.4</v>
      </c>
      <c r="K118" s="5">
        <v>10</v>
      </c>
      <c r="L118" s="5">
        <v>5.9</v>
      </c>
      <c r="M118" s="5" t="s">
        <v>4</v>
      </c>
      <c r="N118" s="15">
        <v>41.984099999999998</v>
      </c>
      <c r="O118" t="s">
        <v>876</v>
      </c>
      <c r="P118" s="6">
        <v>7.8151714999999997E-2</v>
      </c>
      <c r="Q118" s="6">
        <v>1.7037026E-2</v>
      </c>
      <c r="R118" s="6">
        <v>1107</v>
      </c>
      <c r="S118" s="6">
        <v>1.7325909999999999E-3</v>
      </c>
      <c r="T118" s="6">
        <v>2.8284271240000001</v>
      </c>
      <c r="U118" s="6">
        <v>0.100724578</v>
      </c>
      <c r="V118" s="6">
        <v>1.7201270000000001E-2</v>
      </c>
      <c r="W118" s="6">
        <v>9.55626E-4</v>
      </c>
      <c r="X118" s="6">
        <v>5.8365000000000001E-4</v>
      </c>
      <c r="Y118" s="6">
        <v>0.10761156299999999</v>
      </c>
      <c r="Z118" s="6">
        <v>2.56533E-2</v>
      </c>
      <c r="AA118" s="6">
        <v>7.2715583E-2</v>
      </c>
      <c r="AB118" s="6">
        <v>1.542119E-2</v>
      </c>
      <c r="AC118" s="6">
        <v>5.3627065000000002E-2</v>
      </c>
      <c r="AD118" s="6">
        <v>1.0846955E-2</v>
      </c>
      <c r="AE118" s="6">
        <v>7.8151714999999997E-2</v>
      </c>
      <c r="AF118" s="6">
        <v>1.7037026E-2</v>
      </c>
      <c r="AG118" s="6">
        <v>5.4114573400000001</v>
      </c>
      <c r="AH118" s="6">
        <v>0.89593823900000003</v>
      </c>
      <c r="AI118" s="6">
        <v>-8.0243548659999995</v>
      </c>
      <c r="AJ118" s="6">
        <v>1.5609868739999999</v>
      </c>
      <c r="AK118" s="6">
        <v>9.6822963210000008</v>
      </c>
      <c r="AL118" s="6">
        <v>1.779493891</v>
      </c>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row>
    <row r="119" spans="1:84" ht="16" x14ac:dyDescent="0.2">
      <c r="A119" s="4">
        <v>45827</v>
      </c>
      <c r="B119" s="19">
        <v>25170</v>
      </c>
      <c r="C119" s="5" t="s">
        <v>40</v>
      </c>
      <c r="D119" s="5">
        <v>9</v>
      </c>
      <c r="E119" s="53" t="s">
        <v>1168</v>
      </c>
      <c r="F119" s="37">
        <v>27.1</v>
      </c>
      <c r="G119" s="5" t="s">
        <v>2</v>
      </c>
      <c r="H119" s="5" t="s">
        <v>3</v>
      </c>
      <c r="I119" s="5">
        <v>0.9</v>
      </c>
      <c r="J119" s="5">
        <v>39</v>
      </c>
      <c r="K119" s="5">
        <v>9.5</v>
      </c>
      <c r="L119" s="5">
        <v>5.45</v>
      </c>
      <c r="M119" s="5" t="s">
        <v>4</v>
      </c>
      <c r="N119" s="15">
        <v>41.031313888900002</v>
      </c>
      <c r="O119" s="9" t="s">
        <v>877</v>
      </c>
      <c r="P119" s="6">
        <v>8.2432163000000003E-2</v>
      </c>
      <c r="Q119" s="6">
        <v>9.9520679999999997E-3</v>
      </c>
      <c r="R119" s="6">
        <v>1154</v>
      </c>
      <c r="S119" s="6">
        <v>1.2500600000000001E-3</v>
      </c>
      <c r="T119" s="6">
        <v>5.6568542449999999</v>
      </c>
      <c r="U119" s="6">
        <v>0.122412489</v>
      </c>
      <c r="V119" s="6">
        <v>1.0211866999999999E-2</v>
      </c>
      <c r="W119" s="6">
        <v>5.6732600000000005E-4</v>
      </c>
      <c r="X119" s="6">
        <v>3.9800399999999998E-4</v>
      </c>
      <c r="Y119" s="6">
        <v>0.118735479</v>
      </c>
      <c r="Z119" s="6">
        <v>1.6615970000000001E-2</v>
      </c>
      <c r="AA119" s="6">
        <v>7.4346703E-2</v>
      </c>
      <c r="AB119" s="6">
        <v>8.2447609999999998E-3</v>
      </c>
      <c r="AC119" s="6">
        <v>5.5639714999999999E-2</v>
      </c>
      <c r="AD119" s="6">
        <v>6.2733950000000002E-3</v>
      </c>
      <c r="AE119" s="6">
        <v>8.2432163000000003E-2</v>
      </c>
      <c r="AF119" s="6">
        <v>9.9520679999999997E-3</v>
      </c>
      <c r="AG119" s="6">
        <v>6.5648279140000003</v>
      </c>
      <c r="AH119" s="6">
        <v>0.73871539399999997</v>
      </c>
      <c r="AI119" s="6">
        <v>-8.5235561700000009</v>
      </c>
      <c r="AJ119" s="6">
        <v>0.62093182300000005</v>
      </c>
      <c r="AK119" s="6">
        <v>10.767754955999999</v>
      </c>
      <c r="AL119" s="6">
        <v>0.85703835699999997</v>
      </c>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row>
    <row r="120" spans="1:84" ht="16" x14ac:dyDescent="0.2">
      <c r="A120" s="4">
        <v>45827</v>
      </c>
      <c r="B120" s="19">
        <v>25170</v>
      </c>
      <c r="C120" s="5" t="s">
        <v>40</v>
      </c>
      <c r="D120" s="5">
        <v>10</v>
      </c>
      <c r="E120" s="53" t="s">
        <v>1169</v>
      </c>
      <c r="F120" s="37">
        <v>5.3</v>
      </c>
      <c r="G120" s="5" t="s">
        <v>2</v>
      </c>
      <c r="H120" s="5" t="s">
        <v>6</v>
      </c>
      <c r="I120" s="5">
        <v>0.2</v>
      </c>
      <c r="J120" s="5">
        <v>23.5</v>
      </c>
      <c r="K120" s="5" t="s">
        <v>8</v>
      </c>
      <c r="L120" s="5" t="s">
        <v>8</v>
      </c>
      <c r="M120" s="5" t="s">
        <v>9</v>
      </c>
      <c r="N120" s="15">
        <v>41.031313888900002</v>
      </c>
      <c r="O120" s="9" t="s">
        <v>878</v>
      </c>
      <c r="P120" s="6">
        <v>5.3838572000000001E-2</v>
      </c>
      <c r="Q120" s="6">
        <v>1.5392164E-2</v>
      </c>
      <c r="R120" s="6">
        <v>384</v>
      </c>
      <c r="S120" s="6">
        <v>1.9037380000000001E-3</v>
      </c>
      <c r="T120" s="6">
        <v>31.999999932000001</v>
      </c>
      <c r="U120" s="6">
        <v>0.123748265</v>
      </c>
      <c r="V120" s="6">
        <v>1.5383958E-2</v>
      </c>
      <c r="W120" s="6">
        <v>8.5466399999999999E-4</v>
      </c>
      <c r="X120" s="6">
        <v>6.4722E-4</v>
      </c>
      <c r="Y120" s="6">
        <v>7.8024053999999995E-2</v>
      </c>
      <c r="Z120" s="6">
        <v>2.1883954000000001E-2</v>
      </c>
      <c r="AA120" s="6">
        <v>4.9384363000000001E-2</v>
      </c>
      <c r="AB120" s="6">
        <v>1.4323083E-2</v>
      </c>
      <c r="AC120" s="6">
        <v>3.1853604000000001E-2</v>
      </c>
      <c r="AD120" s="6">
        <v>9.4519559999999992E-3</v>
      </c>
      <c r="AE120" s="6">
        <v>5.3838572000000001E-2</v>
      </c>
      <c r="AF120" s="6">
        <v>1.5392164E-2</v>
      </c>
      <c r="AG120" s="6">
        <v>6.5098265829999997</v>
      </c>
      <c r="AH120" s="6">
        <v>0.51645617600000004</v>
      </c>
      <c r="AI120" s="6">
        <v>-10.914613289</v>
      </c>
      <c r="AJ120" s="6">
        <v>1.132420521</v>
      </c>
      <c r="AK120" s="6">
        <v>12.711232318</v>
      </c>
      <c r="AL120" s="6">
        <v>1.2166022700000001</v>
      </c>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row>
    <row r="121" spans="1:84" ht="16" x14ac:dyDescent="0.2">
      <c r="A121" s="4">
        <v>45827</v>
      </c>
      <c r="B121" s="19">
        <v>25170</v>
      </c>
      <c r="C121" s="5" t="s">
        <v>40</v>
      </c>
      <c r="D121" s="5">
        <v>11</v>
      </c>
      <c r="E121" s="53" t="s">
        <v>1170</v>
      </c>
      <c r="F121" s="37">
        <v>-5.7</v>
      </c>
      <c r="G121" s="5" t="s">
        <v>2</v>
      </c>
      <c r="H121" s="5" t="s">
        <v>5</v>
      </c>
      <c r="I121" s="5">
        <v>1.1000000000000001</v>
      </c>
      <c r="J121" s="5">
        <v>40.5</v>
      </c>
      <c r="K121" s="5">
        <v>9.8000000000000007</v>
      </c>
      <c r="L121" s="5">
        <v>5.5</v>
      </c>
      <c r="M121" s="5" t="s">
        <v>4</v>
      </c>
      <c r="N121" s="15">
        <v>41.031313888900002</v>
      </c>
      <c r="O121" t="s">
        <v>879</v>
      </c>
      <c r="P121" s="6">
        <v>6.1365090999999997E-2</v>
      </c>
      <c r="Q121" s="6">
        <v>8.8373749999999997E-3</v>
      </c>
      <c r="R121" s="6">
        <v>1035</v>
      </c>
      <c r="S121" s="6">
        <v>1.063161E-3</v>
      </c>
      <c r="T121" s="6">
        <v>3.9999999979999998</v>
      </c>
      <c r="U121" s="6">
        <v>0.124560244</v>
      </c>
      <c r="V121" s="6">
        <v>8.5353170000000006E-3</v>
      </c>
      <c r="W121" s="6">
        <v>4.74184E-4</v>
      </c>
      <c r="X121" s="6">
        <v>3.5720800000000003E-4</v>
      </c>
      <c r="Y121" s="6">
        <v>7.9628396000000004E-2</v>
      </c>
      <c r="Z121" s="6">
        <v>1.3380924000000001E-2</v>
      </c>
      <c r="AA121" s="6">
        <v>5.7984882000000001E-2</v>
      </c>
      <c r="AB121" s="6">
        <v>7.8589620000000006E-3</v>
      </c>
      <c r="AC121" s="6">
        <v>4.9761128000000002E-2</v>
      </c>
      <c r="AD121" s="6">
        <v>6.8860529999999996E-3</v>
      </c>
      <c r="AE121" s="6">
        <v>6.1365090999999997E-2</v>
      </c>
      <c r="AF121" s="6">
        <v>8.8373749999999997E-3</v>
      </c>
      <c r="AG121" s="6">
        <v>4.4022921330000004</v>
      </c>
      <c r="AH121" s="6">
        <v>0.92818325499999998</v>
      </c>
      <c r="AI121" s="6">
        <v>-5.0506644539999996</v>
      </c>
      <c r="AJ121" s="6">
        <v>0.87054974500000004</v>
      </c>
      <c r="AK121" s="6">
        <v>6.7193581440000001</v>
      </c>
      <c r="AL121" s="6">
        <v>1.1656512349999999</v>
      </c>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row>
    <row r="122" spans="1:84" ht="16" x14ac:dyDescent="0.2">
      <c r="A122" s="4">
        <v>45827</v>
      </c>
      <c r="B122" s="19">
        <v>25170</v>
      </c>
      <c r="C122" s="5" t="s">
        <v>40</v>
      </c>
      <c r="D122" s="26">
        <v>12</v>
      </c>
      <c r="E122" s="53" t="s">
        <v>1171</v>
      </c>
      <c r="F122" s="37"/>
      <c r="G122" s="5" t="s">
        <v>2</v>
      </c>
      <c r="H122" s="5" t="s">
        <v>5</v>
      </c>
      <c r="I122" s="5">
        <v>1.2</v>
      </c>
      <c r="J122" s="5">
        <v>42.5</v>
      </c>
      <c r="K122" s="5">
        <v>9.75</v>
      </c>
      <c r="L122" s="5">
        <v>5.6</v>
      </c>
      <c r="M122" s="5" t="s">
        <v>4</v>
      </c>
      <c r="N122" s="15">
        <v>41.031313888900002</v>
      </c>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row>
    <row r="123" spans="1:84" ht="16" x14ac:dyDescent="0.2">
      <c r="A123" s="4">
        <v>45827</v>
      </c>
      <c r="B123" s="19">
        <v>25170</v>
      </c>
      <c r="C123" s="5" t="s">
        <v>40</v>
      </c>
      <c r="D123" s="25">
        <v>13</v>
      </c>
      <c r="E123" s="53" t="s">
        <v>1172</v>
      </c>
      <c r="F123" s="37">
        <v>-3.2</v>
      </c>
      <c r="G123" s="5" t="s">
        <v>2</v>
      </c>
      <c r="H123" s="5" t="s">
        <v>5</v>
      </c>
      <c r="I123" s="5">
        <v>0.85</v>
      </c>
      <c r="J123" s="5">
        <v>38.200000000000003</v>
      </c>
      <c r="K123" s="5" t="s">
        <v>8</v>
      </c>
      <c r="L123" s="5" t="s">
        <v>8</v>
      </c>
      <c r="M123" s="5" t="s">
        <v>9</v>
      </c>
      <c r="N123" s="15">
        <v>41.031313888900002</v>
      </c>
      <c r="O123" t="s">
        <v>541</v>
      </c>
      <c r="P123" s="6">
        <v>7.8876026000000002E-2</v>
      </c>
      <c r="Q123" s="6">
        <v>9.3916889999999999E-3</v>
      </c>
      <c r="R123" s="6">
        <v>1064</v>
      </c>
      <c r="S123" s="6">
        <v>1.109421E-3</v>
      </c>
      <c r="T123" s="6">
        <v>5.6568542449999999</v>
      </c>
      <c r="U123" s="6">
        <v>0.12341753599999999</v>
      </c>
      <c r="V123" s="6">
        <v>8.989169E-3</v>
      </c>
      <c r="W123" s="6">
        <v>4.9939799999999996E-4</v>
      </c>
      <c r="X123" s="6">
        <v>4.34728E-4</v>
      </c>
      <c r="Y123" s="6">
        <v>0.114450886</v>
      </c>
      <c r="Z123" s="6">
        <v>1.2747196000000001E-2</v>
      </c>
      <c r="AA123" s="6">
        <v>7.1200910000000006E-2</v>
      </c>
      <c r="AB123" s="6">
        <v>9.0801059999999992E-3</v>
      </c>
      <c r="AC123" s="6">
        <v>5.2060514000000002E-2</v>
      </c>
      <c r="AD123" s="6">
        <v>6.9079579999999996E-3</v>
      </c>
      <c r="AE123" s="6">
        <v>7.8876026000000002E-2</v>
      </c>
      <c r="AF123" s="6">
        <v>9.3916889999999999E-3</v>
      </c>
      <c r="AG123" s="6">
        <v>6.7437422639999998</v>
      </c>
      <c r="AH123" s="6">
        <v>0.77013747200000005</v>
      </c>
      <c r="AI123" s="6">
        <v>-9.026606653</v>
      </c>
      <c r="AJ123" s="6">
        <v>0.64547485400000004</v>
      </c>
      <c r="AK123" s="6">
        <v>11.279610462000001</v>
      </c>
      <c r="AL123" s="6">
        <v>0.85881840899999995</v>
      </c>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row>
    <row r="124" spans="1:84" ht="16" x14ac:dyDescent="0.2">
      <c r="A124" s="4">
        <v>45827</v>
      </c>
      <c r="B124" s="19">
        <v>25170</v>
      </c>
      <c r="C124" s="5" t="s">
        <v>40</v>
      </c>
      <c r="D124" s="25">
        <v>14</v>
      </c>
      <c r="E124" s="53" t="s">
        <v>1173</v>
      </c>
      <c r="F124" s="37">
        <v>3.7</v>
      </c>
      <c r="G124" s="5" t="s">
        <v>2</v>
      </c>
      <c r="H124" s="5" t="s">
        <v>5</v>
      </c>
      <c r="I124" s="5">
        <v>0.75</v>
      </c>
      <c r="J124" s="5">
        <v>38.9</v>
      </c>
      <c r="K124" s="5">
        <v>10.5</v>
      </c>
      <c r="L124" s="5">
        <v>5.55</v>
      </c>
      <c r="M124" s="5" t="s">
        <v>4</v>
      </c>
      <c r="N124" s="15">
        <v>41.031313888900002</v>
      </c>
      <c r="O124" t="s">
        <v>542</v>
      </c>
      <c r="P124" s="6">
        <v>4.2146291000000002E-2</v>
      </c>
      <c r="Q124" s="6">
        <v>1.4865471999999999E-2</v>
      </c>
      <c r="R124" s="6">
        <v>576</v>
      </c>
      <c r="S124" s="6">
        <v>1.619795E-3</v>
      </c>
      <c r="T124" s="6">
        <v>3.9999999979999998</v>
      </c>
      <c r="U124" s="6">
        <v>0.10909194</v>
      </c>
      <c r="V124" s="6">
        <v>1.4847978E-2</v>
      </c>
      <c r="W124" s="6">
        <v>8.2488799999999997E-4</v>
      </c>
      <c r="X124" s="6">
        <v>5.7238700000000005E-4</v>
      </c>
      <c r="Y124" s="6">
        <v>5.5112679999999997E-2</v>
      </c>
      <c r="Z124" s="6">
        <v>1.9226591000000001E-2</v>
      </c>
      <c r="AA124" s="6">
        <v>4.0158548000000002E-2</v>
      </c>
      <c r="AB124" s="6">
        <v>1.4264690999999999E-2</v>
      </c>
      <c r="AC124" s="6">
        <v>3.1904119000000002E-2</v>
      </c>
      <c r="AD124" s="6">
        <v>1.1197327E-2</v>
      </c>
      <c r="AE124" s="6">
        <v>4.2146291000000002E-2</v>
      </c>
      <c r="AF124" s="6">
        <v>1.4865471999999999E-2</v>
      </c>
      <c r="AG124" s="6">
        <v>4.5130486679999997</v>
      </c>
      <c r="AH124" s="6">
        <v>0.40727463899999999</v>
      </c>
      <c r="AI124" s="6">
        <v>-6.3873492399999998</v>
      </c>
      <c r="AJ124" s="6">
        <v>0.95429926600000003</v>
      </c>
      <c r="AK124" s="6">
        <v>7.8261166380000002</v>
      </c>
      <c r="AL124" s="6">
        <v>0.99707238799999998</v>
      </c>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row>
    <row r="125" spans="1:84" ht="16" x14ac:dyDescent="0.2">
      <c r="A125" s="4">
        <v>45827</v>
      </c>
      <c r="B125" s="19">
        <v>25170</v>
      </c>
      <c r="C125" s="5" t="s">
        <v>40</v>
      </c>
      <c r="D125" s="5">
        <v>15</v>
      </c>
      <c r="E125" s="53" t="s">
        <v>1174</v>
      </c>
      <c r="F125" s="37">
        <v>2.6</v>
      </c>
      <c r="G125" s="5" t="s">
        <v>2</v>
      </c>
      <c r="H125" s="5" t="s">
        <v>5</v>
      </c>
      <c r="I125" s="5">
        <v>0.7</v>
      </c>
      <c r="J125" s="5">
        <v>36.5</v>
      </c>
      <c r="K125" s="5">
        <v>8.9</v>
      </c>
      <c r="L125" s="5">
        <v>5</v>
      </c>
      <c r="M125" s="5" t="s">
        <v>4</v>
      </c>
      <c r="N125" s="15">
        <v>41.031313888900002</v>
      </c>
      <c r="O125" t="s">
        <v>880</v>
      </c>
      <c r="P125" s="6">
        <v>6.6036407000000005E-2</v>
      </c>
      <c r="Q125" s="6">
        <v>1.6558069000000002E-2</v>
      </c>
      <c r="R125" s="6">
        <v>774</v>
      </c>
      <c r="S125" s="6">
        <v>1.625224E-3</v>
      </c>
      <c r="T125" s="6">
        <v>2</v>
      </c>
      <c r="U125" s="6">
        <v>0.110028775</v>
      </c>
      <c r="V125" s="6">
        <v>1.4770897999999999E-2</v>
      </c>
      <c r="W125" s="6">
        <v>8.2060499999999997E-4</v>
      </c>
      <c r="X125" s="6">
        <v>6.0915299999999997E-4</v>
      </c>
      <c r="Y125" s="6">
        <v>9.6718593000000005E-2</v>
      </c>
      <c r="Z125" s="6">
        <v>2.4583304E-2</v>
      </c>
      <c r="AA125" s="6">
        <v>5.9238577000000001E-2</v>
      </c>
      <c r="AB125" s="6">
        <v>1.4726217E-2</v>
      </c>
      <c r="AC125" s="6">
        <v>4.3478632000000003E-2</v>
      </c>
      <c r="AD125" s="6">
        <v>1.1047507E-2</v>
      </c>
      <c r="AE125" s="6">
        <v>6.6036407000000005E-2</v>
      </c>
      <c r="AF125" s="6">
        <v>1.6558069000000002E-2</v>
      </c>
      <c r="AG125" s="6">
        <v>6.8954660719999996</v>
      </c>
      <c r="AH125" s="6">
        <v>0.43216178100000002</v>
      </c>
      <c r="AI125" s="6">
        <v>-9.0854838680000007</v>
      </c>
      <c r="AJ125" s="6">
        <v>0.56473708899999997</v>
      </c>
      <c r="AK125" s="6">
        <v>11.41994695</v>
      </c>
      <c r="AL125" s="6">
        <v>0.428434965</v>
      </c>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row>
    <row r="126" spans="1:84" ht="16" x14ac:dyDescent="0.2">
      <c r="A126" s="4">
        <v>45827</v>
      </c>
      <c r="B126" s="19">
        <v>25170</v>
      </c>
      <c r="C126" s="5" t="s">
        <v>40</v>
      </c>
      <c r="D126" s="5">
        <v>16</v>
      </c>
      <c r="E126" s="53" t="s">
        <v>1175</v>
      </c>
      <c r="F126" s="6">
        <v>12.8</v>
      </c>
      <c r="G126" s="5" t="s">
        <v>2</v>
      </c>
      <c r="H126" s="5" t="s">
        <v>6</v>
      </c>
      <c r="I126" s="5">
        <v>0.65</v>
      </c>
      <c r="J126" s="5">
        <v>35.1</v>
      </c>
      <c r="K126" s="5">
        <v>8.9</v>
      </c>
      <c r="L126" s="5">
        <v>4.9000000000000004</v>
      </c>
      <c r="M126" s="5" t="s">
        <v>4</v>
      </c>
      <c r="N126" s="15">
        <v>41.031313888900002</v>
      </c>
      <c r="O126" s="6" t="s">
        <v>881</v>
      </c>
      <c r="P126" s="6">
        <v>7.7467848000000006E-2</v>
      </c>
      <c r="Q126" s="6">
        <v>1.6709193000000001E-2</v>
      </c>
      <c r="R126" s="6">
        <v>809</v>
      </c>
      <c r="S126" s="6">
        <v>2.0736769999999999E-3</v>
      </c>
      <c r="T126" s="6">
        <v>3.9999999979999998</v>
      </c>
      <c r="U126" s="6">
        <v>0.13515976099999999</v>
      </c>
      <c r="V126" s="6">
        <v>1.5342412E-2</v>
      </c>
      <c r="W126" s="6">
        <v>8.5235599999999997E-4</v>
      </c>
      <c r="X126" s="6">
        <v>6.6626399999999996E-4</v>
      </c>
      <c r="Y126" s="6">
        <v>0.113408562</v>
      </c>
      <c r="Z126" s="6">
        <v>2.5427298000000001E-2</v>
      </c>
      <c r="AA126" s="6">
        <v>7.0593273999999998E-2</v>
      </c>
      <c r="AB126" s="6">
        <v>1.5048901999999999E-2</v>
      </c>
      <c r="AC126" s="6">
        <v>4.6538168999999997E-2</v>
      </c>
      <c r="AD126" s="6">
        <v>9.2672359999999999E-3</v>
      </c>
      <c r="AE126" s="6">
        <v>7.7467848000000006E-2</v>
      </c>
      <c r="AF126" s="6">
        <v>1.6709193000000001E-2</v>
      </c>
      <c r="AG126" s="6">
        <v>6.614066512</v>
      </c>
      <c r="AH126" s="6">
        <v>0.51934171399999995</v>
      </c>
      <c r="AI126" s="6">
        <v>-10.508874196000001</v>
      </c>
      <c r="AJ126" s="6">
        <v>1.2046764700000001</v>
      </c>
      <c r="AK126" s="6">
        <v>12.420914473</v>
      </c>
      <c r="AL126" s="6">
        <v>1.274377495</v>
      </c>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row>
    <row r="127" spans="1:84" ht="16" x14ac:dyDescent="0.2">
      <c r="A127" s="4">
        <v>45827</v>
      </c>
      <c r="B127" s="19">
        <v>25170</v>
      </c>
      <c r="C127" s="5" t="s">
        <v>40</v>
      </c>
      <c r="D127" s="5">
        <v>17</v>
      </c>
      <c r="E127" s="53" t="s">
        <v>1176</v>
      </c>
      <c r="F127" s="37">
        <v>29.2</v>
      </c>
      <c r="G127" s="5" t="s">
        <v>2</v>
      </c>
      <c r="H127" s="5" t="s">
        <v>6</v>
      </c>
      <c r="I127" s="5">
        <v>0.2</v>
      </c>
      <c r="J127" s="5">
        <v>23.75</v>
      </c>
      <c r="K127" s="5" t="s">
        <v>8</v>
      </c>
      <c r="L127" s="5" t="s">
        <v>8</v>
      </c>
      <c r="M127" s="5" t="s">
        <v>9</v>
      </c>
      <c r="N127" s="15">
        <v>41.031313888900002</v>
      </c>
      <c r="O127" t="s">
        <v>882</v>
      </c>
      <c r="P127" s="6">
        <v>4.5021297000000002E-2</v>
      </c>
      <c r="Q127" s="6">
        <v>1.2467819999999999E-2</v>
      </c>
      <c r="R127" s="6">
        <v>335</v>
      </c>
      <c r="S127" s="6">
        <v>1.3196010000000001E-3</v>
      </c>
      <c r="T127" s="6">
        <v>5.6568542449999999</v>
      </c>
      <c r="U127" s="6">
        <v>0.11743213199999999</v>
      </c>
      <c r="V127" s="6">
        <v>1.1237139E-2</v>
      </c>
      <c r="W127" s="6">
        <v>6.2428600000000005E-4</v>
      </c>
      <c r="X127" s="6">
        <v>5.3935400000000003E-4</v>
      </c>
      <c r="Y127" s="6">
        <v>6.7798560999999993E-2</v>
      </c>
      <c r="Z127" s="6">
        <v>1.8443674E-2</v>
      </c>
      <c r="AA127" s="6">
        <v>3.9910844000000001E-2</v>
      </c>
      <c r="AB127" s="6">
        <v>1.1170928E-2</v>
      </c>
      <c r="AC127" s="6">
        <v>2.7143553000000001E-2</v>
      </c>
      <c r="AD127" s="6">
        <v>7.775733E-3</v>
      </c>
      <c r="AE127" s="6">
        <v>4.5021297000000002E-2</v>
      </c>
      <c r="AF127" s="6">
        <v>1.2467819999999999E-2</v>
      </c>
      <c r="AG127" s="6">
        <v>7.5469448019999996</v>
      </c>
      <c r="AH127" s="6">
        <v>0.259608116</v>
      </c>
      <c r="AI127" s="6">
        <v>-10.708110359999999</v>
      </c>
      <c r="AJ127" s="6">
        <v>0.51683427299999996</v>
      </c>
      <c r="AK127" s="6">
        <v>13.100995935</v>
      </c>
      <c r="AL127" s="6">
        <v>0.56424782699999998</v>
      </c>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row>
    <row r="128" spans="1:84" ht="16" x14ac:dyDescent="0.2">
      <c r="A128" s="4">
        <v>45827</v>
      </c>
      <c r="B128" s="19">
        <v>25170</v>
      </c>
      <c r="C128" s="5" t="s">
        <v>40</v>
      </c>
      <c r="D128" s="5">
        <v>18</v>
      </c>
      <c r="E128" s="53" t="s">
        <v>1177</v>
      </c>
      <c r="F128" s="37">
        <v>10.7</v>
      </c>
      <c r="G128" s="5" t="s">
        <v>2</v>
      </c>
      <c r="H128" s="5" t="s">
        <v>5</v>
      </c>
      <c r="I128" s="5">
        <v>1</v>
      </c>
      <c r="J128" s="5">
        <v>39.4</v>
      </c>
      <c r="K128" s="5">
        <v>9.35</v>
      </c>
      <c r="L128" s="5">
        <v>5.45</v>
      </c>
      <c r="M128" s="5" t="s">
        <v>4</v>
      </c>
      <c r="N128" s="15">
        <v>41.031313888900002</v>
      </c>
      <c r="O128" t="s">
        <v>883</v>
      </c>
      <c r="P128" s="6">
        <v>6.4916233000000004E-2</v>
      </c>
      <c r="Q128" s="6">
        <v>1.2457891E-2</v>
      </c>
      <c r="R128" s="6">
        <v>792</v>
      </c>
      <c r="S128" s="6">
        <v>1.439475E-3</v>
      </c>
      <c r="T128" s="6">
        <v>2</v>
      </c>
      <c r="U128" s="6">
        <v>0.14397357699999999</v>
      </c>
      <c r="V128" s="6">
        <v>9.9981900000000005E-3</v>
      </c>
      <c r="W128" s="6">
        <v>5.5545499999999995E-4</v>
      </c>
      <c r="X128" s="6">
        <v>5.3239800000000001E-4</v>
      </c>
      <c r="Y128" s="6">
        <v>8.7285711000000002E-2</v>
      </c>
      <c r="Z128" s="6">
        <v>1.7341061000000001E-2</v>
      </c>
      <c r="AA128" s="6">
        <v>6.0667951999999997E-2</v>
      </c>
      <c r="AB128" s="6">
        <v>1.1481272000000001E-2</v>
      </c>
      <c r="AC128" s="6">
        <v>4.7678581999999997E-2</v>
      </c>
      <c r="AD128" s="6">
        <v>9.2116239999999999E-3</v>
      </c>
      <c r="AE128" s="6">
        <v>6.4916233000000004E-2</v>
      </c>
      <c r="AF128" s="6">
        <v>1.2457891E-2</v>
      </c>
      <c r="AG128" s="6">
        <v>5.1466203500000001</v>
      </c>
      <c r="AH128" s="6">
        <v>0.59703181699999996</v>
      </c>
      <c r="AI128" s="6">
        <v>-6.950919979</v>
      </c>
      <c r="AJ128" s="6">
        <v>0.69385214100000003</v>
      </c>
      <c r="AK128" s="6">
        <v>8.6524374080000008</v>
      </c>
      <c r="AL128" s="6">
        <v>0.880974692</v>
      </c>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row>
    <row r="129" spans="1:84" ht="16" x14ac:dyDescent="0.2">
      <c r="A129" s="4">
        <v>45827</v>
      </c>
      <c r="B129" s="19">
        <v>25170</v>
      </c>
      <c r="C129" s="5" t="s">
        <v>40</v>
      </c>
      <c r="D129" s="5">
        <v>19</v>
      </c>
      <c r="E129" s="53" t="s">
        <v>1178</v>
      </c>
      <c r="F129" s="37">
        <v>3.7</v>
      </c>
      <c r="G129" s="5" t="s">
        <v>2</v>
      </c>
      <c r="H129" s="5" t="s">
        <v>5</v>
      </c>
      <c r="I129" s="5">
        <v>0.9</v>
      </c>
      <c r="J129" s="5">
        <v>40.9</v>
      </c>
      <c r="K129" s="5">
        <v>9.3000000000000007</v>
      </c>
      <c r="L129" s="5">
        <v>5.4</v>
      </c>
      <c r="M129" s="5" t="s">
        <v>4</v>
      </c>
      <c r="N129" s="15">
        <v>41.031313888900002</v>
      </c>
      <c r="O129" s="9" t="s">
        <v>884</v>
      </c>
      <c r="P129" s="6">
        <v>7.9291994000000005E-2</v>
      </c>
      <c r="Q129" s="6">
        <v>8.5787399999999996E-3</v>
      </c>
      <c r="R129" s="6">
        <v>999</v>
      </c>
      <c r="S129" s="6">
        <v>8.7524599999999999E-4</v>
      </c>
      <c r="T129" s="6">
        <v>11.313708483999999</v>
      </c>
      <c r="U129" s="6">
        <v>0.10125774</v>
      </c>
      <c r="V129" s="6">
        <v>8.6437419999999994E-3</v>
      </c>
      <c r="W129" s="6">
        <v>4.8020799999999998E-4</v>
      </c>
      <c r="X129" s="6">
        <v>3.6536799999999998E-4</v>
      </c>
      <c r="Y129" s="6">
        <v>0.124770519</v>
      </c>
      <c r="Z129" s="6">
        <v>1.3474837999999999E-2</v>
      </c>
      <c r="AA129" s="6">
        <v>6.8110774999999998E-2</v>
      </c>
      <c r="AB129" s="6">
        <v>7.5308529999999997E-3</v>
      </c>
      <c r="AC129" s="6">
        <v>4.6978951999999997E-2</v>
      </c>
      <c r="AD129" s="6">
        <v>5.0306120000000003E-3</v>
      </c>
      <c r="AE129" s="6">
        <v>7.9291994000000005E-2</v>
      </c>
      <c r="AF129" s="6">
        <v>8.5787399999999996E-3</v>
      </c>
      <c r="AG129" s="6">
        <v>8.5638340950000007</v>
      </c>
      <c r="AH129" s="6">
        <v>0.35213251699999998</v>
      </c>
      <c r="AI129" s="6">
        <v>-11.001817921000001</v>
      </c>
      <c r="AJ129" s="6">
        <v>0.629991788</v>
      </c>
      <c r="AK129" s="6">
        <v>13.944981517</v>
      </c>
      <c r="AL129" s="6">
        <v>0.66147256600000004</v>
      </c>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row>
    <row r="130" spans="1:84" ht="16" x14ac:dyDescent="0.2">
      <c r="A130" s="4">
        <v>45827</v>
      </c>
      <c r="B130" s="19">
        <v>25170</v>
      </c>
      <c r="C130" s="5" t="s">
        <v>40</v>
      </c>
      <c r="D130" s="5">
        <v>20</v>
      </c>
      <c r="E130" s="53" t="s">
        <v>1179</v>
      </c>
      <c r="F130" s="6">
        <v>21.8</v>
      </c>
      <c r="G130" s="5" t="s">
        <v>2</v>
      </c>
      <c r="H130" s="5" t="s">
        <v>5</v>
      </c>
      <c r="I130" s="5">
        <v>0.75</v>
      </c>
      <c r="J130" s="5">
        <v>37.9</v>
      </c>
      <c r="K130" s="5">
        <v>9.25</v>
      </c>
      <c r="L130" s="5">
        <v>5.4</v>
      </c>
      <c r="M130" s="5" t="s">
        <v>4</v>
      </c>
      <c r="N130" s="15">
        <v>41.031313888900002</v>
      </c>
      <c r="O130" t="s">
        <v>885</v>
      </c>
      <c r="P130" s="6">
        <v>6.2983210999999997E-2</v>
      </c>
      <c r="Q130" s="6">
        <v>6.8949479999999997E-3</v>
      </c>
      <c r="R130" s="6">
        <v>1119</v>
      </c>
      <c r="S130" s="6">
        <v>7.2143200000000004E-4</v>
      </c>
      <c r="T130" s="6">
        <v>11.313708483999999</v>
      </c>
      <c r="U130" s="6">
        <v>0.106670378</v>
      </c>
      <c r="V130" s="6">
        <v>6.7631899999999997E-3</v>
      </c>
      <c r="W130" s="6">
        <v>3.75733E-4</v>
      </c>
      <c r="X130" s="6">
        <v>2.9375499999999998E-4</v>
      </c>
      <c r="Y130" s="6">
        <v>8.1507965000000002E-2</v>
      </c>
      <c r="Z130" s="6">
        <v>8.7120300000000008E-3</v>
      </c>
      <c r="AA130" s="6">
        <v>5.9547722999999997E-2</v>
      </c>
      <c r="AB130" s="6">
        <v>6.6779939999999996E-3</v>
      </c>
      <c r="AC130" s="6">
        <v>5.1323200999999999E-2</v>
      </c>
      <c r="AD130" s="6">
        <v>6.1471470000000004E-3</v>
      </c>
      <c r="AE130" s="6">
        <v>6.2983210999999997E-2</v>
      </c>
      <c r="AF130" s="6">
        <v>6.8949479999999997E-3</v>
      </c>
      <c r="AG130" s="6">
        <v>4.4500990229999999</v>
      </c>
      <c r="AH130" s="6">
        <v>0.473356267</v>
      </c>
      <c r="AI130" s="6">
        <v>-5.0145455300000004</v>
      </c>
      <c r="AJ130" s="6">
        <v>0.76875669700000004</v>
      </c>
      <c r="AK130" s="6">
        <v>6.7079789910000001</v>
      </c>
      <c r="AL130" s="6">
        <v>0.87582892999999995</v>
      </c>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row>
    <row r="131" spans="1:84" ht="16" x14ac:dyDescent="0.2">
      <c r="A131" s="4">
        <v>45827</v>
      </c>
      <c r="B131" s="19">
        <v>25170</v>
      </c>
      <c r="C131" s="5" t="s">
        <v>40</v>
      </c>
      <c r="D131" s="5">
        <v>21</v>
      </c>
      <c r="E131" s="53" t="s">
        <v>1180</v>
      </c>
      <c r="F131" s="37">
        <v>21</v>
      </c>
      <c r="G131" s="5" t="s">
        <v>2</v>
      </c>
      <c r="H131" s="5" t="s">
        <v>5</v>
      </c>
      <c r="I131" s="5">
        <v>0.75</v>
      </c>
      <c r="J131" s="5">
        <v>37.549999999999997</v>
      </c>
      <c r="K131" s="5">
        <v>10</v>
      </c>
      <c r="L131" s="5">
        <v>5.25</v>
      </c>
      <c r="M131" s="5" t="s">
        <v>4</v>
      </c>
      <c r="N131" s="15">
        <v>41.031313888900002</v>
      </c>
      <c r="O131" s="9" t="s">
        <v>886</v>
      </c>
      <c r="P131" s="6">
        <v>5.6343508E-2</v>
      </c>
      <c r="Q131" s="6">
        <v>9.0471839999999998E-3</v>
      </c>
      <c r="R131" s="6">
        <v>906</v>
      </c>
      <c r="S131" s="6">
        <v>8.7139200000000002E-4</v>
      </c>
      <c r="T131" s="6">
        <v>2.8284271240000001</v>
      </c>
      <c r="U131" s="6">
        <v>9.1765905999999994E-2</v>
      </c>
      <c r="V131" s="6">
        <v>9.4958190000000008E-3</v>
      </c>
      <c r="W131" s="6">
        <v>5.2754500000000003E-4</v>
      </c>
      <c r="X131" s="6">
        <v>3.1330600000000001E-4</v>
      </c>
      <c r="Y131" s="6">
        <v>7.2396700999999994E-2</v>
      </c>
      <c r="Z131" s="6">
        <v>1.270189E-2</v>
      </c>
      <c r="AA131" s="6">
        <v>5.3625580999999999E-2</v>
      </c>
      <c r="AB131" s="6">
        <v>8.4202040000000006E-3</v>
      </c>
      <c r="AC131" s="6">
        <v>4.5864050000000003E-2</v>
      </c>
      <c r="AD131" s="6">
        <v>7.3081279999999997E-3</v>
      </c>
      <c r="AE131" s="6">
        <v>5.6343508E-2</v>
      </c>
      <c r="AF131" s="6">
        <v>9.0471839999999998E-3</v>
      </c>
      <c r="AG131" s="6">
        <v>4.199184926</v>
      </c>
      <c r="AH131" s="6">
        <v>0.71042502600000002</v>
      </c>
      <c r="AI131" s="6">
        <v>-5.0014470879999999</v>
      </c>
      <c r="AJ131" s="6">
        <v>1.1919735490000001</v>
      </c>
      <c r="AK131" s="6">
        <v>6.5490304750000004</v>
      </c>
      <c r="AL131" s="6">
        <v>1.2973295220000001</v>
      </c>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row>
    <row r="132" spans="1:84" ht="16" x14ac:dyDescent="0.2">
      <c r="A132" s="4">
        <v>45827</v>
      </c>
      <c r="B132" s="19">
        <v>25170</v>
      </c>
      <c r="C132" s="5" t="s">
        <v>40</v>
      </c>
      <c r="D132" s="25">
        <v>22</v>
      </c>
      <c r="E132" s="53" t="s">
        <v>1181</v>
      </c>
      <c r="F132" s="37">
        <v>40.5</v>
      </c>
      <c r="G132" s="5" t="s">
        <v>2</v>
      </c>
      <c r="H132" s="5" t="s">
        <v>5</v>
      </c>
      <c r="I132" s="5">
        <v>0.75</v>
      </c>
      <c r="J132" s="5">
        <v>36.6</v>
      </c>
      <c r="K132" s="5">
        <v>8.9499999999999993</v>
      </c>
      <c r="L132" s="5">
        <v>5</v>
      </c>
      <c r="M132" s="5" t="s">
        <v>4</v>
      </c>
      <c r="N132" s="15">
        <v>41.031313888900002</v>
      </c>
      <c r="O132" t="s">
        <v>550</v>
      </c>
      <c r="P132" s="6">
        <v>5.9796492E-2</v>
      </c>
      <c r="Q132" s="6">
        <v>8.3208989999999997E-3</v>
      </c>
      <c r="R132" s="6">
        <v>800</v>
      </c>
      <c r="S132" s="6">
        <v>8.4906100000000002E-4</v>
      </c>
      <c r="T132" s="6">
        <v>5.6568542449999999</v>
      </c>
      <c r="U132" s="6">
        <v>0.104269678</v>
      </c>
      <c r="V132" s="6">
        <v>8.1429299999999996E-3</v>
      </c>
      <c r="W132" s="6">
        <v>4.5238500000000003E-4</v>
      </c>
      <c r="X132" s="6">
        <v>3.0275499999999998E-4</v>
      </c>
      <c r="Y132" s="6">
        <v>8.7281599000000001E-2</v>
      </c>
      <c r="Z132" s="6">
        <v>1.2783321E-2</v>
      </c>
      <c r="AA132" s="6">
        <v>5.4096924999999997E-2</v>
      </c>
      <c r="AB132" s="6">
        <v>7.5606739999999999E-3</v>
      </c>
      <c r="AC132" s="6">
        <v>3.9843719E-2</v>
      </c>
      <c r="AD132" s="6">
        <v>4.8320949999999998E-3</v>
      </c>
      <c r="AE132" s="6">
        <v>5.9796492E-2</v>
      </c>
      <c r="AF132" s="6">
        <v>8.3208989999999997E-3</v>
      </c>
      <c r="AG132" s="6">
        <v>6.7454634929999999</v>
      </c>
      <c r="AH132" s="6">
        <v>0.466681603</v>
      </c>
      <c r="AI132" s="6">
        <v>-8.8415791309999996</v>
      </c>
      <c r="AJ132" s="6">
        <v>1.0385808919999999</v>
      </c>
      <c r="AK132" s="6">
        <v>11.129668068999999</v>
      </c>
      <c r="AL132" s="6">
        <v>1.0495171249999999</v>
      </c>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row>
    <row r="133" spans="1:84" ht="16" x14ac:dyDescent="0.2">
      <c r="A133" s="4">
        <v>45827</v>
      </c>
      <c r="B133" s="19">
        <v>25170</v>
      </c>
      <c r="C133" s="5" t="s">
        <v>40</v>
      </c>
      <c r="D133" s="5">
        <v>23</v>
      </c>
      <c r="E133" s="53" t="s">
        <v>1182</v>
      </c>
      <c r="F133" s="6">
        <v>7.9</v>
      </c>
      <c r="G133" s="5" t="s">
        <v>2</v>
      </c>
      <c r="H133" s="5" t="s">
        <v>3</v>
      </c>
      <c r="I133" s="5">
        <v>0.7</v>
      </c>
      <c r="J133" s="5">
        <v>36.4</v>
      </c>
      <c r="K133" s="5">
        <v>8.3000000000000007</v>
      </c>
      <c r="L133" s="5">
        <v>5.05</v>
      </c>
      <c r="M133" s="5" t="s">
        <v>4</v>
      </c>
      <c r="N133" s="15">
        <v>41.031313888900002</v>
      </c>
      <c r="O133" t="s">
        <v>887</v>
      </c>
      <c r="P133" s="6">
        <v>7.5923531000000002E-2</v>
      </c>
      <c r="Q133" s="6">
        <v>1.2338768E-2</v>
      </c>
      <c r="R133" s="6">
        <v>981</v>
      </c>
      <c r="S133" s="6">
        <v>1.468474E-3</v>
      </c>
      <c r="T133" s="6">
        <v>5.6568542449999999</v>
      </c>
      <c r="U133" s="6">
        <v>0.12165907400000001</v>
      </c>
      <c r="V133" s="6">
        <v>1.2070406000000001E-2</v>
      </c>
      <c r="W133" s="6">
        <v>6.7057800000000002E-4</v>
      </c>
      <c r="X133" s="6">
        <v>4.7828999999999998E-4</v>
      </c>
      <c r="Y133" s="6">
        <v>0.109920829</v>
      </c>
      <c r="Z133" s="6">
        <v>2.1223896999999999E-2</v>
      </c>
      <c r="AA133" s="6">
        <v>6.8376403000000002E-2</v>
      </c>
      <c r="AB133" s="6">
        <v>1.0246442E-2</v>
      </c>
      <c r="AC133" s="6">
        <v>5.0987981000000002E-2</v>
      </c>
      <c r="AD133" s="6">
        <v>7.4223459999999998E-3</v>
      </c>
      <c r="AE133" s="6">
        <v>7.5923531000000002E-2</v>
      </c>
      <c r="AF133" s="6">
        <v>1.2338768E-2</v>
      </c>
      <c r="AG133" s="6">
        <v>6.5870554419999996</v>
      </c>
      <c r="AH133" s="6">
        <v>1.144447287</v>
      </c>
      <c r="AI133" s="6">
        <v>-8.5887142379999997</v>
      </c>
      <c r="AJ133" s="6">
        <v>1.326518487</v>
      </c>
      <c r="AK133" s="6">
        <v>10.828615645999999</v>
      </c>
      <c r="AL133" s="6">
        <v>1.7221208240000001</v>
      </c>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row>
    <row r="134" spans="1:84" ht="16" x14ac:dyDescent="0.2">
      <c r="A134" s="4">
        <v>45827</v>
      </c>
      <c r="B134" s="19">
        <v>25170</v>
      </c>
      <c r="C134" s="5" t="s">
        <v>40</v>
      </c>
      <c r="D134" s="28">
        <v>24</v>
      </c>
      <c r="E134" s="53" t="s">
        <v>1183</v>
      </c>
      <c r="F134" s="37">
        <v>32.5</v>
      </c>
      <c r="G134" s="5" t="s">
        <v>2</v>
      </c>
      <c r="H134" s="5" t="s">
        <v>6</v>
      </c>
      <c r="I134" s="5">
        <v>0.25</v>
      </c>
      <c r="J134" s="5">
        <v>31.3</v>
      </c>
      <c r="K134" s="5" t="s">
        <v>8</v>
      </c>
      <c r="L134" s="5" t="s">
        <v>8</v>
      </c>
      <c r="M134" s="5" t="s">
        <v>9</v>
      </c>
      <c r="N134" s="15">
        <v>41.031313888900002</v>
      </c>
      <c r="O134" t="s">
        <v>551</v>
      </c>
      <c r="P134" s="6">
        <v>4.6738489000000001E-2</v>
      </c>
      <c r="Q134" s="6">
        <v>1.1177009999999999E-2</v>
      </c>
      <c r="R134" s="6">
        <v>493</v>
      </c>
      <c r="S134" s="6">
        <v>1.1416429999999999E-3</v>
      </c>
      <c r="T134" s="6">
        <v>11.313708483999999</v>
      </c>
      <c r="U134" s="6">
        <v>0.11244354199999999</v>
      </c>
      <c r="V134" s="6">
        <v>1.0153034E-2</v>
      </c>
      <c r="W134" s="6">
        <v>5.6405699999999997E-4</v>
      </c>
      <c r="X134" s="6">
        <v>4.9614600000000004E-4</v>
      </c>
      <c r="Y134" s="6">
        <v>6.7033529999999994E-2</v>
      </c>
      <c r="Z134" s="6">
        <v>1.6664787E-2</v>
      </c>
      <c r="AA134" s="6">
        <v>4.2435841000000002E-2</v>
      </c>
      <c r="AB134" s="6">
        <v>9.9022629999999997E-3</v>
      </c>
      <c r="AC134" s="6">
        <v>3.2645565000000001E-2</v>
      </c>
      <c r="AD134" s="6">
        <v>7.9572840000000002E-3</v>
      </c>
      <c r="AE134" s="6">
        <v>4.6738489000000001E-2</v>
      </c>
      <c r="AF134" s="6">
        <v>1.1177009999999999E-2</v>
      </c>
      <c r="AG134" s="6">
        <v>6.4112272519999998</v>
      </c>
      <c r="AH134" s="6">
        <v>0.30343141299999998</v>
      </c>
      <c r="AI134" s="6">
        <v>-8.010733836</v>
      </c>
      <c r="AJ134" s="6">
        <v>1.136579539</v>
      </c>
      <c r="AK134" s="6">
        <v>10.281047769000001</v>
      </c>
      <c r="AL134" s="6">
        <v>0.97916762599999996</v>
      </c>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row>
    <row r="135" spans="1:84" ht="16" x14ac:dyDescent="0.2">
      <c r="A135" s="4">
        <v>45828</v>
      </c>
      <c r="B135" s="19">
        <v>25171</v>
      </c>
      <c r="C135" s="5" t="s">
        <v>42</v>
      </c>
      <c r="D135" s="5">
        <v>13</v>
      </c>
      <c r="E135" s="53" t="s">
        <v>1184</v>
      </c>
      <c r="F135" s="37">
        <v>3.4</v>
      </c>
      <c r="G135" s="5" t="s">
        <v>2</v>
      </c>
      <c r="H135" s="5" t="s">
        <v>5</v>
      </c>
      <c r="I135" s="5">
        <v>0.65</v>
      </c>
      <c r="J135" s="5">
        <v>33.5</v>
      </c>
      <c r="K135" s="5">
        <v>8.3000000000000007</v>
      </c>
      <c r="L135" s="5">
        <v>4.7</v>
      </c>
      <c r="M135" s="5" t="s">
        <v>4</v>
      </c>
      <c r="N135" s="15">
        <v>41.3127527778</v>
      </c>
      <c r="O135" t="s">
        <v>888</v>
      </c>
      <c r="P135" s="6">
        <v>9.1776531999999994E-2</v>
      </c>
      <c r="Q135" s="6">
        <v>1.6867788000000002E-2</v>
      </c>
      <c r="R135" s="6">
        <v>789</v>
      </c>
      <c r="S135" s="6">
        <v>2.4021210000000001E-3</v>
      </c>
      <c r="T135" s="6">
        <v>45.254833888</v>
      </c>
      <c r="U135" s="6">
        <v>0.13239848000000001</v>
      </c>
      <c r="V135" s="6">
        <v>1.8143111999999999E-2</v>
      </c>
      <c r="W135" s="6">
        <v>1.007951E-3</v>
      </c>
      <c r="X135" s="6">
        <v>7.6123200000000003E-4</v>
      </c>
      <c r="Y135" s="6">
        <v>0.13850278399999999</v>
      </c>
      <c r="Z135" s="6">
        <v>2.5763205000000001E-2</v>
      </c>
      <c r="AA135" s="6">
        <v>8.1383651000000001E-2</v>
      </c>
      <c r="AB135" s="6">
        <v>1.4853638000000001E-2</v>
      </c>
      <c r="AC135" s="6">
        <v>5.4199648000000003E-2</v>
      </c>
      <c r="AD135" s="6">
        <v>1.0258417000000001E-2</v>
      </c>
      <c r="AE135" s="6">
        <v>9.1776531999999994E-2</v>
      </c>
      <c r="AF135" s="6">
        <v>1.6867788000000002E-2</v>
      </c>
      <c r="AG135" s="6">
        <v>7.5243113380000004</v>
      </c>
      <c r="AH135" s="6">
        <v>0.44754668600000003</v>
      </c>
      <c r="AI135" s="6">
        <v>-11.011682451</v>
      </c>
      <c r="AJ135" s="6">
        <v>0.73091913600000002</v>
      </c>
      <c r="AK135" s="6">
        <v>13.34129115</v>
      </c>
      <c r="AL135" s="6">
        <v>0.78533676600000002</v>
      </c>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row>
    <row r="136" spans="1:84" ht="16" x14ac:dyDescent="0.2">
      <c r="A136" s="4">
        <v>45828</v>
      </c>
      <c r="B136" s="19">
        <v>25171</v>
      </c>
      <c r="C136" s="5" t="s">
        <v>42</v>
      </c>
      <c r="D136" s="5">
        <v>14</v>
      </c>
      <c r="E136" s="53" t="s">
        <v>1185</v>
      </c>
      <c r="F136" s="37">
        <v>14.9</v>
      </c>
      <c r="G136" s="5" t="s">
        <v>2</v>
      </c>
      <c r="H136" s="5" t="s">
        <v>3</v>
      </c>
      <c r="I136" s="5">
        <v>1.2</v>
      </c>
      <c r="J136" s="5">
        <v>42.9</v>
      </c>
      <c r="K136" s="5">
        <v>10.1</v>
      </c>
      <c r="L136" s="5">
        <v>5.65</v>
      </c>
      <c r="M136" s="5" t="s">
        <v>4</v>
      </c>
      <c r="N136" s="15">
        <v>41.3127527778</v>
      </c>
      <c r="O136" t="s">
        <v>889</v>
      </c>
      <c r="P136" s="6">
        <v>8.483156E-2</v>
      </c>
      <c r="Q136" s="6">
        <v>1.3313761E-2</v>
      </c>
      <c r="R136" s="6">
        <v>1229</v>
      </c>
      <c r="S136" s="6">
        <v>1.5704060000000001E-3</v>
      </c>
      <c r="T136" s="6">
        <v>3.9999999979999998</v>
      </c>
      <c r="U136" s="6">
        <v>0.118324815</v>
      </c>
      <c r="V136" s="6">
        <v>1.3271992999999999E-2</v>
      </c>
      <c r="W136" s="6">
        <v>7.3733299999999996E-4</v>
      </c>
      <c r="X136" s="6">
        <v>5.0121400000000004E-4</v>
      </c>
      <c r="Y136" s="6">
        <v>0.121311219</v>
      </c>
      <c r="Z136" s="6">
        <v>1.9720774E-2</v>
      </c>
      <c r="AA136" s="6">
        <v>7.6642231000000005E-2</v>
      </c>
      <c r="AB136" s="6">
        <v>1.1873282000000001E-2</v>
      </c>
      <c r="AC136" s="6">
        <v>5.7919790999999998E-2</v>
      </c>
      <c r="AD136" s="6">
        <v>9.2159080000000001E-3</v>
      </c>
      <c r="AE136" s="6">
        <v>8.483156E-2</v>
      </c>
      <c r="AF136" s="6">
        <v>1.3313761E-2</v>
      </c>
      <c r="AG136" s="6">
        <v>6.4671549529999997</v>
      </c>
      <c r="AH136" s="6">
        <v>0.55980836899999997</v>
      </c>
      <c r="AI136" s="6">
        <v>-8.3223630110000002</v>
      </c>
      <c r="AJ136" s="6">
        <v>0.69502329500000004</v>
      </c>
      <c r="AK136" s="6">
        <v>10.542510238</v>
      </c>
      <c r="AL136" s="6">
        <v>0.85889010300000002</v>
      </c>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row>
    <row r="137" spans="1:84" ht="16" x14ac:dyDescent="0.2">
      <c r="A137" s="4">
        <v>45828</v>
      </c>
      <c r="B137" s="19">
        <v>25171</v>
      </c>
      <c r="C137" s="5" t="s">
        <v>42</v>
      </c>
      <c r="D137" s="25">
        <v>15</v>
      </c>
      <c r="E137" s="53" t="s">
        <v>1186</v>
      </c>
      <c r="F137" s="37">
        <v>-7.1</v>
      </c>
      <c r="G137" s="5" t="s">
        <v>2</v>
      </c>
      <c r="H137" s="5" t="s">
        <v>3</v>
      </c>
      <c r="I137" s="5">
        <v>0.7</v>
      </c>
      <c r="J137" s="5">
        <v>36.4</v>
      </c>
      <c r="K137" s="5">
        <v>9</v>
      </c>
      <c r="L137" s="5">
        <v>5</v>
      </c>
      <c r="M137" s="5" t="s">
        <v>4</v>
      </c>
      <c r="N137" s="15">
        <v>41.3127527778</v>
      </c>
      <c r="O137" t="s">
        <v>555</v>
      </c>
      <c r="P137" s="6">
        <v>6.2544243999999999E-2</v>
      </c>
      <c r="Q137" s="6">
        <v>2.3766632999999999E-2</v>
      </c>
      <c r="R137" s="6">
        <v>594</v>
      </c>
      <c r="S137" s="6">
        <v>2.2195230000000002E-3</v>
      </c>
      <c r="T137" s="6">
        <v>3.9999999979999998</v>
      </c>
      <c r="U137" s="6">
        <v>9.7236067999999995E-2</v>
      </c>
      <c r="V137" s="6">
        <v>2.2826124999999999E-2</v>
      </c>
      <c r="W137" s="6">
        <v>1.2681179999999999E-3</v>
      </c>
      <c r="X137" s="6">
        <v>8.2174500000000003E-4</v>
      </c>
      <c r="Y137" s="6">
        <v>8.7425323999999999E-2</v>
      </c>
      <c r="Z137" s="6">
        <v>3.4702297E-2</v>
      </c>
      <c r="AA137" s="6">
        <v>5.7047059999999997E-2</v>
      </c>
      <c r="AB137" s="6">
        <v>2.1227974E-2</v>
      </c>
      <c r="AC137" s="6">
        <v>4.4598357999999998E-2</v>
      </c>
      <c r="AD137" s="6">
        <v>1.5887018999999999E-2</v>
      </c>
      <c r="AE137" s="6">
        <v>6.2544243999999999E-2</v>
      </c>
      <c r="AF137" s="6">
        <v>2.3766632999999999E-2</v>
      </c>
      <c r="AG137" s="6">
        <v>5.7770543239999999</v>
      </c>
      <c r="AH137" s="6">
        <v>0.75068464499999998</v>
      </c>
      <c r="AI137" s="6">
        <v>-7.1383851150000002</v>
      </c>
      <c r="AJ137" s="6">
        <v>1.110391388</v>
      </c>
      <c r="AK137" s="6">
        <v>9.1896755690000003</v>
      </c>
      <c r="AL137" s="6">
        <v>1.2950123469999999</v>
      </c>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row>
    <row r="138" spans="1:84" ht="16" x14ac:dyDescent="0.2">
      <c r="A138" s="4">
        <v>45828</v>
      </c>
      <c r="B138" s="19">
        <v>25171</v>
      </c>
      <c r="C138" s="5" t="s">
        <v>42</v>
      </c>
      <c r="D138" s="5">
        <v>16</v>
      </c>
      <c r="E138" s="53" t="s">
        <v>1187</v>
      </c>
      <c r="F138" s="37">
        <v>6.6</v>
      </c>
      <c r="G138" s="5" t="s">
        <v>2</v>
      </c>
      <c r="H138" s="5" t="s">
        <v>5</v>
      </c>
      <c r="I138" s="5">
        <v>0.95</v>
      </c>
      <c r="J138" s="5">
        <v>38.1</v>
      </c>
      <c r="K138" s="5">
        <v>9.9</v>
      </c>
      <c r="L138" s="5">
        <v>5.5</v>
      </c>
      <c r="M138" s="5" t="s">
        <v>4</v>
      </c>
      <c r="N138" s="15">
        <v>41.3127527778</v>
      </c>
      <c r="O138" t="s">
        <v>890</v>
      </c>
      <c r="P138" s="6">
        <v>6.3622381000000006E-2</v>
      </c>
      <c r="Q138" s="6">
        <v>1.2662520999999999E-2</v>
      </c>
      <c r="R138" s="6">
        <v>949</v>
      </c>
      <c r="S138" s="6">
        <v>1.30024E-3</v>
      </c>
      <c r="T138" s="6">
        <v>5.6568542449999999</v>
      </c>
      <c r="U138" s="6">
        <v>0.11147567</v>
      </c>
      <c r="V138" s="6">
        <v>1.1663895000000001E-2</v>
      </c>
      <c r="W138" s="6">
        <v>6.4799400000000004E-4</v>
      </c>
      <c r="X138" s="6">
        <v>4.6948299999999998E-4</v>
      </c>
      <c r="Y138" s="6">
        <v>8.7158492000000004E-2</v>
      </c>
      <c r="Z138" s="6">
        <v>1.7204224000000001E-2</v>
      </c>
      <c r="AA138" s="6">
        <v>5.9535984E-2</v>
      </c>
      <c r="AB138" s="6">
        <v>1.1856757000000001E-2</v>
      </c>
      <c r="AC138" s="6">
        <v>4.4748969999999999E-2</v>
      </c>
      <c r="AD138" s="6">
        <v>9.2565719999999994E-3</v>
      </c>
      <c r="AE138" s="6">
        <v>6.3622381000000006E-2</v>
      </c>
      <c r="AF138" s="6">
        <v>1.2662520999999999E-2</v>
      </c>
      <c r="AG138" s="6">
        <v>5.3950591479999996</v>
      </c>
      <c r="AH138" s="6">
        <v>0.27568663500000001</v>
      </c>
      <c r="AI138" s="6">
        <v>-7.8248720829999998</v>
      </c>
      <c r="AJ138" s="6">
        <v>0.385970906</v>
      </c>
      <c r="AK138" s="6">
        <v>9.5103369630000003</v>
      </c>
      <c r="AL138" s="6">
        <v>0.337100279</v>
      </c>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row>
    <row r="139" spans="1:84" ht="16" x14ac:dyDescent="0.2">
      <c r="A139" s="4">
        <v>45828</v>
      </c>
      <c r="B139" s="19">
        <v>25171</v>
      </c>
      <c r="C139" s="5" t="s">
        <v>42</v>
      </c>
      <c r="D139" s="25">
        <v>17</v>
      </c>
      <c r="E139" s="53" t="s">
        <v>1188</v>
      </c>
      <c r="F139" s="37">
        <v>28.5</v>
      </c>
      <c r="G139" s="5" t="s">
        <v>2</v>
      </c>
      <c r="H139" s="5" t="s">
        <v>3</v>
      </c>
      <c r="I139" s="5">
        <v>0.8</v>
      </c>
      <c r="J139" s="5">
        <v>39.700000000000003</v>
      </c>
      <c r="K139" s="5">
        <v>10</v>
      </c>
      <c r="L139" s="5">
        <v>5.55</v>
      </c>
      <c r="M139" s="5" t="s">
        <v>4</v>
      </c>
      <c r="N139" s="15">
        <v>41.3127527778</v>
      </c>
      <c r="O139" t="s">
        <v>557</v>
      </c>
      <c r="P139" s="6">
        <v>6.8331164E-2</v>
      </c>
      <c r="Q139" s="6">
        <v>1.3689635E-2</v>
      </c>
      <c r="R139" s="6">
        <v>859</v>
      </c>
      <c r="S139" s="6">
        <v>1.3566520000000001E-3</v>
      </c>
      <c r="T139" s="6">
        <v>3.9999999979999998</v>
      </c>
      <c r="U139" s="6">
        <v>9.6521570000000001E-2</v>
      </c>
      <c r="V139" s="6">
        <v>1.4055425E-2</v>
      </c>
      <c r="W139" s="6">
        <v>7.8085700000000004E-4</v>
      </c>
      <c r="X139" s="6">
        <v>4.8223299999999999E-4</v>
      </c>
      <c r="Y139" s="6">
        <v>9.4141057E-2</v>
      </c>
      <c r="Z139" s="6">
        <v>2.1181700000000001E-2</v>
      </c>
      <c r="AA139" s="6">
        <v>6.3270118E-2</v>
      </c>
      <c r="AB139" s="6">
        <v>1.2124173E-2</v>
      </c>
      <c r="AC139" s="6">
        <v>4.8657011999999999E-2</v>
      </c>
      <c r="AD139" s="6">
        <v>8.0039499999999993E-3</v>
      </c>
      <c r="AE139" s="6">
        <v>6.8331164E-2</v>
      </c>
      <c r="AF139" s="6">
        <v>1.3689635E-2</v>
      </c>
      <c r="AG139" s="6">
        <v>5.4843651199999996</v>
      </c>
      <c r="AH139" s="6">
        <v>0.76421440500000004</v>
      </c>
      <c r="AI139" s="6">
        <v>-7.3469621619999996</v>
      </c>
      <c r="AJ139" s="6">
        <v>1.258247294</v>
      </c>
      <c r="AK139" s="6">
        <v>9.1718501880000005</v>
      </c>
      <c r="AL139" s="6">
        <v>1.4492791540000001</v>
      </c>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row>
    <row r="140" spans="1:84" ht="16" x14ac:dyDescent="0.2">
      <c r="A140" s="4">
        <v>45828</v>
      </c>
      <c r="B140" s="19">
        <v>25171</v>
      </c>
      <c r="C140" s="5" t="s">
        <v>42</v>
      </c>
      <c r="D140" s="5">
        <v>18</v>
      </c>
      <c r="E140" s="53" t="s">
        <v>1189</v>
      </c>
      <c r="F140" s="37">
        <v>24.6</v>
      </c>
      <c r="G140" s="5" t="s">
        <v>2</v>
      </c>
      <c r="H140" s="5" t="s">
        <v>3</v>
      </c>
      <c r="I140" s="5">
        <v>0.7</v>
      </c>
      <c r="J140" s="5">
        <v>33.799999999999997</v>
      </c>
      <c r="K140" s="5">
        <v>8.5</v>
      </c>
      <c r="L140" s="5">
        <v>4.9000000000000004</v>
      </c>
      <c r="M140" s="5" t="s">
        <v>4</v>
      </c>
      <c r="N140" s="15">
        <v>41.3127527778</v>
      </c>
      <c r="O140" t="s">
        <v>891</v>
      </c>
      <c r="P140" s="6">
        <v>7.2392455999999994E-2</v>
      </c>
      <c r="Q140" s="6">
        <v>1.3477724E-2</v>
      </c>
      <c r="R140" s="6">
        <v>750</v>
      </c>
      <c r="S140" s="6">
        <v>1.4454450000000001E-3</v>
      </c>
      <c r="T140" s="6">
        <v>3.9999999979999998</v>
      </c>
      <c r="U140" s="6">
        <v>0.114774021</v>
      </c>
      <c r="V140" s="6">
        <v>1.2593831E-2</v>
      </c>
      <c r="W140" s="6">
        <v>6.9965700000000001E-4</v>
      </c>
      <c r="X140" s="6">
        <v>4.9985000000000003E-4</v>
      </c>
      <c r="Y140" s="6">
        <v>0.10887912499999999</v>
      </c>
      <c r="Z140" s="6">
        <v>2.0309361000000001E-2</v>
      </c>
      <c r="AA140" s="6">
        <v>6.3170103000000005E-2</v>
      </c>
      <c r="AB140" s="6">
        <v>1.1721575E-2</v>
      </c>
      <c r="AC140" s="6">
        <v>4.8639832000000001E-2</v>
      </c>
      <c r="AD140" s="6">
        <v>9.2010059999999994E-3</v>
      </c>
      <c r="AE140" s="6">
        <v>7.2392455999999994E-2</v>
      </c>
      <c r="AF140" s="6">
        <v>1.3477724E-2</v>
      </c>
      <c r="AG140" s="6">
        <v>7.7017502560000004</v>
      </c>
      <c r="AH140" s="6">
        <v>0.22496127599999999</v>
      </c>
      <c r="AI140" s="6">
        <v>-8.7226795359999993</v>
      </c>
      <c r="AJ140" s="6">
        <v>0.24866131499999999</v>
      </c>
      <c r="AK140" s="6">
        <v>11.63929313</v>
      </c>
      <c r="AL140" s="6">
        <v>0.20321493900000001</v>
      </c>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row>
    <row r="141" spans="1:84" ht="16" x14ac:dyDescent="0.2">
      <c r="A141" s="4">
        <v>45828</v>
      </c>
      <c r="B141" s="19">
        <v>25171</v>
      </c>
      <c r="C141" s="5" t="s">
        <v>42</v>
      </c>
      <c r="D141" s="5">
        <v>19</v>
      </c>
      <c r="E141" s="53" t="s">
        <v>1190</v>
      </c>
      <c r="F141" s="6">
        <v>20.5</v>
      </c>
      <c r="G141" s="5" t="s">
        <v>2</v>
      </c>
      <c r="H141" s="5" t="s">
        <v>3</v>
      </c>
      <c r="I141" s="5">
        <v>0.7</v>
      </c>
      <c r="J141" s="5">
        <v>34.799999999999997</v>
      </c>
      <c r="K141" s="5">
        <v>9</v>
      </c>
      <c r="L141" s="5">
        <v>4.7</v>
      </c>
      <c r="M141" s="5" t="s">
        <v>4</v>
      </c>
      <c r="N141" s="15">
        <v>41.3127527778</v>
      </c>
      <c r="O141" s="6" t="s">
        <v>892</v>
      </c>
      <c r="P141" s="6">
        <v>0.102860163</v>
      </c>
      <c r="Q141" s="6">
        <v>2.2962784999999999E-2</v>
      </c>
      <c r="R141" s="6">
        <v>816</v>
      </c>
      <c r="S141" s="6">
        <v>2.5325759999999999E-3</v>
      </c>
      <c r="T141" s="6">
        <v>5.6568542449999999</v>
      </c>
      <c r="U141" s="6">
        <v>0.11211175900000001</v>
      </c>
      <c r="V141" s="6">
        <v>2.2589747E-2</v>
      </c>
      <c r="W141" s="6">
        <v>1.254986E-3</v>
      </c>
      <c r="X141" s="6">
        <v>8.8803700000000005E-4</v>
      </c>
      <c r="Y141" s="6">
        <v>0.15393363299999999</v>
      </c>
      <c r="Z141" s="6">
        <v>3.4765445999999998E-2</v>
      </c>
      <c r="AA141" s="6">
        <v>9.0634327000000001E-2</v>
      </c>
      <c r="AB141" s="6">
        <v>2.0105418999999999E-2</v>
      </c>
      <c r="AC141" s="6">
        <v>6.3988171999999996E-2</v>
      </c>
      <c r="AD141" s="6">
        <v>1.4325338E-2</v>
      </c>
      <c r="AE141" s="6">
        <v>0.102860163</v>
      </c>
      <c r="AF141" s="6">
        <v>2.2962784999999999E-2</v>
      </c>
      <c r="AG141" s="6">
        <v>7.4553112170000002</v>
      </c>
      <c r="AH141" s="6">
        <v>0.36544201700000001</v>
      </c>
      <c r="AI141" s="6">
        <v>-10.001128998</v>
      </c>
      <c r="AJ141" s="6">
        <v>0.54130160900000002</v>
      </c>
      <c r="AK141" s="6">
        <v>12.476168077000001</v>
      </c>
      <c r="AL141" s="6">
        <v>0.61316415700000004</v>
      </c>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row>
    <row r="142" spans="1:84" ht="16" x14ac:dyDescent="0.2">
      <c r="A142" s="4">
        <v>45828</v>
      </c>
      <c r="B142" s="19">
        <v>25171</v>
      </c>
      <c r="C142" s="5" t="s">
        <v>42</v>
      </c>
      <c r="D142" s="5">
        <v>20</v>
      </c>
      <c r="E142" s="53" t="s">
        <v>1191</v>
      </c>
      <c r="F142" s="37">
        <v>20.3</v>
      </c>
      <c r="G142" s="5" t="s">
        <v>2</v>
      </c>
      <c r="H142" s="5" t="s">
        <v>5</v>
      </c>
      <c r="I142" s="5">
        <v>0.8</v>
      </c>
      <c r="J142" s="5">
        <v>38.5</v>
      </c>
      <c r="K142" s="5">
        <v>9.5</v>
      </c>
      <c r="L142" s="5">
        <v>4.9000000000000004</v>
      </c>
      <c r="M142" s="5" t="s">
        <v>4</v>
      </c>
      <c r="N142" s="15">
        <v>41.3127527778</v>
      </c>
      <c r="O142" t="s">
        <v>893</v>
      </c>
      <c r="P142" s="6">
        <v>7.9320686000000001E-2</v>
      </c>
      <c r="Q142" s="6">
        <v>1.7208039000000001E-2</v>
      </c>
      <c r="R142" s="6">
        <v>952</v>
      </c>
      <c r="S142" s="6">
        <v>1.8988130000000001E-3</v>
      </c>
      <c r="T142" s="6">
        <v>63.999999830999997</v>
      </c>
      <c r="U142" s="6">
        <v>0.10322637899999999</v>
      </c>
      <c r="V142" s="6">
        <v>1.8394645000000001E-2</v>
      </c>
      <c r="W142" s="6">
        <v>1.0219249999999999E-3</v>
      </c>
      <c r="X142" s="6">
        <v>6.5060400000000005E-4</v>
      </c>
      <c r="Y142" s="6">
        <v>0.111603829</v>
      </c>
      <c r="Z142" s="6">
        <v>2.5058681999999999E-2</v>
      </c>
      <c r="AA142" s="6">
        <v>7.2597232999999997E-2</v>
      </c>
      <c r="AB142" s="6">
        <v>1.5571649E-2</v>
      </c>
      <c r="AC142" s="6">
        <v>5.4109620999999997E-2</v>
      </c>
      <c r="AD142" s="6">
        <v>1.194885E-2</v>
      </c>
      <c r="AE142" s="6">
        <v>7.9320686000000001E-2</v>
      </c>
      <c r="AF142" s="6">
        <v>1.7208039000000001E-2</v>
      </c>
      <c r="AG142" s="6">
        <v>6.0283574739999999</v>
      </c>
      <c r="AH142" s="6">
        <v>0.82771887200000005</v>
      </c>
      <c r="AI142" s="6">
        <v>-8.324774004</v>
      </c>
      <c r="AJ142" s="6">
        <v>1.085390386</v>
      </c>
      <c r="AK142" s="6">
        <v>10.285466088</v>
      </c>
      <c r="AL142" s="6">
        <v>1.309648258</v>
      </c>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row>
    <row r="143" spans="1:84" ht="16" x14ac:dyDescent="0.2">
      <c r="A143" s="4">
        <v>45828</v>
      </c>
      <c r="B143" s="19">
        <v>25171</v>
      </c>
      <c r="C143" s="5" t="s">
        <v>42</v>
      </c>
      <c r="D143" s="5">
        <v>21</v>
      </c>
      <c r="E143" s="53" t="s">
        <v>1192</v>
      </c>
      <c r="F143" s="6">
        <v>8.1</v>
      </c>
      <c r="G143" s="5" t="s">
        <v>2</v>
      </c>
      <c r="H143" s="5" t="s">
        <v>3</v>
      </c>
      <c r="I143" s="5">
        <v>1.1000000000000001</v>
      </c>
      <c r="J143" s="5">
        <v>43.05</v>
      </c>
      <c r="K143" s="5">
        <v>10</v>
      </c>
      <c r="L143" s="5">
        <v>5.45</v>
      </c>
      <c r="M143" s="5" t="s">
        <v>4</v>
      </c>
      <c r="N143" s="15">
        <v>41.3127527778</v>
      </c>
      <c r="O143" t="s">
        <v>894</v>
      </c>
      <c r="P143" s="6">
        <v>6.9813984999999995E-2</v>
      </c>
      <c r="Q143" s="6">
        <v>5.2580379999999996E-3</v>
      </c>
      <c r="R143" s="6">
        <v>1328</v>
      </c>
      <c r="S143" s="6">
        <v>6.2431900000000002E-4</v>
      </c>
      <c r="T143" s="6">
        <v>5.6568542449999999</v>
      </c>
      <c r="U143" s="6">
        <v>0.124802074</v>
      </c>
      <c r="V143" s="6">
        <v>5.0024730000000003E-3</v>
      </c>
      <c r="W143" s="6">
        <v>2.77915E-4</v>
      </c>
      <c r="X143" s="6">
        <v>2.5700899999999999E-4</v>
      </c>
      <c r="Y143" s="6">
        <v>9.5553785000000002E-2</v>
      </c>
      <c r="Z143" s="6">
        <v>8.4395129999999992E-3</v>
      </c>
      <c r="AA143" s="6">
        <v>6.4724814000000006E-2</v>
      </c>
      <c r="AB143" s="6">
        <v>5.0518689999999996E-3</v>
      </c>
      <c r="AC143" s="6">
        <v>5.1446209999999999E-2</v>
      </c>
      <c r="AD143" s="6">
        <v>5.1701250000000002E-3</v>
      </c>
      <c r="AE143" s="6">
        <v>6.9813984999999995E-2</v>
      </c>
      <c r="AF143" s="6">
        <v>5.2580379999999996E-3</v>
      </c>
      <c r="AG143" s="6">
        <v>5.4954490939999996</v>
      </c>
      <c r="AH143" s="6">
        <v>0.93500418100000005</v>
      </c>
      <c r="AI143" s="6">
        <v>-6.9560993900000003</v>
      </c>
      <c r="AJ143" s="6">
        <v>1.4029069540000001</v>
      </c>
      <c r="AK143" s="6">
        <v>8.8687097460000004</v>
      </c>
      <c r="AL143" s="6">
        <v>1.666012499</v>
      </c>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row>
    <row r="144" spans="1:84" ht="16" x14ac:dyDescent="0.2">
      <c r="A144" s="4">
        <v>45828</v>
      </c>
      <c r="B144" s="19">
        <v>25171</v>
      </c>
      <c r="C144" s="5" t="s">
        <v>42</v>
      </c>
      <c r="D144" s="25">
        <v>22</v>
      </c>
      <c r="E144" s="53" t="s">
        <v>1193</v>
      </c>
      <c r="F144" s="37">
        <v>0.7</v>
      </c>
      <c r="G144" s="5" t="s">
        <v>2</v>
      </c>
      <c r="H144" s="5" t="s">
        <v>3</v>
      </c>
      <c r="I144" s="5">
        <v>1.3</v>
      </c>
      <c r="J144" s="5">
        <v>43.9</v>
      </c>
      <c r="K144" s="5">
        <v>10.050000000000001</v>
      </c>
      <c r="L144" s="5">
        <v>5.9</v>
      </c>
      <c r="M144" s="5" t="s">
        <v>4</v>
      </c>
      <c r="N144" s="15">
        <v>41.3127527778</v>
      </c>
      <c r="O144" t="s">
        <v>560</v>
      </c>
      <c r="P144" s="6">
        <v>8.4840872999999997E-2</v>
      </c>
      <c r="Q144" s="6">
        <v>9.1462780000000007E-3</v>
      </c>
      <c r="R144" s="6">
        <v>1253</v>
      </c>
      <c r="S144" s="6">
        <v>9.6270000000000004E-4</v>
      </c>
      <c r="T144" s="6">
        <v>11.313708483999999</v>
      </c>
      <c r="U144" s="6">
        <v>0.100045067</v>
      </c>
      <c r="V144" s="6">
        <v>9.6226620000000006E-3</v>
      </c>
      <c r="W144" s="6">
        <v>5.3459199999999997E-4</v>
      </c>
      <c r="X144" s="6">
        <v>3.5939499999999998E-4</v>
      </c>
      <c r="Y144" s="6">
        <v>0.119579638</v>
      </c>
      <c r="Z144" s="6">
        <v>1.4651544000000001E-2</v>
      </c>
      <c r="AA144" s="6">
        <v>7.8278955999999997E-2</v>
      </c>
      <c r="AB144" s="6">
        <v>8.0578650000000009E-3</v>
      </c>
      <c r="AC144" s="6">
        <v>5.5556604000000002E-2</v>
      </c>
      <c r="AD144" s="6">
        <v>6.2647470000000002E-3</v>
      </c>
      <c r="AE144" s="6">
        <v>8.4840872999999997E-2</v>
      </c>
      <c r="AF144" s="6">
        <v>9.1462780000000007E-3</v>
      </c>
      <c r="AG144" s="6">
        <v>5.9578884700000003</v>
      </c>
      <c r="AH144" s="6">
        <v>0.61443595299999998</v>
      </c>
      <c r="AI144" s="6">
        <v>-9.0529603919999992</v>
      </c>
      <c r="AJ144" s="6">
        <v>1.3014075650000001</v>
      </c>
      <c r="AK144" s="6">
        <v>10.844787534</v>
      </c>
      <c r="AL144" s="6">
        <v>1.3835382629999999</v>
      </c>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row>
    <row r="145" spans="1:84" ht="16" x14ac:dyDescent="0.2">
      <c r="A145" s="4">
        <v>45831</v>
      </c>
      <c r="B145" s="19">
        <v>25174</v>
      </c>
      <c r="C145" s="5" t="s">
        <v>20</v>
      </c>
      <c r="D145" s="5">
        <v>9</v>
      </c>
      <c r="E145" s="53" t="s">
        <v>1194</v>
      </c>
      <c r="F145" s="6">
        <v>14.9</v>
      </c>
      <c r="G145" s="5" t="s">
        <v>2</v>
      </c>
      <c r="H145" s="5" t="s">
        <v>3</v>
      </c>
      <c r="I145" s="5">
        <v>0.8</v>
      </c>
      <c r="J145" s="5">
        <v>34</v>
      </c>
      <c r="K145" s="5">
        <v>8.25</v>
      </c>
      <c r="L145" s="5">
        <v>4.75</v>
      </c>
      <c r="M145" s="5" t="s">
        <v>4</v>
      </c>
      <c r="N145" s="15">
        <v>41.578677777800003</v>
      </c>
      <c r="O145" t="s">
        <v>895</v>
      </c>
      <c r="P145" s="6">
        <v>9.7947960000000001E-2</v>
      </c>
      <c r="Q145" s="6">
        <v>1.0293180000000001E-2</v>
      </c>
      <c r="R145" s="6">
        <v>939</v>
      </c>
      <c r="S145" s="6">
        <v>1.2309720000000001E-3</v>
      </c>
      <c r="T145" s="6">
        <v>5.6568542449999999</v>
      </c>
      <c r="U145" s="6">
        <v>0.12795926499999999</v>
      </c>
      <c r="V145" s="6">
        <v>9.6200309999999994E-3</v>
      </c>
      <c r="W145" s="6">
        <v>5.3444600000000005E-4</v>
      </c>
      <c r="X145" s="6">
        <v>4.6037500000000001E-4</v>
      </c>
      <c r="Y145" s="6">
        <v>0.13917163299999999</v>
      </c>
      <c r="Z145" s="6">
        <v>1.4593208E-2</v>
      </c>
      <c r="AA145" s="6">
        <v>9.0064597999999996E-2</v>
      </c>
      <c r="AB145" s="6">
        <v>9.7184520000000007E-3</v>
      </c>
      <c r="AC145" s="6">
        <v>6.1683713000000001E-2</v>
      </c>
      <c r="AD145" s="6">
        <v>6.4688829999999999E-3</v>
      </c>
      <c r="AE145" s="6">
        <v>9.7947960000000001E-2</v>
      </c>
      <c r="AF145" s="6">
        <v>1.0293180000000001E-2</v>
      </c>
      <c r="AG145" s="6">
        <v>6.1618597099999999</v>
      </c>
      <c r="AH145" s="6">
        <v>0.20261627700000001</v>
      </c>
      <c r="AI145" s="6">
        <v>-9.730914297</v>
      </c>
      <c r="AJ145" s="6">
        <v>0.87802808399999999</v>
      </c>
      <c r="AK145" s="6">
        <v>11.526218584</v>
      </c>
      <c r="AL145" s="6">
        <v>0.785666851</v>
      </c>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row>
    <row r="146" spans="1:84" ht="16" x14ac:dyDescent="0.2">
      <c r="A146" s="4">
        <v>45831</v>
      </c>
      <c r="B146" s="19">
        <v>25174</v>
      </c>
      <c r="C146" s="5" t="s">
        <v>20</v>
      </c>
      <c r="D146" s="5">
        <v>10</v>
      </c>
      <c r="E146" s="53" t="s">
        <v>1195</v>
      </c>
      <c r="F146" s="37">
        <v>-1.6</v>
      </c>
      <c r="G146" s="5" t="s">
        <v>2</v>
      </c>
      <c r="H146" s="5" t="s">
        <v>3</v>
      </c>
      <c r="I146" s="5">
        <v>0.65</v>
      </c>
      <c r="J146" s="5">
        <v>32.75</v>
      </c>
      <c r="K146" s="5">
        <v>8.35</v>
      </c>
      <c r="L146" s="5">
        <v>4.8499999999999996</v>
      </c>
      <c r="M146" s="5" t="s">
        <v>4</v>
      </c>
      <c r="N146" s="15">
        <v>41.578677777800003</v>
      </c>
      <c r="O146" t="s">
        <v>896</v>
      </c>
      <c r="P146" s="6">
        <v>8.5560171000000004E-2</v>
      </c>
      <c r="Q146" s="6">
        <v>1.2883398000000001E-2</v>
      </c>
      <c r="R146" s="6">
        <v>769</v>
      </c>
      <c r="S146" s="6">
        <v>1.5022290000000001E-3</v>
      </c>
      <c r="T146" s="6">
        <v>3.9999999979999998</v>
      </c>
      <c r="U146" s="6">
        <v>0.115957823</v>
      </c>
      <c r="V146" s="6">
        <v>1.2954963E-2</v>
      </c>
      <c r="W146" s="6">
        <v>7.1971999999999997E-4</v>
      </c>
      <c r="X146" s="6">
        <v>5.3860599999999996E-4</v>
      </c>
      <c r="Y146" s="6">
        <v>0.126352309</v>
      </c>
      <c r="Z146" s="6">
        <v>1.8858116000000001E-2</v>
      </c>
      <c r="AA146" s="6">
        <v>7.5585665999999996E-2</v>
      </c>
      <c r="AB146" s="6">
        <v>1.1460949999999999E-2</v>
      </c>
      <c r="AC146" s="6">
        <v>5.6651361999999997E-2</v>
      </c>
      <c r="AD146" s="6">
        <v>8.8252629999999999E-3</v>
      </c>
      <c r="AE146" s="6">
        <v>8.5560171000000004E-2</v>
      </c>
      <c r="AF146" s="6">
        <v>1.2883398000000001E-2</v>
      </c>
      <c r="AG146" s="6">
        <v>7.2747116189999996</v>
      </c>
      <c r="AH146" s="6">
        <v>0.38794811699999998</v>
      </c>
      <c r="AI146" s="6">
        <v>-8.9237966659999994</v>
      </c>
      <c r="AJ146" s="6">
        <v>0.287665273</v>
      </c>
      <c r="AK146" s="6">
        <v>11.516681426</v>
      </c>
      <c r="AL146" s="6">
        <v>0.39341983800000002</v>
      </c>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row>
    <row r="147" spans="1:84" ht="16" x14ac:dyDescent="0.2">
      <c r="A147" s="4">
        <v>45831</v>
      </c>
      <c r="B147" s="19">
        <v>25174</v>
      </c>
      <c r="C147" s="5" t="s">
        <v>20</v>
      </c>
      <c r="D147" s="25">
        <v>11</v>
      </c>
      <c r="E147" s="53" t="s">
        <v>1196</v>
      </c>
      <c r="F147" s="6">
        <v>-7.5</v>
      </c>
      <c r="G147" s="5" t="s">
        <v>2</v>
      </c>
      <c r="H147" s="5" t="s">
        <v>6</v>
      </c>
      <c r="I147" s="5">
        <v>0.25</v>
      </c>
      <c r="J147" s="5">
        <v>25.85</v>
      </c>
      <c r="K147" s="5" t="s">
        <v>8</v>
      </c>
      <c r="L147" s="5" t="s">
        <v>8</v>
      </c>
      <c r="M147" s="5" t="s">
        <v>9</v>
      </c>
      <c r="N147" s="15">
        <v>41.578677777800003</v>
      </c>
      <c r="O147" t="s">
        <v>562</v>
      </c>
      <c r="P147" s="6">
        <v>3.2807217999999999E-2</v>
      </c>
      <c r="Q147" s="6">
        <v>1.4629333E-2</v>
      </c>
      <c r="R147" s="6">
        <v>280</v>
      </c>
      <c r="S147" s="6">
        <v>1.484502E-3</v>
      </c>
      <c r="T147" s="6">
        <v>7.9999999920000002</v>
      </c>
      <c r="U147" s="6">
        <v>0.107072293</v>
      </c>
      <c r="V147" s="6">
        <v>1.3864481999999999E-2</v>
      </c>
      <c r="W147" s="6">
        <v>7.7024899999999998E-4</v>
      </c>
      <c r="X147" s="6">
        <v>5.9956699999999996E-4</v>
      </c>
      <c r="Y147" s="6">
        <v>4.6922274E-2</v>
      </c>
      <c r="Z147" s="6">
        <v>2.141521E-2</v>
      </c>
      <c r="AA147" s="6">
        <v>2.9839933999999999E-2</v>
      </c>
      <c r="AB147" s="6">
        <v>1.3099303E-2</v>
      </c>
      <c r="AC147" s="6">
        <v>2.1618690999999999E-2</v>
      </c>
      <c r="AD147" s="6">
        <v>9.4866180000000005E-3</v>
      </c>
      <c r="AE147" s="6">
        <v>3.2807217999999999E-2</v>
      </c>
      <c r="AF147" s="6">
        <v>1.4629333E-2</v>
      </c>
      <c r="AG147" s="6">
        <v>6.2691738150000003</v>
      </c>
      <c r="AH147" s="6">
        <v>0.35755404299999999</v>
      </c>
      <c r="AI147" s="6">
        <v>-8.8617793420000002</v>
      </c>
      <c r="AJ147" s="6">
        <v>0.44152510099999998</v>
      </c>
      <c r="AK147" s="6">
        <v>10.857321047999999</v>
      </c>
      <c r="AL147" s="6">
        <v>0.52428222400000002</v>
      </c>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row>
    <row r="148" spans="1:84" ht="16" x14ac:dyDescent="0.2">
      <c r="A148" s="4">
        <v>45831</v>
      </c>
      <c r="B148" s="19">
        <v>25174</v>
      </c>
      <c r="C148" s="5" t="s">
        <v>20</v>
      </c>
      <c r="D148" s="5">
        <v>12</v>
      </c>
      <c r="E148" s="53" t="s">
        <v>1197</v>
      </c>
      <c r="F148" s="37">
        <v>5.3</v>
      </c>
      <c r="G148" s="5" t="s">
        <v>2</v>
      </c>
      <c r="H148" s="5" t="s">
        <v>5</v>
      </c>
      <c r="I148" s="5">
        <v>0.75</v>
      </c>
      <c r="J148" s="5">
        <v>32.950000000000003</v>
      </c>
      <c r="K148" s="5">
        <v>8.35</v>
      </c>
      <c r="L148" s="5">
        <v>5</v>
      </c>
      <c r="M148" s="5" t="s">
        <v>4</v>
      </c>
      <c r="N148" s="15">
        <v>41.578677777800003</v>
      </c>
      <c r="O148" t="s">
        <v>897</v>
      </c>
      <c r="P148" s="6">
        <v>8.4953476999999999E-2</v>
      </c>
      <c r="Q148" s="6">
        <v>9.98864E-3</v>
      </c>
      <c r="R148" s="6">
        <v>903</v>
      </c>
      <c r="S148" s="6">
        <v>1.095768E-3</v>
      </c>
      <c r="T148" s="6">
        <v>7.9999999920000002</v>
      </c>
      <c r="U148" s="6">
        <v>9.6917287000000005E-2</v>
      </c>
      <c r="V148" s="6">
        <v>1.1306217E-2</v>
      </c>
      <c r="W148" s="6">
        <v>6.2812299999999996E-4</v>
      </c>
      <c r="X148" s="6">
        <v>4.1002600000000002E-4</v>
      </c>
      <c r="Y148" s="6">
        <v>0.118363175</v>
      </c>
      <c r="Z148" s="6">
        <v>1.4334329E-2</v>
      </c>
      <c r="AA148" s="6">
        <v>7.7939486000000002E-2</v>
      </c>
      <c r="AB148" s="6">
        <v>8.9420449999999992E-3</v>
      </c>
      <c r="AC148" s="6">
        <v>5.9328992999999997E-2</v>
      </c>
      <c r="AD148" s="6">
        <v>7.5705929999999996E-3</v>
      </c>
      <c r="AE148" s="6">
        <v>8.4953476999999999E-2</v>
      </c>
      <c r="AF148" s="6">
        <v>9.98864E-3</v>
      </c>
      <c r="AG148" s="6">
        <v>5.8964821299999999</v>
      </c>
      <c r="AH148" s="6">
        <v>0.37590171900000002</v>
      </c>
      <c r="AI148" s="6">
        <v>-7.8980514060000004</v>
      </c>
      <c r="AJ148" s="6">
        <v>0.56112338699999997</v>
      </c>
      <c r="AK148" s="6">
        <v>9.8605140250000005</v>
      </c>
      <c r="AL148" s="6">
        <v>0.61159716900000005</v>
      </c>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row>
    <row r="149" spans="1:84" ht="16" x14ac:dyDescent="0.2">
      <c r="A149" s="4">
        <v>45831</v>
      </c>
      <c r="B149" s="19">
        <v>25174</v>
      </c>
      <c r="C149" s="5" t="s">
        <v>20</v>
      </c>
      <c r="D149" s="40">
        <v>13</v>
      </c>
      <c r="E149" s="53" t="s">
        <v>1198</v>
      </c>
      <c r="G149" s="5" t="s">
        <v>2</v>
      </c>
      <c r="H149" s="5" t="s">
        <v>5</v>
      </c>
      <c r="I149" s="5">
        <v>0.9</v>
      </c>
      <c r="J149" s="5">
        <v>36.85</v>
      </c>
      <c r="K149" s="5">
        <v>8.8000000000000007</v>
      </c>
      <c r="L149" s="5">
        <v>5.3</v>
      </c>
      <c r="M149" s="5" t="s">
        <v>4</v>
      </c>
      <c r="N149" s="15">
        <v>41.578677777800003</v>
      </c>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row>
    <row r="150" spans="1:84" ht="16" x14ac:dyDescent="0.2">
      <c r="A150" s="4">
        <v>45831</v>
      </c>
      <c r="B150" s="19">
        <v>25174</v>
      </c>
      <c r="C150" s="5" t="s">
        <v>20</v>
      </c>
      <c r="D150" s="25">
        <v>14</v>
      </c>
      <c r="E150" s="53" t="s">
        <v>1199</v>
      </c>
      <c r="F150">
        <v>5.3</v>
      </c>
      <c r="G150" s="5" t="s">
        <v>2</v>
      </c>
      <c r="H150" s="5" t="s">
        <v>6</v>
      </c>
      <c r="I150" s="5">
        <v>0.25</v>
      </c>
      <c r="J150" s="5">
        <v>25.8</v>
      </c>
      <c r="K150" s="5" t="s">
        <v>8</v>
      </c>
      <c r="L150" s="5" t="s">
        <v>8</v>
      </c>
      <c r="M150" s="5" t="s">
        <v>9</v>
      </c>
      <c r="N150" s="15">
        <v>41.578677777800003</v>
      </c>
      <c r="O150" t="s">
        <v>564</v>
      </c>
      <c r="P150" s="6">
        <v>6.2081409999999997E-2</v>
      </c>
      <c r="Q150" s="6">
        <v>1.5013076E-2</v>
      </c>
      <c r="R150" s="6">
        <v>348</v>
      </c>
      <c r="S150" s="6">
        <v>1.719677E-3</v>
      </c>
      <c r="T150" s="6">
        <v>3.9999999979999998</v>
      </c>
      <c r="U150" s="6">
        <v>0.122031695</v>
      </c>
      <c r="V150" s="6">
        <v>1.4092051E-2</v>
      </c>
      <c r="W150" s="6">
        <v>7.8289199999999998E-4</v>
      </c>
      <c r="X150" s="6">
        <v>6.5642200000000004E-4</v>
      </c>
      <c r="Y150" s="6">
        <v>8.8105287000000004E-2</v>
      </c>
      <c r="Z150" s="6">
        <v>1.9703754E-2</v>
      </c>
      <c r="AA150" s="6">
        <v>5.7140776999999997E-2</v>
      </c>
      <c r="AB150" s="6">
        <v>1.444698E-2</v>
      </c>
      <c r="AC150" s="6">
        <v>3.8077200999999998E-2</v>
      </c>
      <c r="AD150" s="6">
        <v>9.7550139999999994E-3</v>
      </c>
      <c r="AE150" s="6">
        <v>6.2081409999999997E-2</v>
      </c>
      <c r="AF150" s="6">
        <v>1.5013076E-2</v>
      </c>
      <c r="AG150" s="6">
        <v>6.2197484679999997</v>
      </c>
      <c r="AH150" s="6">
        <v>0.51904097000000005</v>
      </c>
      <c r="AI150" s="6">
        <v>-10.234332416000001</v>
      </c>
      <c r="AJ150" s="6">
        <v>0.472893122</v>
      </c>
      <c r="AK150" s="6">
        <v>11.979120311999999</v>
      </c>
      <c r="AL150" s="6">
        <v>0.64832867199999999</v>
      </c>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row>
    <row r="151" spans="1:84" ht="16" x14ac:dyDescent="0.2">
      <c r="A151" s="4">
        <v>45831</v>
      </c>
      <c r="B151" s="19">
        <v>25174</v>
      </c>
      <c r="C151" s="5" t="s">
        <v>20</v>
      </c>
      <c r="D151" s="5">
        <v>15</v>
      </c>
      <c r="E151" s="53" t="s">
        <v>1200</v>
      </c>
      <c r="F151">
        <v>-13.3</v>
      </c>
      <c r="G151" s="5" t="s">
        <v>2</v>
      </c>
      <c r="H151" s="5" t="s">
        <v>3</v>
      </c>
      <c r="I151" s="5">
        <v>0.55000000000000004</v>
      </c>
      <c r="J151" s="5">
        <v>30.3</v>
      </c>
      <c r="K151" s="5">
        <v>8</v>
      </c>
      <c r="L151" s="5">
        <v>4.5</v>
      </c>
      <c r="M151" s="5" t="s">
        <v>4</v>
      </c>
      <c r="N151" s="15">
        <v>41.578677777800003</v>
      </c>
      <c r="O151" t="s">
        <v>898</v>
      </c>
      <c r="P151" s="6">
        <v>7.3950889000000006E-2</v>
      </c>
      <c r="Q151" s="6">
        <v>2.2940565E-2</v>
      </c>
      <c r="R151" s="6">
        <v>485</v>
      </c>
      <c r="S151" s="6">
        <v>2.3823080000000001E-3</v>
      </c>
      <c r="T151" s="6">
        <v>3.9999999979999998</v>
      </c>
      <c r="U151" s="6">
        <v>0.11742056100000001</v>
      </c>
      <c r="V151" s="6">
        <v>2.0288677000000001E-2</v>
      </c>
      <c r="W151" s="6">
        <v>1.127149E-3</v>
      </c>
      <c r="X151" s="6">
        <v>8.5780700000000004E-4</v>
      </c>
      <c r="Y151" s="6">
        <v>0.110224456</v>
      </c>
      <c r="Z151" s="6">
        <v>3.4993007E-2</v>
      </c>
      <c r="AA151" s="6">
        <v>6.5161882000000004E-2</v>
      </c>
      <c r="AB151" s="6">
        <v>1.9932483000000001E-2</v>
      </c>
      <c r="AC151" s="6">
        <v>4.7130323000000002E-2</v>
      </c>
      <c r="AD151" s="6">
        <v>1.4369574E-2</v>
      </c>
      <c r="AE151" s="6">
        <v>7.3950889000000006E-2</v>
      </c>
      <c r="AF151" s="6">
        <v>2.2940565E-2</v>
      </c>
      <c r="AG151" s="6">
        <v>7.3061387739999999</v>
      </c>
      <c r="AH151" s="6">
        <v>0.50560306200000005</v>
      </c>
      <c r="AI151" s="6">
        <v>-9.4839700520000001</v>
      </c>
      <c r="AJ151" s="6">
        <v>0.45613992799999997</v>
      </c>
      <c r="AK151" s="6">
        <v>11.973703323000001</v>
      </c>
      <c r="AL151" s="6">
        <v>0.64760110199999998</v>
      </c>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row>
    <row r="152" spans="1:84" ht="16" x14ac:dyDescent="0.2">
      <c r="A152" s="4">
        <v>45831</v>
      </c>
      <c r="B152" s="19">
        <v>25174</v>
      </c>
      <c r="C152" s="5" t="s">
        <v>20</v>
      </c>
      <c r="D152" s="5">
        <v>16</v>
      </c>
      <c r="E152" s="53" t="s">
        <v>1201</v>
      </c>
      <c r="F152">
        <v>10.6</v>
      </c>
      <c r="G152" s="5" t="s">
        <v>2</v>
      </c>
      <c r="H152" s="5" t="s">
        <v>3</v>
      </c>
      <c r="I152" s="5">
        <v>1.05</v>
      </c>
      <c r="J152" s="5">
        <v>38.9</v>
      </c>
      <c r="K152" s="5" t="s">
        <v>8</v>
      </c>
      <c r="L152" s="5" t="s">
        <v>8</v>
      </c>
      <c r="M152" s="5" t="s">
        <v>9</v>
      </c>
      <c r="N152" s="15">
        <v>41.578677777800003</v>
      </c>
      <c r="O152" t="s">
        <v>899</v>
      </c>
      <c r="P152" s="6">
        <v>6.6412860000000004E-2</v>
      </c>
      <c r="Q152" s="6">
        <v>8.3860949999999997E-3</v>
      </c>
      <c r="R152" s="6">
        <v>938</v>
      </c>
      <c r="S152" s="6">
        <v>8.8716800000000003E-4</v>
      </c>
      <c r="T152" s="6">
        <v>3.9999999979999998</v>
      </c>
      <c r="U152" s="6">
        <v>0.12305856799999999</v>
      </c>
      <c r="V152" s="6">
        <v>7.2093180000000001E-3</v>
      </c>
      <c r="W152" s="6">
        <v>4.0051799999999999E-4</v>
      </c>
      <c r="X152" s="6">
        <v>3.50021E-4</v>
      </c>
      <c r="Y152" s="6">
        <v>9.4382147999999999E-2</v>
      </c>
      <c r="Z152" s="6">
        <v>1.2118538E-2</v>
      </c>
      <c r="AA152" s="6">
        <v>5.9737335000000003E-2</v>
      </c>
      <c r="AB152" s="6">
        <v>7.6659950000000001E-3</v>
      </c>
      <c r="AC152" s="6">
        <v>4.9050506000000001E-2</v>
      </c>
      <c r="AD152" s="6">
        <v>6.8930090000000003E-3</v>
      </c>
      <c r="AE152" s="6">
        <v>6.6412860000000004E-2</v>
      </c>
      <c r="AF152" s="6">
        <v>8.3860949999999997E-3</v>
      </c>
      <c r="AG152" s="6">
        <v>6.4646346299999999</v>
      </c>
      <c r="AH152" s="6">
        <v>0.79158298500000002</v>
      </c>
      <c r="AI152" s="6">
        <v>-6.9779296889999998</v>
      </c>
      <c r="AJ152" s="6">
        <v>0.56324932299999997</v>
      </c>
      <c r="AK152" s="6">
        <v>9.5237983869999994</v>
      </c>
      <c r="AL152" s="6">
        <v>0.85081540499999997</v>
      </c>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row>
    <row r="153" spans="1:84" ht="16" x14ac:dyDescent="0.2">
      <c r="A153" s="4">
        <v>45831</v>
      </c>
      <c r="B153" s="19">
        <v>25174</v>
      </c>
      <c r="C153" s="5" t="s">
        <v>20</v>
      </c>
      <c r="D153" s="5">
        <v>17</v>
      </c>
      <c r="E153" s="53" t="s">
        <v>1202</v>
      </c>
      <c r="F153">
        <v>33.799999999999997</v>
      </c>
      <c r="G153" s="5" t="s">
        <v>2</v>
      </c>
      <c r="H153" s="5" t="s">
        <v>6</v>
      </c>
      <c r="I153" s="5">
        <v>0.75</v>
      </c>
      <c r="J153" s="5">
        <v>33.4</v>
      </c>
      <c r="K153" s="5">
        <v>8</v>
      </c>
      <c r="L153" s="5">
        <v>4.7</v>
      </c>
      <c r="M153" s="5" t="s">
        <v>4</v>
      </c>
      <c r="N153" s="15">
        <v>41.578677777800003</v>
      </c>
      <c r="O153" t="s">
        <v>900</v>
      </c>
      <c r="P153" s="6">
        <v>6.9798387000000003E-2</v>
      </c>
      <c r="Q153" s="6">
        <v>1.7070486999999999E-2</v>
      </c>
      <c r="R153" s="6">
        <v>724</v>
      </c>
      <c r="S153" s="6">
        <v>1.950273E-3</v>
      </c>
      <c r="T153" s="6">
        <v>3.9999999979999998</v>
      </c>
      <c r="U153" s="6">
        <v>0.123398614</v>
      </c>
      <c r="V153" s="6">
        <v>1.5804656E-2</v>
      </c>
      <c r="W153" s="6">
        <v>8.7803600000000001E-4</v>
      </c>
      <c r="X153" s="6">
        <v>6.6025899999999995E-4</v>
      </c>
      <c r="Y153" s="6">
        <v>0.10158368</v>
      </c>
      <c r="Z153" s="6">
        <v>2.6265105E-2</v>
      </c>
      <c r="AA153" s="6">
        <v>6.2211278000000002E-2</v>
      </c>
      <c r="AB153" s="6">
        <v>1.4898867E-2</v>
      </c>
      <c r="AC153" s="6">
        <v>4.7911154999999997E-2</v>
      </c>
      <c r="AD153" s="6">
        <v>1.1091452E-2</v>
      </c>
      <c r="AE153" s="6">
        <v>6.9798387000000003E-2</v>
      </c>
      <c r="AF153" s="6">
        <v>1.7070486999999999E-2</v>
      </c>
      <c r="AG153" s="6">
        <v>6.8048935090000002</v>
      </c>
      <c r="AH153" s="6">
        <v>0.83583495900000004</v>
      </c>
      <c r="AI153" s="6">
        <v>-8.1353488550000002</v>
      </c>
      <c r="AJ153" s="6">
        <v>1.2714993640000001</v>
      </c>
      <c r="AK153" s="6">
        <v>10.609751418</v>
      </c>
      <c r="AL153" s="6">
        <v>1.4962874390000001</v>
      </c>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row>
    <row r="154" spans="1:84" ht="16" x14ac:dyDescent="0.2">
      <c r="A154" s="4">
        <v>45831</v>
      </c>
      <c r="B154" s="19">
        <v>25174</v>
      </c>
      <c r="C154" s="5" t="s">
        <v>20</v>
      </c>
      <c r="D154" s="5">
        <v>18</v>
      </c>
      <c r="E154" s="53" t="s">
        <v>1203</v>
      </c>
      <c r="F154">
        <v>5.7</v>
      </c>
      <c r="G154" s="5" t="s">
        <v>2</v>
      </c>
      <c r="H154" s="5" t="s">
        <v>3</v>
      </c>
      <c r="I154" s="5">
        <v>1.75</v>
      </c>
      <c r="J154" s="5">
        <v>47.6</v>
      </c>
      <c r="K154" s="5">
        <v>10.35</v>
      </c>
      <c r="L154" s="5">
        <v>6.1</v>
      </c>
      <c r="M154" s="5" t="s">
        <v>4</v>
      </c>
      <c r="N154" s="15">
        <v>41.578677777800003</v>
      </c>
      <c r="O154" t="s">
        <v>901</v>
      </c>
      <c r="P154" s="6">
        <v>7.1532387000000003E-2</v>
      </c>
      <c r="Q154" s="6">
        <v>1.1513112000000001E-2</v>
      </c>
      <c r="R154" s="6">
        <v>1515</v>
      </c>
      <c r="S154" s="6">
        <v>1.3453199999999999E-3</v>
      </c>
      <c r="T154" s="6">
        <v>2</v>
      </c>
      <c r="U154" s="6">
        <v>0.18071342500000001</v>
      </c>
      <c r="V154" s="6">
        <v>7.4444960000000001E-3</v>
      </c>
      <c r="W154" s="6">
        <v>4.1358299999999997E-4</v>
      </c>
      <c r="X154" s="6">
        <v>4.4421899999999998E-4</v>
      </c>
      <c r="Y154" s="6">
        <v>9.4655799999999998E-2</v>
      </c>
      <c r="Z154" s="6">
        <v>1.5942077999999998E-2</v>
      </c>
      <c r="AA154" s="6">
        <v>6.7809253E-2</v>
      </c>
      <c r="AB154" s="6">
        <v>1.0957138E-2</v>
      </c>
      <c r="AC154" s="6">
        <v>5.2946873999999998E-2</v>
      </c>
      <c r="AD154" s="6">
        <v>8.9771E-3</v>
      </c>
      <c r="AE154" s="6">
        <v>7.1532387000000003E-2</v>
      </c>
      <c r="AF154" s="6">
        <v>1.1513112000000001E-2</v>
      </c>
      <c r="AG154" s="6">
        <v>4.6658030610000001</v>
      </c>
      <c r="AH154" s="6">
        <v>0.915794475</v>
      </c>
      <c r="AI154" s="6">
        <v>-6.7400640750000003</v>
      </c>
      <c r="AJ154" s="6">
        <v>1.2329851679999999</v>
      </c>
      <c r="AK154" s="6">
        <v>8.2034903709999991</v>
      </c>
      <c r="AL154" s="6">
        <v>1.503261202</v>
      </c>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row>
    <row r="155" spans="1:84" ht="16" x14ac:dyDescent="0.2">
      <c r="A155" s="4">
        <v>45831</v>
      </c>
      <c r="B155" s="19">
        <v>25174</v>
      </c>
      <c r="C155" s="5" t="s">
        <v>20</v>
      </c>
      <c r="D155" s="5">
        <v>19</v>
      </c>
      <c r="E155" s="53" t="s">
        <v>1204</v>
      </c>
      <c r="F155">
        <v>25.5</v>
      </c>
      <c r="G155" s="5" t="s">
        <v>2</v>
      </c>
      <c r="H155" s="5" t="s">
        <v>5</v>
      </c>
      <c r="I155" s="5">
        <v>1.35</v>
      </c>
      <c r="J155" s="5">
        <v>37.299999999999997</v>
      </c>
      <c r="K155" s="5">
        <v>10.3</v>
      </c>
      <c r="L155" s="5">
        <v>6</v>
      </c>
      <c r="M155" s="5" t="s">
        <v>4</v>
      </c>
      <c r="N155" s="15">
        <v>41.578677777800003</v>
      </c>
      <c r="O155" t="s">
        <v>902</v>
      </c>
      <c r="P155" s="6">
        <v>8.0669196999999998E-2</v>
      </c>
      <c r="Q155" s="6">
        <v>1.0805255999999999E-2</v>
      </c>
      <c r="R155" s="6">
        <v>1302</v>
      </c>
      <c r="S155" s="6">
        <v>1.383652E-3</v>
      </c>
      <c r="T155" s="6">
        <v>3.9999999979999998</v>
      </c>
      <c r="U155" s="6">
        <v>0.134595837</v>
      </c>
      <c r="V155" s="6">
        <v>1.0280053000000001E-2</v>
      </c>
      <c r="W155" s="6">
        <v>5.7111399999999995E-4</v>
      </c>
      <c r="X155" s="6">
        <v>4.82423E-4</v>
      </c>
      <c r="Y155" s="6">
        <v>0.11191630599999999</v>
      </c>
      <c r="Z155" s="6">
        <v>1.5315038E-2</v>
      </c>
      <c r="AA155" s="6">
        <v>7.4610639000000006E-2</v>
      </c>
      <c r="AB155" s="6">
        <v>1.0004386000000001E-2</v>
      </c>
      <c r="AC155" s="6">
        <v>5.5764047999999997E-2</v>
      </c>
      <c r="AD155" s="6">
        <v>7.812355E-3</v>
      </c>
      <c r="AE155" s="6">
        <v>8.0669196999999998E-2</v>
      </c>
      <c r="AF155" s="6">
        <v>1.0805255999999999E-2</v>
      </c>
      <c r="AG155" s="6">
        <v>5.7171472400000001</v>
      </c>
      <c r="AH155" s="6">
        <v>0.55023401699999996</v>
      </c>
      <c r="AI155" s="6">
        <v>-8.0671518800000008</v>
      </c>
      <c r="AJ155" s="6">
        <v>0.75867720000000005</v>
      </c>
      <c r="AK155" s="6">
        <v>9.8950577410000005</v>
      </c>
      <c r="AL155" s="6">
        <v>0.85485649200000002</v>
      </c>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row>
    <row r="156" spans="1:84" ht="16" x14ac:dyDescent="0.2">
      <c r="A156" s="4">
        <v>45831</v>
      </c>
      <c r="B156" s="19">
        <v>25174</v>
      </c>
      <c r="C156" s="5" t="s">
        <v>20</v>
      </c>
      <c r="D156" s="5">
        <v>20</v>
      </c>
      <c r="E156" s="53" t="s">
        <v>1205</v>
      </c>
      <c r="F156">
        <v>-2.1</v>
      </c>
      <c r="G156" s="5" t="s">
        <v>2</v>
      </c>
      <c r="H156" s="5" t="s">
        <v>6</v>
      </c>
      <c r="I156" s="5">
        <v>0.2</v>
      </c>
      <c r="J156" s="5">
        <v>20.7</v>
      </c>
      <c r="K156" s="5" t="s">
        <v>8</v>
      </c>
      <c r="L156" s="5" t="s">
        <v>8</v>
      </c>
      <c r="M156" s="5" t="s">
        <v>9</v>
      </c>
      <c r="N156" s="15">
        <v>41.578677777800003</v>
      </c>
      <c r="O156" t="s">
        <v>903</v>
      </c>
      <c r="P156" s="6">
        <v>3.4978091000000003E-2</v>
      </c>
      <c r="Q156" s="6">
        <v>8.6687889999999997E-3</v>
      </c>
      <c r="R156" s="6">
        <v>294</v>
      </c>
      <c r="S156" s="6">
        <v>1.009371E-3</v>
      </c>
      <c r="T156" s="6">
        <v>5.6568542449999999</v>
      </c>
      <c r="U156" s="6">
        <v>0.13123590700000001</v>
      </c>
      <c r="V156" s="6">
        <v>7.6912700000000001E-3</v>
      </c>
      <c r="W156" s="6">
        <v>4.2729299999999998E-4</v>
      </c>
      <c r="X156" s="6">
        <v>4.25501E-4</v>
      </c>
      <c r="Y156" s="6">
        <v>5.3097419E-2</v>
      </c>
      <c r="Z156" s="6">
        <v>1.3249838999999999E-2</v>
      </c>
      <c r="AA156" s="6">
        <v>3.1267139999999999E-2</v>
      </c>
      <c r="AB156" s="6">
        <v>7.717303E-3</v>
      </c>
      <c r="AC156" s="6">
        <v>2.0007967000000002E-2</v>
      </c>
      <c r="AD156" s="6">
        <v>5.0507269999999996E-3</v>
      </c>
      <c r="AE156" s="6">
        <v>3.4978091000000003E-2</v>
      </c>
      <c r="AF156" s="6">
        <v>8.6687889999999997E-3</v>
      </c>
      <c r="AG156" s="6">
        <v>7.4553965739999999</v>
      </c>
      <c r="AH156" s="6">
        <v>0.46275630099999998</v>
      </c>
      <c r="AI156" s="6">
        <v>-11.621713106</v>
      </c>
      <c r="AJ156" s="6">
        <v>0.43294980900000002</v>
      </c>
      <c r="AK156" s="6">
        <v>13.809555488000001</v>
      </c>
      <c r="AL156" s="6">
        <v>0.58713453599999998</v>
      </c>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row>
    <row r="157" spans="1:84" ht="16" x14ac:dyDescent="0.2">
      <c r="A157" s="4">
        <v>45831</v>
      </c>
      <c r="B157" s="19">
        <v>25174</v>
      </c>
      <c r="C157" s="5" t="s">
        <v>20</v>
      </c>
      <c r="D157" s="5">
        <v>21</v>
      </c>
      <c r="E157" s="53" t="s">
        <v>1206</v>
      </c>
      <c r="F157">
        <v>30.3</v>
      </c>
      <c r="G157" s="5" t="s">
        <v>2</v>
      </c>
      <c r="H157" s="5" t="s">
        <v>5</v>
      </c>
      <c r="I157" s="5">
        <v>0.7</v>
      </c>
      <c r="J157" s="5">
        <v>34.85</v>
      </c>
      <c r="K157" s="5">
        <v>9.4</v>
      </c>
      <c r="L157" s="5">
        <v>5.0999999999999996</v>
      </c>
      <c r="M157" s="5" t="s">
        <v>4</v>
      </c>
      <c r="N157" s="15">
        <v>41.578677777800003</v>
      </c>
      <c r="O157" t="s">
        <v>904</v>
      </c>
      <c r="P157" s="6">
        <v>6.8812946E-2</v>
      </c>
      <c r="Q157" s="6">
        <v>2.5580800000000001E-2</v>
      </c>
      <c r="R157" s="6">
        <v>662</v>
      </c>
      <c r="S157" s="6">
        <v>2.7917409999999999E-3</v>
      </c>
      <c r="T157" s="6">
        <v>3.9999999979999998</v>
      </c>
      <c r="U157" s="6">
        <v>0.11937094500000001</v>
      </c>
      <c r="V157" s="6">
        <v>2.3387102999999999E-2</v>
      </c>
      <c r="W157" s="6">
        <v>1.299283E-3</v>
      </c>
      <c r="X157" s="6">
        <v>9.3202300000000003E-4</v>
      </c>
      <c r="Y157" s="6">
        <v>9.4844409000000005E-2</v>
      </c>
      <c r="Z157" s="6">
        <v>3.6999085000000001E-2</v>
      </c>
      <c r="AA157" s="6">
        <v>6.3681182000000003E-2</v>
      </c>
      <c r="AB157" s="6">
        <v>2.3147704000000002E-2</v>
      </c>
      <c r="AC157" s="6">
        <v>4.7566946999999998E-2</v>
      </c>
      <c r="AD157" s="6">
        <v>1.7096245999999999E-2</v>
      </c>
      <c r="AE157" s="6">
        <v>6.8812946E-2</v>
      </c>
      <c r="AF157" s="6">
        <v>2.5580800000000001E-2</v>
      </c>
      <c r="AG157" s="6">
        <v>5.420057956</v>
      </c>
      <c r="AH157" s="6">
        <v>0.85291330600000004</v>
      </c>
      <c r="AI157" s="6">
        <v>-7.8573681259999999</v>
      </c>
      <c r="AJ157" s="6">
        <v>0.80282769499999995</v>
      </c>
      <c r="AK157" s="6">
        <v>9.550134473</v>
      </c>
      <c r="AL157" s="6">
        <v>1.1322771469999999</v>
      </c>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row>
    <row r="158" spans="1:84" ht="16" x14ac:dyDescent="0.2">
      <c r="A158" s="4">
        <v>45831</v>
      </c>
      <c r="B158" s="19">
        <v>25174</v>
      </c>
      <c r="C158" s="5" t="s">
        <v>20</v>
      </c>
      <c r="D158" s="5">
        <v>22</v>
      </c>
      <c r="E158" s="53" t="s">
        <v>1207</v>
      </c>
      <c r="F158">
        <v>2.5</v>
      </c>
      <c r="G158" s="5" t="s">
        <v>2</v>
      </c>
      <c r="H158" s="5" t="s">
        <v>3</v>
      </c>
      <c r="I158" s="5">
        <v>0.85</v>
      </c>
      <c r="J158" s="5">
        <v>35.85</v>
      </c>
      <c r="K158" s="5">
        <v>8.6</v>
      </c>
      <c r="L158" s="5">
        <v>5.0999999999999996</v>
      </c>
      <c r="M158" s="5" t="s">
        <v>4</v>
      </c>
      <c r="N158" s="15">
        <v>41.578677777800003</v>
      </c>
      <c r="O158" t="s">
        <v>905</v>
      </c>
      <c r="P158" s="6">
        <v>7.6052071999999998E-2</v>
      </c>
      <c r="Q158" s="6">
        <v>1.33765E-2</v>
      </c>
      <c r="R158" s="6">
        <v>917</v>
      </c>
      <c r="S158" s="6">
        <v>1.459255E-3</v>
      </c>
      <c r="T158" s="6">
        <v>3.9999999979999998</v>
      </c>
      <c r="U158" s="6">
        <v>0.108195415</v>
      </c>
      <c r="V158" s="6">
        <v>1.3487213E-2</v>
      </c>
      <c r="W158" s="6">
        <v>7.4929E-4</v>
      </c>
      <c r="X158" s="6">
        <v>4.7459500000000002E-4</v>
      </c>
      <c r="Y158" s="6">
        <v>0.10562603600000001</v>
      </c>
      <c r="Z158" s="6">
        <v>2.1150875999999999E-2</v>
      </c>
      <c r="AA158" s="6">
        <v>6.9490403000000006E-2</v>
      </c>
      <c r="AB158" s="6">
        <v>1.159223E-2</v>
      </c>
      <c r="AC158" s="6">
        <v>5.5175634000000001E-2</v>
      </c>
      <c r="AD158" s="6">
        <v>8.6380650000000003E-3</v>
      </c>
      <c r="AE158" s="6">
        <v>7.6052071999999998E-2</v>
      </c>
      <c r="AF158" s="6">
        <v>1.33765E-2</v>
      </c>
      <c r="AG158" s="6">
        <v>5.8156367810000003</v>
      </c>
      <c r="AH158" s="6">
        <v>1.0122718829999999</v>
      </c>
      <c r="AI158" s="6">
        <v>-7.0945443849999998</v>
      </c>
      <c r="AJ158" s="6">
        <v>1.1443128010000001</v>
      </c>
      <c r="AK158" s="6">
        <v>9.1746483170000008</v>
      </c>
      <c r="AL158" s="6">
        <v>1.521231048</v>
      </c>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row>
    <row r="159" spans="1:84" ht="16" x14ac:dyDescent="0.2">
      <c r="A159" s="4">
        <v>45831</v>
      </c>
      <c r="B159" s="19">
        <v>25174</v>
      </c>
      <c r="C159" s="5" t="s">
        <v>20</v>
      </c>
      <c r="D159" s="5">
        <v>23</v>
      </c>
      <c r="E159" s="53" t="s">
        <v>1208</v>
      </c>
      <c r="F159">
        <v>19.8</v>
      </c>
      <c r="G159" s="5" t="s">
        <v>2</v>
      </c>
      <c r="H159" s="5" t="s">
        <v>6</v>
      </c>
      <c r="I159" s="5">
        <v>0.15</v>
      </c>
      <c r="J159" s="5">
        <v>23</v>
      </c>
      <c r="K159" s="5" t="s">
        <v>8</v>
      </c>
      <c r="L159" s="5" t="s">
        <v>8</v>
      </c>
      <c r="M159" s="5" t="s">
        <v>9</v>
      </c>
      <c r="N159" s="15">
        <v>41.578677777800003</v>
      </c>
      <c r="O159" t="s">
        <v>906</v>
      </c>
      <c r="P159" s="6">
        <v>3.0625546E-2</v>
      </c>
      <c r="Q159" s="6">
        <v>6.0949790000000004E-3</v>
      </c>
      <c r="R159" s="6">
        <v>322</v>
      </c>
      <c r="S159" s="6">
        <v>6.8245000000000003E-4</v>
      </c>
      <c r="T159" s="6">
        <v>3.9999999979999998</v>
      </c>
      <c r="U159" s="6">
        <v>0.13064989799999999</v>
      </c>
      <c r="V159" s="6">
        <v>5.2235060000000002E-3</v>
      </c>
      <c r="W159" s="6">
        <v>2.9019499999999998E-4</v>
      </c>
      <c r="X159" s="6">
        <v>2.4807300000000002E-4</v>
      </c>
      <c r="Y159" s="6">
        <v>4.281273E-2</v>
      </c>
      <c r="Z159" s="6">
        <v>8.4199710000000001E-3</v>
      </c>
      <c r="AA159" s="6">
        <v>2.8557434E-2</v>
      </c>
      <c r="AB159" s="6">
        <v>5.7378059999999998E-3</v>
      </c>
      <c r="AC159" s="6">
        <v>2.0142440000000001E-2</v>
      </c>
      <c r="AD159" s="6">
        <v>4.0380620000000002E-3</v>
      </c>
      <c r="AE159" s="6">
        <v>3.0625546E-2</v>
      </c>
      <c r="AF159" s="6">
        <v>6.0949790000000004E-3</v>
      </c>
      <c r="AG159" s="6">
        <v>5.7442388449999999</v>
      </c>
      <c r="AH159" s="6">
        <v>0.22159867899999999</v>
      </c>
      <c r="AI159" s="6">
        <v>-9.0171241999999996</v>
      </c>
      <c r="AJ159" s="6">
        <v>0.40709011099999998</v>
      </c>
      <c r="AK159" s="6">
        <v>10.693928671</v>
      </c>
      <c r="AL159" s="6">
        <v>0.39919170100000001</v>
      </c>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row>
    <row r="160" spans="1:84" ht="16" x14ac:dyDescent="0.2">
      <c r="A160" s="4">
        <v>45831</v>
      </c>
      <c r="B160" s="19">
        <v>25174</v>
      </c>
      <c r="C160" s="5" t="s">
        <v>20</v>
      </c>
      <c r="D160" s="5">
        <v>24</v>
      </c>
      <c r="E160" s="53" t="s">
        <v>1209</v>
      </c>
      <c r="F160">
        <v>42.9</v>
      </c>
      <c r="G160" s="5" t="s">
        <v>2</v>
      </c>
      <c r="H160" s="5" t="s">
        <v>3</v>
      </c>
      <c r="I160" s="5">
        <v>0.65</v>
      </c>
      <c r="J160" s="5">
        <v>32.65</v>
      </c>
      <c r="K160" s="5">
        <v>8</v>
      </c>
      <c r="L160" s="5">
        <v>4.9000000000000004</v>
      </c>
      <c r="M160" s="5" t="s">
        <v>9</v>
      </c>
      <c r="N160" s="15">
        <v>41.578677777800003</v>
      </c>
      <c r="O160" t="s">
        <v>907</v>
      </c>
      <c r="P160" s="6">
        <v>7.4662513999999999E-2</v>
      </c>
      <c r="Q160" s="6">
        <v>1.7129912000000001E-2</v>
      </c>
      <c r="R160" s="6">
        <v>715</v>
      </c>
      <c r="S160" s="6">
        <v>1.7187350000000001E-3</v>
      </c>
      <c r="T160" s="6">
        <v>2</v>
      </c>
      <c r="U160" s="6">
        <v>0.110912178</v>
      </c>
      <c r="V160" s="6">
        <v>1.5496363000000001E-2</v>
      </c>
      <c r="W160" s="6">
        <v>8.6090899999999998E-4</v>
      </c>
      <c r="X160" s="6">
        <v>6.4096599999999998E-4</v>
      </c>
      <c r="Y160" s="6">
        <v>0.10966809600000001</v>
      </c>
      <c r="Z160" s="6">
        <v>2.4936139999999999E-2</v>
      </c>
      <c r="AA160" s="6">
        <v>6.6240752999999999E-2</v>
      </c>
      <c r="AB160" s="6">
        <v>1.5288572E-2</v>
      </c>
      <c r="AC160" s="6">
        <v>5.0121868E-2</v>
      </c>
      <c r="AD160" s="6">
        <v>1.1920494E-2</v>
      </c>
      <c r="AE160" s="6">
        <v>7.4662513999999999E-2</v>
      </c>
      <c r="AF160" s="6">
        <v>1.7129912000000001E-2</v>
      </c>
      <c r="AG160" s="6">
        <v>7.1716873249999997</v>
      </c>
      <c r="AH160" s="6">
        <v>0.35387073899999999</v>
      </c>
      <c r="AI160" s="6">
        <v>-8.7673933080000008</v>
      </c>
      <c r="AJ160" s="6">
        <v>0.796134974</v>
      </c>
      <c r="AK160" s="6">
        <v>11.330855248000001</v>
      </c>
      <c r="AL160" s="6">
        <v>0.81910703500000004</v>
      </c>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row>
    <row r="161" spans="1:84" ht="16" x14ac:dyDescent="0.2">
      <c r="A161" s="4">
        <v>45832</v>
      </c>
      <c r="B161" s="19">
        <v>25175</v>
      </c>
      <c r="C161" s="12" t="s">
        <v>23</v>
      </c>
      <c r="D161" s="25">
        <v>6</v>
      </c>
      <c r="E161" s="53" t="s">
        <v>1210</v>
      </c>
      <c r="F161">
        <v>31.2</v>
      </c>
      <c r="G161" s="5" t="s">
        <v>2</v>
      </c>
      <c r="H161" s="5" t="s">
        <v>6</v>
      </c>
      <c r="I161" s="5">
        <v>0.2</v>
      </c>
      <c r="J161" s="5">
        <v>23.3</v>
      </c>
      <c r="K161" s="5" t="s">
        <v>8</v>
      </c>
      <c r="L161" s="5" t="s">
        <v>8</v>
      </c>
      <c r="M161" s="5" t="s">
        <v>9</v>
      </c>
      <c r="N161" s="15">
        <v>41.636561111100001</v>
      </c>
      <c r="O161" t="s">
        <v>593</v>
      </c>
      <c r="P161" s="6">
        <v>3.8569726999999998E-2</v>
      </c>
      <c r="Q161" s="6">
        <v>1.4488426E-2</v>
      </c>
      <c r="R161" s="6">
        <v>281</v>
      </c>
      <c r="S161" s="6">
        <v>1.7379870000000001E-3</v>
      </c>
      <c r="T161" s="6">
        <v>3.9999999979999998</v>
      </c>
      <c r="U161" s="6">
        <v>0.13795280100000001</v>
      </c>
      <c r="V161" s="6">
        <v>1.2598414E-2</v>
      </c>
      <c r="W161" s="6">
        <v>6.9991200000000002E-4</v>
      </c>
      <c r="X161" s="6">
        <v>6.45168E-4</v>
      </c>
      <c r="Y161" s="6">
        <v>5.4804734000000001E-2</v>
      </c>
      <c r="Z161" s="6">
        <v>2.0850001E-2</v>
      </c>
      <c r="AA161" s="6">
        <v>3.5282897000000001E-2</v>
      </c>
      <c r="AB161" s="6">
        <v>1.3251756E-2</v>
      </c>
      <c r="AC161" s="6">
        <v>2.5261222999999999E-2</v>
      </c>
      <c r="AD161" s="6">
        <v>9.1441809999999995E-3</v>
      </c>
      <c r="AE161" s="6">
        <v>3.8569726999999998E-2</v>
      </c>
      <c r="AF161" s="6">
        <v>1.4488426E-2</v>
      </c>
      <c r="AG161" s="6">
        <v>6.2045597150000003</v>
      </c>
      <c r="AH161" s="6">
        <v>0.29241844500000003</v>
      </c>
      <c r="AI161" s="6">
        <v>-8.9540936339999995</v>
      </c>
      <c r="AJ161" s="6">
        <v>0.44451423899999998</v>
      </c>
      <c r="AK161" s="6">
        <v>10.898459513000001</v>
      </c>
      <c r="AL161" s="6">
        <v>0.42268644100000002</v>
      </c>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row>
    <row r="162" spans="1:84" ht="16" x14ac:dyDescent="0.2">
      <c r="A162" s="4">
        <v>45832</v>
      </c>
      <c r="B162" s="19">
        <v>25175</v>
      </c>
      <c r="C162" s="12" t="s">
        <v>23</v>
      </c>
      <c r="D162" s="5">
        <v>7</v>
      </c>
      <c r="E162" s="53" t="s">
        <v>1211</v>
      </c>
      <c r="F162">
        <v>-2.4</v>
      </c>
      <c r="G162" s="5" t="s">
        <v>2</v>
      </c>
      <c r="H162" s="5" t="s">
        <v>6</v>
      </c>
      <c r="I162" s="5">
        <v>0.25</v>
      </c>
      <c r="J162" s="5">
        <v>24.55</v>
      </c>
      <c r="K162" s="5" t="s">
        <v>8</v>
      </c>
      <c r="L162" s="5" t="s">
        <v>8</v>
      </c>
      <c r="M162" s="5" t="s">
        <v>9</v>
      </c>
      <c r="N162" s="15">
        <v>41.636561111100001</v>
      </c>
      <c r="O162" t="s">
        <v>908</v>
      </c>
      <c r="P162" s="6">
        <v>6.2680017000000005E-2</v>
      </c>
      <c r="Q162" s="6">
        <v>1.3473171000000001E-2</v>
      </c>
      <c r="R162" s="6">
        <v>393</v>
      </c>
      <c r="S162" s="6">
        <v>1.3352769999999999E-3</v>
      </c>
      <c r="T162" s="6">
        <v>63.999999830999997</v>
      </c>
      <c r="U162" s="6">
        <v>9.2888781000000004E-2</v>
      </c>
      <c r="V162" s="6">
        <v>1.4375013000000001E-2</v>
      </c>
      <c r="W162" s="6">
        <v>7.9861199999999998E-4</v>
      </c>
      <c r="X162" s="6">
        <v>4.8713800000000002E-4</v>
      </c>
      <c r="Y162" s="6">
        <v>9.2863662E-2</v>
      </c>
      <c r="Z162" s="6">
        <v>2.0585638E-2</v>
      </c>
      <c r="AA162" s="6">
        <v>5.6553078E-2</v>
      </c>
      <c r="AB162" s="6">
        <v>1.1929597E-2</v>
      </c>
      <c r="AC162" s="6">
        <v>3.6029814E-2</v>
      </c>
      <c r="AD162" s="6">
        <v>7.6467319999999998E-3</v>
      </c>
      <c r="AE162" s="6">
        <v>6.2680017000000005E-2</v>
      </c>
      <c r="AF162" s="6">
        <v>1.3473171000000001E-2</v>
      </c>
      <c r="AG162" s="6">
        <v>6.9829150499999999</v>
      </c>
      <c r="AH162" s="6">
        <v>0.400976687</v>
      </c>
      <c r="AI162" s="6">
        <v>-11.394625261</v>
      </c>
      <c r="AJ162" s="6">
        <v>0.14628908700000001</v>
      </c>
      <c r="AK162" s="6">
        <v>13.367708791</v>
      </c>
      <c r="AL162" s="6">
        <v>0.291350526</v>
      </c>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row>
    <row r="163" spans="1:84" ht="16" x14ac:dyDescent="0.2">
      <c r="A163" s="4">
        <v>45832</v>
      </c>
      <c r="B163" s="19">
        <v>25175</v>
      </c>
      <c r="C163" s="12" t="s">
        <v>23</v>
      </c>
      <c r="D163" s="26">
        <v>8</v>
      </c>
      <c r="E163" s="53" t="s">
        <v>1212</v>
      </c>
      <c r="G163" s="5" t="s">
        <v>2</v>
      </c>
      <c r="H163" s="5" t="s">
        <v>6</v>
      </c>
      <c r="I163" s="5">
        <v>0.25</v>
      </c>
      <c r="J163" s="5">
        <v>23.5</v>
      </c>
      <c r="K163" s="5" t="s">
        <v>8</v>
      </c>
      <c r="L163" s="5" t="s">
        <v>8</v>
      </c>
      <c r="M163" s="5" t="s">
        <v>9</v>
      </c>
      <c r="N163" s="15">
        <v>41.636561111100001</v>
      </c>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row>
    <row r="164" spans="1:84" ht="16" x14ac:dyDescent="0.2">
      <c r="A164" s="4">
        <v>45833</v>
      </c>
      <c r="B164" s="19">
        <v>25176</v>
      </c>
      <c r="C164" s="12" t="s">
        <v>24</v>
      </c>
      <c r="D164" s="25">
        <v>6</v>
      </c>
      <c r="E164" s="53" t="s">
        <v>1213</v>
      </c>
      <c r="F164">
        <v>19.600000000000001</v>
      </c>
      <c r="G164" s="5" t="s">
        <v>2</v>
      </c>
      <c r="H164" s="5" t="s">
        <v>3</v>
      </c>
      <c r="I164" s="5">
        <v>0.85</v>
      </c>
      <c r="J164" s="5">
        <v>36.75</v>
      </c>
      <c r="K164" s="5">
        <v>9.1999999999999993</v>
      </c>
      <c r="L164" s="5">
        <v>5.2</v>
      </c>
      <c r="M164" s="5" t="s">
        <v>4</v>
      </c>
      <c r="N164" s="15">
        <v>41.764733333300001</v>
      </c>
      <c r="O164" t="s">
        <v>594</v>
      </c>
      <c r="P164" s="6">
        <v>6.9586176999999999E-2</v>
      </c>
      <c r="Q164" s="6">
        <v>1.1119347999999999E-2</v>
      </c>
      <c r="R164" s="6">
        <v>807</v>
      </c>
      <c r="S164" s="6">
        <v>1.251701E-3</v>
      </c>
      <c r="T164" s="6">
        <v>3.9999999979999998</v>
      </c>
      <c r="U164" s="6">
        <v>0.10597298600000001</v>
      </c>
      <c r="V164" s="6">
        <v>1.1811507000000001E-2</v>
      </c>
      <c r="W164" s="6">
        <v>6.5619500000000004E-4</v>
      </c>
      <c r="X164" s="6">
        <v>4.6480799999999999E-4</v>
      </c>
      <c r="Y164" s="6">
        <v>9.6311112000000004E-2</v>
      </c>
      <c r="Z164" s="6">
        <v>1.6827937000000001E-2</v>
      </c>
      <c r="AA164" s="6">
        <v>6.3285263999999994E-2</v>
      </c>
      <c r="AB164" s="6">
        <v>9.8767639999999997E-3</v>
      </c>
      <c r="AC164" s="6">
        <v>5.2930787E-2</v>
      </c>
      <c r="AD164" s="6">
        <v>7.3816230000000004E-3</v>
      </c>
      <c r="AE164" s="6">
        <v>6.9586176999999999E-2</v>
      </c>
      <c r="AF164" s="6">
        <v>1.1119347999999999E-2</v>
      </c>
      <c r="AG164" s="6">
        <v>5.8655972040000002</v>
      </c>
      <c r="AH164" s="6">
        <v>0.70367280399999999</v>
      </c>
      <c r="AI164" s="6">
        <v>-6.2483965829999999</v>
      </c>
      <c r="AJ164" s="6">
        <v>0.77351099700000003</v>
      </c>
      <c r="AK164" s="6">
        <v>8.5772526730000003</v>
      </c>
      <c r="AL164" s="6">
        <v>0.985774186</v>
      </c>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row>
    <row r="165" spans="1:84" ht="16" x14ac:dyDescent="0.2">
      <c r="A165" s="4">
        <v>45833</v>
      </c>
      <c r="B165" s="19">
        <v>25176</v>
      </c>
      <c r="C165" s="12" t="s">
        <v>24</v>
      </c>
      <c r="D165" s="5">
        <v>7</v>
      </c>
      <c r="E165" s="53" t="s">
        <v>1214</v>
      </c>
      <c r="F165">
        <v>7.9</v>
      </c>
      <c r="G165" s="5" t="s">
        <v>2</v>
      </c>
      <c r="H165" s="5" t="s">
        <v>6</v>
      </c>
      <c r="I165" s="5">
        <v>0.15</v>
      </c>
      <c r="J165" s="5">
        <v>19.350000000000001</v>
      </c>
      <c r="K165" s="5" t="s">
        <v>8</v>
      </c>
      <c r="L165" s="5" t="s">
        <v>8</v>
      </c>
      <c r="M165" s="5" t="s">
        <v>9</v>
      </c>
      <c r="N165" s="15">
        <v>41.764733333300001</v>
      </c>
      <c r="O165" t="s">
        <v>909</v>
      </c>
      <c r="P165" s="6">
        <v>4.1636147999999998E-2</v>
      </c>
      <c r="Q165" s="6">
        <v>1.4468095E-2</v>
      </c>
      <c r="R165" s="6">
        <v>257</v>
      </c>
      <c r="S165" s="6">
        <v>1.5273960000000001E-3</v>
      </c>
      <c r="T165" s="6">
        <v>2.8284271240000001</v>
      </c>
      <c r="U165" s="6">
        <v>0.118163463</v>
      </c>
      <c r="V165" s="6">
        <v>1.2926131E-2</v>
      </c>
      <c r="W165" s="6">
        <v>7.1811800000000001E-4</v>
      </c>
      <c r="X165" s="6">
        <v>5.9422000000000001E-4</v>
      </c>
      <c r="Y165" s="6">
        <v>6.4384628999999999E-2</v>
      </c>
      <c r="Z165" s="6">
        <v>2.2414257E-2</v>
      </c>
      <c r="AA165" s="6">
        <v>3.6173714000000003E-2</v>
      </c>
      <c r="AB165" s="6">
        <v>1.2608991999999999E-2</v>
      </c>
      <c r="AC165" s="6">
        <v>2.4631146999999999E-2</v>
      </c>
      <c r="AD165" s="6">
        <v>8.3475749999999994E-3</v>
      </c>
      <c r="AE165" s="6">
        <v>4.1636147999999998E-2</v>
      </c>
      <c r="AF165" s="6">
        <v>1.4468095E-2</v>
      </c>
      <c r="AG165" s="6">
        <v>8.1661621619999991</v>
      </c>
      <c r="AH165" s="6">
        <v>0.15627026499999999</v>
      </c>
      <c r="AI165" s="6">
        <v>-10.936056902000001</v>
      </c>
      <c r="AJ165" s="6">
        <v>0.30937843599999998</v>
      </c>
      <c r="AK165" s="6">
        <v>13.650470017</v>
      </c>
      <c r="AL165" s="6">
        <v>0.261050899</v>
      </c>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row>
    <row r="166" spans="1:84" ht="16" x14ac:dyDescent="0.2">
      <c r="A166" s="4">
        <v>45833</v>
      </c>
      <c r="B166" s="19">
        <v>25176</v>
      </c>
      <c r="C166" s="12" t="s">
        <v>24</v>
      </c>
      <c r="D166" s="25">
        <v>8</v>
      </c>
      <c r="E166" s="53" t="s">
        <v>1215</v>
      </c>
      <c r="F166">
        <v>-23.7</v>
      </c>
      <c r="G166" s="5" t="s">
        <v>2</v>
      </c>
      <c r="H166" s="5" t="s">
        <v>6</v>
      </c>
      <c r="I166" s="5">
        <v>0.15</v>
      </c>
      <c r="J166" s="5">
        <v>20.6</v>
      </c>
      <c r="K166" s="5" t="s">
        <v>8</v>
      </c>
      <c r="L166" s="5" t="s">
        <v>8</v>
      </c>
      <c r="M166" s="5" t="s">
        <v>9</v>
      </c>
      <c r="N166" s="15">
        <v>41.764733333300001</v>
      </c>
      <c r="O166" t="s">
        <v>595</v>
      </c>
      <c r="P166" s="6">
        <v>4.4304838999999999E-2</v>
      </c>
      <c r="Q166" s="6">
        <v>1.4086324000000001E-2</v>
      </c>
      <c r="R166" s="6">
        <v>306</v>
      </c>
      <c r="S166" s="6">
        <v>1.9000620000000001E-3</v>
      </c>
      <c r="T166" s="6">
        <v>31.999999932000001</v>
      </c>
      <c r="U166" s="6">
        <v>0.13906196100000001</v>
      </c>
      <c r="V166" s="6">
        <v>1.3663417000000001E-2</v>
      </c>
      <c r="W166" s="6">
        <v>7.5907899999999996E-4</v>
      </c>
      <c r="X166" s="6">
        <v>6.5266E-4</v>
      </c>
      <c r="Y166" s="6">
        <v>6.5220242999999997E-2</v>
      </c>
      <c r="Z166" s="6">
        <v>2.0466657999999999E-2</v>
      </c>
      <c r="AA166" s="6">
        <v>4.0115613000000001E-2</v>
      </c>
      <c r="AB166" s="6">
        <v>1.2917901000000001E-2</v>
      </c>
      <c r="AC166" s="6">
        <v>2.643011E-2</v>
      </c>
      <c r="AD166" s="6">
        <v>8.4200449999999993E-3</v>
      </c>
      <c r="AE166" s="6">
        <v>4.4304838999999999E-2</v>
      </c>
      <c r="AF166" s="6">
        <v>1.4086324000000001E-2</v>
      </c>
      <c r="AG166" s="6">
        <v>6.9398700299999998</v>
      </c>
      <c r="AH166" s="6">
        <v>0.36376453199999997</v>
      </c>
      <c r="AI166" s="6">
        <v>-10.810216938</v>
      </c>
      <c r="AJ166" s="6">
        <v>0.34424702299999999</v>
      </c>
      <c r="AK166" s="6">
        <v>12.847514626000001</v>
      </c>
      <c r="AL166" s="6">
        <v>0.46332184900000001</v>
      </c>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row>
    <row r="167" spans="1:84" ht="16" x14ac:dyDescent="0.2">
      <c r="A167" s="4">
        <v>45833</v>
      </c>
      <c r="B167" s="19">
        <v>25176</v>
      </c>
      <c r="C167" s="12" t="s">
        <v>24</v>
      </c>
      <c r="D167" s="5">
        <v>9</v>
      </c>
      <c r="E167" s="53" t="s">
        <v>1216</v>
      </c>
      <c r="F167">
        <v>52.8</v>
      </c>
      <c r="G167" s="5" t="s">
        <v>2</v>
      </c>
      <c r="H167" s="5" t="s">
        <v>3</v>
      </c>
      <c r="I167" s="5">
        <v>0.5</v>
      </c>
      <c r="J167" s="5">
        <v>32.4</v>
      </c>
      <c r="K167" s="5">
        <v>8.1</v>
      </c>
      <c r="L167" s="5">
        <v>4.8</v>
      </c>
      <c r="M167" s="5" t="s">
        <v>9</v>
      </c>
      <c r="N167" s="15">
        <v>41.764733333300001</v>
      </c>
      <c r="O167" t="s">
        <v>910</v>
      </c>
      <c r="P167" s="6">
        <v>6.3490826E-2</v>
      </c>
      <c r="Q167" s="6">
        <v>6.3773609999999998E-3</v>
      </c>
      <c r="R167" s="6">
        <v>719</v>
      </c>
      <c r="S167" s="6">
        <v>7.1172800000000001E-4</v>
      </c>
      <c r="T167" s="6">
        <v>3.9999999979999998</v>
      </c>
      <c r="U167" s="6">
        <v>0.125797994</v>
      </c>
      <c r="V167" s="6">
        <v>5.6577019999999997E-3</v>
      </c>
      <c r="W167" s="6">
        <v>3.1431699999999999E-4</v>
      </c>
      <c r="X167" s="6">
        <v>2.9301499999999999E-4</v>
      </c>
      <c r="Y167" s="6">
        <v>9.3686555000000005E-2</v>
      </c>
      <c r="Z167" s="6">
        <v>9.7938469999999996E-3</v>
      </c>
      <c r="AA167" s="6">
        <v>5.6060035000000001E-2</v>
      </c>
      <c r="AB167" s="6">
        <v>5.7897219999999998E-3</v>
      </c>
      <c r="AC167" s="6">
        <v>4.4945288999999999E-2</v>
      </c>
      <c r="AD167" s="6">
        <v>4.6936809999999999E-3</v>
      </c>
      <c r="AE167" s="6">
        <v>6.3490826E-2</v>
      </c>
      <c r="AF167" s="6">
        <v>6.3773609999999998E-3</v>
      </c>
      <c r="AG167" s="6">
        <v>7.25778941</v>
      </c>
      <c r="AH167" s="6">
        <v>0.63245971300000003</v>
      </c>
      <c r="AI167" s="6">
        <v>-7.8001866739999999</v>
      </c>
      <c r="AJ167" s="6">
        <v>0.86955918399999999</v>
      </c>
      <c r="AK167" s="6">
        <v>10.658889593</v>
      </c>
      <c r="AL167" s="6">
        <v>1.030776323</v>
      </c>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row>
    <row r="168" spans="1:84" ht="16" x14ac:dyDescent="0.2">
      <c r="A168" s="4">
        <v>45833</v>
      </c>
      <c r="B168" s="19">
        <v>25176</v>
      </c>
      <c r="C168" s="12" t="s">
        <v>24</v>
      </c>
      <c r="D168" s="47">
        <v>10</v>
      </c>
      <c r="E168" s="53" t="s">
        <v>1217</v>
      </c>
      <c r="F168">
        <v>-31.9</v>
      </c>
      <c r="G168" s="5" t="s">
        <v>2</v>
      </c>
      <c r="H168" s="5" t="s">
        <v>3</v>
      </c>
      <c r="I168" s="5">
        <v>0.5</v>
      </c>
      <c r="J168" s="5">
        <v>29.55</v>
      </c>
      <c r="K168" s="5">
        <v>7.75</v>
      </c>
      <c r="L168" s="5">
        <v>4.5</v>
      </c>
      <c r="M168" s="5" t="s">
        <v>9</v>
      </c>
      <c r="N168" s="15">
        <v>41.764733333300001</v>
      </c>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row>
    <row r="169" spans="1:84" ht="16" x14ac:dyDescent="0.2">
      <c r="A169" s="4">
        <v>45833</v>
      </c>
      <c r="B169" s="19">
        <v>25176</v>
      </c>
      <c r="C169" s="12" t="s">
        <v>24</v>
      </c>
      <c r="D169" s="5">
        <v>11</v>
      </c>
      <c r="E169" s="53" t="s">
        <v>1218</v>
      </c>
      <c r="F169">
        <v>30.7</v>
      </c>
      <c r="G169" s="5" t="s">
        <v>2</v>
      </c>
      <c r="H169" s="5" t="s">
        <v>6</v>
      </c>
      <c r="I169" s="5">
        <v>0.2</v>
      </c>
      <c r="J169" s="5">
        <v>20.9</v>
      </c>
      <c r="K169" s="5" t="s">
        <v>8</v>
      </c>
      <c r="L169" s="5" t="s">
        <v>8</v>
      </c>
      <c r="M169" s="5" t="s">
        <v>9</v>
      </c>
      <c r="N169" s="15">
        <v>41.764733333300001</v>
      </c>
      <c r="O169" s="9" t="s">
        <v>911</v>
      </c>
      <c r="P169" s="6">
        <v>5.1004659000000001E-2</v>
      </c>
      <c r="Q169" s="6">
        <v>1.7051743000000001E-2</v>
      </c>
      <c r="R169" s="6">
        <v>288</v>
      </c>
      <c r="S169" s="6">
        <v>1.7588129999999999E-3</v>
      </c>
      <c r="T169" s="6">
        <v>3.9999999979999998</v>
      </c>
      <c r="U169" s="6">
        <v>0.111907802</v>
      </c>
      <c r="V169" s="6">
        <v>1.5716628999999999E-2</v>
      </c>
      <c r="W169" s="48">
        <v>8.7314599999999999E-4</v>
      </c>
      <c r="X169" s="48">
        <v>6.9183000000000005E-4</v>
      </c>
      <c r="Y169" s="6">
        <v>7.9072706000000006E-2</v>
      </c>
      <c r="Z169" s="6">
        <v>2.6008621999999999E-2</v>
      </c>
      <c r="AA169" s="6">
        <v>4.4929941000000001E-2</v>
      </c>
      <c r="AB169" s="6">
        <v>1.5139150000000001E-2</v>
      </c>
      <c r="AC169" s="6">
        <v>2.7337611000000001E-2</v>
      </c>
      <c r="AD169" s="6">
        <v>9.4532469999999997E-3</v>
      </c>
      <c r="AE169" s="6">
        <v>5.1004659000000001E-2</v>
      </c>
      <c r="AF169" s="6">
        <v>1.7051743000000001E-2</v>
      </c>
      <c r="AG169" s="6">
        <v>8.0341005340000002</v>
      </c>
      <c r="AH169" s="6">
        <v>0.19112886300000001</v>
      </c>
      <c r="AI169" s="6">
        <v>-12.848697411</v>
      </c>
      <c r="AJ169" s="6">
        <v>0.53141719899999995</v>
      </c>
      <c r="AK169" s="6">
        <v>15.156849277999999</v>
      </c>
      <c r="AL169" s="6">
        <v>0.473626573</v>
      </c>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row>
    <row r="170" spans="1:84" ht="16" x14ac:dyDescent="0.2">
      <c r="A170" s="4">
        <v>45833</v>
      </c>
      <c r="B170" s="19">
        <v>25176</v>
      </c>
      <c r="C170" s="12" t="s">
        <v>24</v>
      </c>
      <c r="D170" s="5">
        <v>12</v>
      </c>
      <c r="E170" s="53" t="s">
        <v>1219</v>
      </c>
      <c r="F170">
        <v>-15.8</v>
      </c>
      <c r="G170" s="5" t="s">
        <v>2</v>
      </c>
      <c r="H170" s="5" t="s">
        <v>6</v>
      </c>
      <c r="I170" s="5">
        <v>0.15</v>
      </c>
      <c r="J170" s="5">
        <v>18</v>
      </c>
      <c r="K170" s="5" t="s">
        <v>8</v>
      </c>
      <c r="L170" s="5" t="s">
        <v>8</v>
      </c>
      <c r="M170" s="5" t="s">
        <v>9</v>
      </c>
      <c r="N170" s="15">
        <v>41.764733333300001</v>
      </c>
      <c r="O170" s="9" t="s">
        <v>912</v>
      </c>
      <c r="P170" s="6">
        <v>2.219877E-2</v>
      </c>
      <c r="Q170" s="6">
        <v>4.6093449999999999E-3</v>
      </c>
      <c r="R170" s="6">
        <v>192</v>
      </c>
      <c r="S170" s="6">
        <v>5.2150799999999995E-4</v>
      </c>
      <c r="T170" s="6">
        <v>2.8284271240000001</v>
      </c>
      <c r="U170" s="6">
        <v>0.123992159</v>
      </c>
      <c r="V170" s="6">
        <v>4.2059769999999996E-3</v>
      </c>
      <c r="W170" s="48">
        <v>2.3366500000000001E-4</v>
      </c>
      <c r="X170" s="48">
        <v>2.129E-4</v>
      </c>
      <c r="Y170" s="6">
        <v>3.2390443999999997E-2</v>
      </c>
      <c r="Z170" s="6">
        <v>6.7293359999999998E-3</v>
      </c>
      <c r="AA170" s="6">
        <v>2.0214190999999999E-2</v>
      </c>
      <c r="AB170" s="6">
        <v>4.200606E-3</v>
      </c>
      <c r="AC170" s="6">
        <v>1.3219059E-2</v>
      </c>
      <c r="AD170" s="6">
        <v>2.7320729999999998E-3</v>
      </c>
      <c r="AE170" s="6">
        <v>2.219877E-2</v>
      </c>
      <c r="AF170" s="6">
        <v>4.6093449999999999E-3</v>
      </c>
      <c r="AG170" s="6">
        <v>6.6710313159999997</v>
      </c>
      <c r="AH170" s="6">
        <v>0.186427591</v>
      </c>
      <c r="AI170" s="6">
        <v>-10.779461667</v>
      </c>
      <c r="AJ170" s="6">
        <v>0.14291161099999999</v>
      </c>
      <c r="AK170" s="6">
        <v>12.677480900999999</v>
      </c>
      <c r="AL170" s="6">
        <v>0.18975996000000001</v>
      </c>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row>
    <row r="171" spans="1:84" ht="16" x14ac:dyDescent="0.2">
      <c r="A171" s="4">
        <v>45833</v>
      </c>
      <c r="B171" s="19">
        <v>25176</v>
      </c>
      <c r="C171" s="12" t="s">
        <v>24</v>
      </c>
      <c r="D171" s="28">
        <v>13</v>
      </c>
      <c r="E171" s="53" t="s">
        <v>1220</v>
      </c>
      <c r="F171">
        <v>-23.9</v>
      </c>
      <c r="G171" s="5" t="s">
        <v>2</v>
      </c>
      <c r="H171" s="5" t="s">
        <v>3</v>
      </c>
      <c r="I171" s="5">
        <v>0.4</v>
      </c>
      <c r="J171" s="5">
        <v>28.7</v>
      </c>
      <c r="K171" s="5" t="s">
        <v>8</v>
      </c>
      <c r="L171" s="5" t="s">
        <v>8</v>
      </c>
      <c r="M171" s="5" t="s">
        <v>9</v>
      </c>
      <c r="N171" s="15">
        <v>41.764733333300001</v>
      </c>
      <c r="O171" t="s">
        <v>596</v>
      </c>
      <c r="P171" s="6">
        <v>7.0623564999999999E-2</v>
      </c>
      <c r="Q171" s="6">
        <v>1.2130271999999999E-2</v>
      </c>
      <c r="R171" s="6">
        <v>565</v>
      </c>
      <c r="S171" s="6">
        <v>1.42001E-3</v>
      </c>
      <c r="T171" s="6">
        <v>3.9999999979999998</v>
      </c>
      <c r="U171" s="6">
        <v>0.129949814</v>
      </c>
      <c r="V171" s="6">
        <v>1.0927368999999999E-2</v>
      </c>
      <c r="W171" s="6">
        <v>6.0707600000000001E-4</v>
      </c>
      <c r="X171" s="6">
        <v>5.1236599999999999E-4</v>
      </c>
      <c r="Y171" s="6">
        <v>0.106960633</v>
      </c>
      <c r="Z171" s="6">
        <v>1.8115771999999999E-2</v>
      </c>
      <c r="AA171" s="6">
        <v>6.2904762000000003E-2</v>
      </c>
      <c r="AB171" s="6">
        <v>1.0772188E-2</v>
      </c>
      <c r="AC171" s="6">
        <v>4.0846638999999997E-2</v>
      </c>
      <c r="AD171" s="6">
        <v>7.8007570000000002E-3</v>
      </c>
      <c r="AE171" s="6">
        <v>7.0623564999999999E-2</v>
      </c>
      <c r="AF171" s="6">
        <v>1.2130271999999999E-2</v>
      </c>
      <c r="AG171" s="6">
        <v>7.5137239349999998</v>
      </c>
      <c r="AH171" s="6">
        <v>0.25210517300000002</v>
      </c>
      <c r="AI171" s="6">
        <v>-11.459182564000001</v>
      </c>
      <c r="AJ171" s="6">
        <v>0.63517979300000005</v>
      </c>
      <c r="AK171" s="6">
        <v>13.705991518999999</v>
      </c>
      <c r="AL171" s="6">
        <v>0.61771279000000001</v>
      </c>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row>
    <row r="172" spans="1:84" ht="16" x14ac:dyDescent="0.2">
      <c r="A172" s="4">
        <v>45833</v>
      </c>
      <c r="B172" s="19">
        <v>25176</v>
      </c>
      <c r="C172" s="12" t="s">
        <v>24</v>
      </c>
      <c r="D172" s="5">
        <v>14</v>
      </c>
      <c r="E172" s="53" t="s">
        <v>1221</v>
      </c>
      <c r="F172">
        <v>-15.1</v>
      </c>
      <c r="G172" s="5" t="s">
        <v>2</v>
      </c>
      <c r="H172" s="5" t="s">
        <v>6</v>
      </c>
      <c r="I172" s="5">
        <v>0.25</v>
      </c>
      <c r="J172" s="5">
        <v>25.95</v>
      </c>
      <c r="K172" s="5" t="s">
        <v>8</v>
      </c>
      <c r="L172" s="5" t="s">
        <v>8</v>
      </c>
      <c r="M172" s="5" t="s">
        <v>9</v>
      </c>
      <c r="N172" s="15">
        <v>41.764733333300001</v>
      </c>
      <c r="O172" s="9" t="s">
        <v>913</v>
      </c>
      <c r="P172" s="6">
        <v>4.4371353000000002E-2</v>
      </c>
      <c r="Q172" s="6">
        <v>1.3397727E-2</v>
      </c>
      <c r="R172" s="6">
        <v>379</v>
      </c>
      <c r="S172" s="6">
        <v>1.382089E-3</v>
      </c>
      <c r="T172" s="6">
        <v>7.9999999920000002</v>
      </c>
      <c r="U172" s="6">
        <v>0.11006382200000001</v>
      </c>
      <c r="V172" s="6">
        <v>1.2557163E-2</v>
      </c>
      <c r="W172" s="48">
        <v>6.9762000000000003E-4</v>
      </c>
      <c r="X172" s="48">
        <v>5.2551799999999999E-4</v>
      </c>
      <c r="Y172" s="6">
        <v>6.8476008000000005E-2</v>
      </c>
      <c r="Z172" s="6">
        <v>2.0711141999999998E-2</v>
      </c>
      <c r="AA172" s="6">
        <v>3.8278863000000003E-2</v>
      </c>
      <c r="AB172" s="6">
        <v>1.1437246E-2</v>
      </c>
      <c r="AC172" s="6">
        <v>2.7571411000000001E-2</v>
      </c>
      <c r="AD172" s="6">
        <v>8.6262149999999996E-3</v>
      </c>
      <c r="AE172" s="6">
        <v>4.4371353000000002E-2</v>
      </c>
      <c r="AF172" s="6">
        <v>1.3397727E-2</v>
      </c>
      <c r="AG172" s="6">
        <v>8.2082631970000008</v>
      </c>
      <c r="AH172" s="6">
        <v>0.28983833799999997</v>
      </c>
      <c r="AI172" s="6">
        <v>-10.24960222</v>
      </c>
      <c r="AJ172" s="6">
        <v>0.81888066800000003</v>
      </c>
      <c r="AK172" s="6">
        <v>13.13805442</v>
      </c>
      <c r="AL172" s="6">
        <v>0.75865410300000002</v>
      </c>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row>
    <row r="173" spans="1:84" ht="16" x14ac:dyDescent="0.2">
      <c r="A173" s="4">
        <v>45833</v>
      </c>
      <c r="B173" s="19">
        <v>25176</v>
      </c>
      <c r="C173" s="12" t="s">
        <v>24</v>
      </c>
      <c r="D173" s="5">
        <v>15</v>
      </c>
      <c r="E173" s="53" t="s">
        <v>1222</v>
      </c>
      <c r="F173">
        <v>4.5</v>
      </c>
      <c r="G173" s="5" t="s">
        <v>2</v>
      </c>
      <c r="H173" s="5" t="s">
        <v>6</v>
      </c>
      <c r="I173" s="5">
        <v>0.25</v>
      </c>
      <c r="J173" s="5">
        <v>24.95</v>
      </c>
      <c r="K173" s="5" t="s">
        <v>8</v>
      </c>
      <c r="L173" s="5" t="s">
        <v>8</v>
      </c>
      <c r="M173" s="5" t="s">
        <v>9</v>
      </c>
      <c r="N173" s="15">
        <v>41.764733333300001</v>
      </c>
      <c r="O173" t="s">
        <v>914</v>
      </c>
      <c r="P173" s="6">
        <v>3.9589129000000001E-2</v>
      </c>
      <c r="Q173" s="6">
        <v>2.1204790000000001E-2</v>
      </c>
      <c r="R173" s="6">
        <v>290</v>
      </c>
      <c r="S173" s="6">
        <v>2.2958319999999998E-3</v>
      </c>
      <c r="T173" s="6">
        <v>3.9999999979999998</v>
      </c>
      <c r="U173" s="6">
        <v>0.123772886</v>
      </c>
      <c r="V173" s="6">
        <v>1.8548744999999998E-2</v>
      </c>
      <c r="W173" s="6">
        <v>1.0304859999999999E-3</v>
      </c>
      <c r="X173" s="6">
        <v>8.92317E-4</v>
      </c>
      <c r="Y173" s="6">
        <v>5.8705118000000001E-2</v>
      </c>
      <c r="Z173" s="6">
        <v>3.1631233000000002E-2</v>
      </c>
      <c r="AA173" s="6">
        <v>3.5351644000000002E-2</v>
      </c>
      <c r="AB173" s="6">
        <v>1.8831328000000001E-2</v>
      </c>
      <c r="AC173" s="6">
        <v>2.4242373000000001E-2</v>
      </c>
      <c r="AD173" s="6">
        <v>1.3194034E-2</v>
      </c>
      <c r="AE173" s="6">
        <v>3.9589129000000001E-2</v>
      </c>
      <c r="AF173" s="6">
        <v>2.1204790000000001E-2</v>
      </c>
      <c r="AG173" s="6">
        <v>7.1115931589999999</v>
      </c>
      <c r="AH173" s="6">
        <v>0.24696020299999999</v>
      </c>
      <c r="AI173" s="6">
        <v>-10.386197008</v>
      </c>
      <c r="AJ173" s="6">
        <v>0.62958812600000003</v>
      </c>
      <c r="AK173" s="6">
        <v>12.590898365999999</v>
      </c>
      <c r="AL173" s="6">
        <v>0.61172441600000005</v>
      </c>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row>
    <row r="174" spans="1:84" ht="16" x14ac:dyDescent="0.2">
      <c r="A174" s="4">
        <v>45833</v>
      </c>
      <c r="B174" s="19">
        <v>25176</v>
      </c>
      <c r="C174" s="12" t="s">
        <v>24</v>
      </c>
      <c r="D174" s="5">
        <v>16</v>
      </c>
      <c r="E174" s="53" t="s">
        <v>1223</v>
      </c>
      <c r="F174">
        <v>28.8</v>
      </c>
      <c r="G174" s="5" t="s">
        <v>2</v>
      </c>
      <c r="H174" s="5" t="s">
        <v>6</v>
      </c>
      <c r="I174" s="5">
        <v>0.45</v>
      </c>
      <c r="J174" s="5">
        <v>27.7</v>
      </c>
      <c r="K174" s="5" t="s">
        <v>8</v>
      </c>
      <c r="L174" s="5" t="s">
        <v>8</v>
      </c>
      <c r="M174" s="5" t="s">
        <v>9</v>
      </c>
      <c r="N174" s="15">
        <v>41.764733333300001</v>
      </c>
      <c r="O174" t="s">
        <v>915</v>
      </c>
      <c r="P174" s="6">
        <v>8.0235018000000005E-2</v>
      </c>
      <c r="Q174" s="6">
        <v>1.3733491E-2</v>
      </c>
      <c r="R174" s="6">
        <v>534</v>
      </c>
      <c r="S174" s="6">
        <v>1.454454E-3</v>
      </c>
      <c r="T174" s="6">
        <v>45.254833888</v>
      </c>
      <c r="U174" s="6">
        <v>0.119223146</v>
      </c>
      <c r="V174" s="6">
        <v>1.2199427000000001E-2</v>
      </c>
      <c r="W174" s="6">
        <v>6.7774600000000001E-4</v>
      </c>
      <c r="X174" s="6">
        <v>5.1399099999999999E-4</v>
      </c>
      <c r="Y174" s="6">
        <v>0.13464907700000001</v>
      </c>
      <c r="Z174" s="6">
        <v>2.260413E-2</v>
      </c>
      <c r="AA174" s="6">
        <v>6.5970601000000004E-2</v>
      </c>
      <c r="AB174" s="6">
        <v>1.1478917999999999E-2</v>
      </c>
      <c r="AC174" s="6">
        <v>4.1647425000000002E-2</v>
      </c>
      <c r="AD174" s="6">
        <v>7.627137E-3</v>
      </c>
      <c r="AE174" s="6">
        <v>8.0235018000000005E-2</v>
      </c>
      <c r="AF174" s="6">
        <v>1.3733491E-2</v>
      </c>
      <c r="AG174" s="6">
        <v>10.107879514</v>
      </c>
      <c r="AH174" s="6">
        <v>0.26538020699999998</v>
      </c>
      <c r="AI174" s="6">
        <v>-13.35454013</v>
      </c>
      <c r="AJ174" s="6">
        <v>0.92061762800000002</v>
      </c>
      <c r="AK174" s="6">
        <v>16.755728089000002</v>
      </c>
      <c r="AL174" s="6">
        <v>0.82222702800000003</v>
      </c>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row>
    <row r="175" spans="1:84" ht="16" x14ac:dyDescent="0.2">
      <c r="A175" s="4">
        <v>45833</v>
      </c>
      <c r="B175" s="19">
        <v>25176</v>
      </c>
      <c r="C175" s="12" t="s">
        <v>24</v>
      </c>
      <c r="D175" s="5">
        <v>17</v>
      </c>
      <c r="E175" s="53" t="s">
        <v>1224</v>
      </c>
      <c r="F175">
        <v>-51.2</v>
      </c>
      <c r="G175" s="5" t="s">
        <v>2</v>
      </c>
      <c r="H175" s="5" t="s">
        <v>6</v>
      </c>
      <c r="I175" s="5">
        <v>0.15</v>
      </c>
      <c r="J175" s="5">
        <v>20.5</v>
      </c>
      <c r="K175" s="5" t="s">
        <v>8</v>
      </c>
      <c r="L175" s="5" t="s">
        <v>8</v>
      </c>
      <c r="M175" s="5" t="s">
        <v>9</v>
      </c>
      <c r="N175" s="15">
        <v>41.764733333300001</v>
      </c>
      <c r="O175" t="s">
        <v>916</v>
      </c>
      <c r="P175" s="6">
        <v>2.3512531999999999E-2</v>
      </c>
      <c r="Q175" s="6">
        <v>5.0824590000000001E-3</v>
      </c>
      <c r="R175" s="6">
        <v>268</v>
      </c>
      <c r="S175" s="6">
        <v>5.5360100000000003E-4</v>
      </c>
      <c r="T175" s="6">
        <v>5.6568542449999999</v>
      </c>
      <c r="U175" s="6">
        <v>0.11116952099999999</v>
      </c>
      <c r="V175" s="6">
        <v>4.9797900000000004E-3</v>
      </c>
      <c r="W175" s="6">
        <v>2.76655E-4</v>
      </c>
      <c r="X175" s="6">
        <v>2.3529599999999999E-4</v>
      </c>
      <c r="Y175" s="6">
        <v>3.4045968000000003E-2</v>
      </c>
      <c r="Z175" s="6">
        <v>7.419101E-3</v>
      </c>
      <c r="AA175" s="6">
        <v>2.1272111E-2</v>
      </c>
      <c r="AB175" s="6">
        <v>4.5547019999999999E-3</v>
      </c>
      <c r="AC175" s="6">
        <v>1.5727898000000001E-2</v>
      </c>
      <c r="AD175" s="6">
        <v>3.564602E-3</v>
      </c>
      <c r="AE175" s="6">
        <v>2.3512531999999999E-2</v>
      </c>
      <c r="AF175" s="6">
        <v>5.0824590000000001E-3</v>
      </c>
      <c r="AG175" s="6">
        <v>6.6413729229999996</v>
      </c>
      <c r="AH175" s="6">
        <v>0.15916776499999999</v>
      </c>
      <c r="AI175" s="6">
        <v>-8.8224313219999999</v>
      </c>
      <c r="AJ175" s="6">
        <v>0.60634384399999997</v>
      </c>
      <c r="AK175" s="6">
        <v>11.049455241</v>
      </c>
      <c r="AL175" s="6">
        <v>0.49507810899999999</v>
      </c>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row>
    <row r="176" spans="1:84" ht="16" x14ac:dyDescent="0.2">
      <c r="A176" s="4">
        <v>45833</v>
      </c>
      <c r="B176" s="19">
        <v>25176</v>
      </c>
      <c r="C176" s="12" t="s">
        <v>24</v>
      </c>
      <c r="D176" s="5">
        <v>18</v>
      </c>
      <c r="E176" s="53" t="s">
        <v>1225</v>
      </c>
      <c r="F176" s="6">
        <v>43.7</v>
      </c>
      <c r="G176" s="5" t="s">
        <v>2</v>
      </c>
      <c r="H176" s="5" t="s">
        <v>3</v>
      </c>
      <c r="I176" s="5">
        <v>0.8</v>
      </c>
      <c r="J176" s="5">
        <v>36.5</v>
      </c>
      <c r="K176" s="5">
        <v>9.4</v>
      </c>
      <c r="L176" s="5">
        <v>5.4</v>
      </c>
      <c r="M176" s="5" t="s">
        <v>4</v>
      </c>
      <c r="N176" s="15">
        <v>41.764733333300001</v>
      </c>
      <c r="O176" s="6" t="s">
        <v>917</v>
      </c>
      <c r="P176" s="6">
        <v>7.1136719000000001E-2</v>
      </c>
      <c r="Q176" s="6">
        <v>1.4495502E-2</v>
      </c>
      <c r="R176" s="6">
        <v>1002</v>
      </c>
      <c r="S176" s="6">
        <v>1.51418E-3</v>
      </c>
      <c r="T176" s="6">
        <v>2.8284271240000001</v>
      </c>
      <c r="U176" s="6">
        <v>0.107828858</v>
      </c>
      <c r="V176" s="6">
        <v>1.4042433999999999E-2</v>
      </c>
      <c r="W176" s="6">
        <v>7.8013500000000005E-4</v>
      </c>
      <c r="X176" s="6">
        <v>5.1805000000000004E-4</v>
      </c>
      <c r="Y176" s="6">
        <v>9.6051294999999995E-2</v>
      </c>
      <c r="Z176" s="6">
        <v>2.0328768000000001E-2</v>
      </c>
      <c r="AA176" s="6">
        <v>6.5877904000000001E-2</v>
      </c>
      <c r="AB176" s="6">
        <v>1.3235678000000001E-2</v>
      </c>
      <c r="AC176" s="6">
        <v>5.4148197000000002E-2</v>
      </c>
      <c r="AD176" s="6">
        <v>1.0775668E-2</v>
      </c>
      <c r="AE176" s="6">
        <v>7.1136719000000001E-2</v>
      </c>
      <c r="AF176" s="6">
        <v>1.4495502E-2</v>
      </c>
      <c r="AG176" s="6">
        <v>5.2479170960000001</v>
      </c>
      <c r="AH176" s="6">
        <v>0.55935629899999995</v>
      </c>
      <c r="AI176" s="6">
        <v>-6.1943661959999998</v>
      </c>
      <c r="AJ176" s="6">
        <v>0.82519995499999999</v>
      </c>
      <c r="AK176" s="6">
        <v>8.1215459909999996</v>
      </c>
      <c r="AL176" s="6">
        <v>0.97215376099999995</v>
      </c>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row>
    <row r="177" spans="1:84" ht="16" x14ac:dyDescent="0.2">
      <c r="A177" s="4">
        <v>45833</v>
      </c>
      <c r="B177" s="19">
        <v>25176</v>
      </c>
      <c r="C177" s="12" t="s">
        <v>24</v>
      </c>
      <c r="D177" s="5">
        <v>19</v>
      </c>
      <c r="E177" s="53" t="s">
        <v>1226</v>
      </c>
      <c r="F177">
        <v>-14</v>
      </c>
      <c r="G177" s="5" t="s">
        <v>2</v>
      </c>
      <c r="H177" s="5" t="s">
        <v>6</v>
      </c>
      <c r="I177" s="5">
        <v>0.1</v>
      </c>
      <c r="J177" s="5">
        <v>15.55</v>
      </c>
      <c r="K177" s="5" t="s">
        <v>8</v>
      </c>
      <c r="L177" s="5" t="s">
        <v>8</v>
      </c>
      <c r="M177" s="5" t="s">
        <v>9</v>
      </c>
      <c r="N177" s="15">
        <v>41.764733333300001</v>
      </c>
      <c r="O177" s="6" t="s">
        <v>919</v>
      </c>
      <c r="P177" s="6">
        <v>1.4451112E-2</v>
      </c>
      <c r="Q177" s="6">
        <v>4.5990390000000001E-3</v>
      </c>
      <c r="R177" s="6">
        <v>141</v>
      </c>
      <c r="S177" s="6">
        <v>5.0669799999999998E-4</v>
      </c>
      <c r="T177" s="6">
        <v>2</v>
      </c>
      <c r="U177" s="6">
        <v>0.12887530699999999</v>
      </c>
      <c r="V177" s="6">
        <v>3.9316919999999997E-3</v>
      </c>
      <c r="W177" s="6">
        <v>2.1842699999999999E-4</v>
      </c>
      <c r="X177" s="6">
        <v>1.8077300000000001E-4</v>
      </c>
      <c r="Y177" s="6">
        <v>2.0791358999999999E-2</v>
      </c>
      <c r="Z177" s="6">
        <v>6.7438100000000003E-3</v>
      </c>
      <c r="AA177" s="6">
        <v>1.3090436E-2</v>
      </c>
      <c r="AB177" s="6">
        <v>4.1194070000000003E-3</v>
      </c>
      <c r="AC177" s="6">
        <v>9.3108140000000006E-3</v>
      </c>
      <c r="AD177" s="6">
        <v>2.898252E-3</v>
      </c>
      <c r="AE177" s="6">
        <v>1.4451112E-2</v>
      </c>
      <c r="AF177" s="6">
        <v>4.5990390000000001E-3</v>
      </c>
      <c r="AG177" s="6">
        <v>6.4810531290000002</v>
      </c>
      <c r="AH177" s="6">
        <v>0.26444754999999998</v>
      </c>
      <c r="AI177" s="6">
        <v>-9.2642318370000005</v>
      </c>
      <c r="AJ177" s="6">
        <v>0.330882501</v>
      </c>
      <c r="AK177" s="6">
        <v>11.307244916</v>
      </c>
      <c r="AL177" s="6">
        <v>0.394335836</v>
      </c>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row>
    <row r="178" spans="1:84" ht="16" x14ac:dyDescent="0.2">
      <c r="A178" s="4">
        <v>45833</v>
      </c>
      <c r="B178" s="19">
        <v>25176</v>
      </c>
      <c r="C178" s="12" t="s">
        <v>24</v>
      </c>
      <c r="D178" s="5">
        <v>20</v>
      </c>
      <c r="E178" s="53" t="s">
        <v>1227</v>
      </c>
      <c r="F178">
        <v>29.1</v>
      </c>
      <c r="G178" s="5" t="s">
        <v>2</v>
      </c>
      <c r="H178" s="5" t="s">
        <v>3</v>
      </c>
      <c r="I178" s="5">
        <v>0.55000000000000004</v>
      </c>
      <c r="J178" s="5">
        <v>31</v>
      </c>
      <c r="K178" s="5">
        <v>8.5500000000000007</v>
      </c>
      <c r="L178" s="5">
        <v>4.7</v>
      </c>
      <c r="M178" s="5" t="s">
        <v>9</v>
      </c>
      <c r="N178" s="15">
        <v>41.764733333300001</v>
      </c>
      <c r="O178" s="6" t="s">
        <v>920</v>
      </c>
      <c r="P178" s="6">
        <v>5.7963839000000003E-2</v>
      </c>
      <c r="Q178" s="6">
        <v>2.5519355000000001E-2</v>
      </c>
      <c r="R178" s="6">
        <v>436</v>
      </c>
      <c r="S178" s="6">
        <v>3.0652209999999999E-3</v>
      </c>
      <c r="T178" s="6">
        <v>3.9999999979999998</v>
      </c>
      <c r="U178" s="6">
        <v>0.14166092399999999</v>
      </c>
      <c r="V178" s="6">
        <v>2.1637732999999999E-2</v>
      </c>
      <c r="W178" s="6">
        <v>1.2020959999999999E-3</v>
      </c>
      <c r="X178" s="6">
        <v>1.1049899999999999E-3</v>
      </c>
      <c r="Y178" s="6">
        <v>8.8813811000000006E-2</v>
      </c>
      <c r="Z178" s="6">
        <v>4.0290989999999999E-2</v>
      </c>
      <c r="AA178" s="6">
        <v>5.1234904999999997E-2</v>
      </c>
      <c r="AB178" s="6">
        <v>2.2187806000000001E-2</v>
      </c>
      <c r="AC178" s="6">
        <v>3.2268132999999997E-2</v>
      </c>
      <c r="AD178" s="6">
        <v>1.3767918000000001E-2</v>
      </c>
      <c r="AE178" s="6">
        <v>5.7963839000000003E-2</v>
      </c>
      <c r="AF178" s="6">
        <v>2.5519355000000001E-2</v>
      </c>
      <c r="AG178" s="6">
        <v>7.6842428800000002</v>
      </c>
      <c r="AH178" s="6">
        <v>0.59693244599999995</v>
      </c>
      <c r="AI178" s="6">
        <v>-12.194809126000001</v>
      </c>
      <c r="AJ178" s="6">
        <v>1.4152015339999999</v>
      </c>
      <c r="AK178" s="6">
        <v>14.421997177</v>
      </c>
      <c r="AL178" s="6">
        <v>1.4579246880000001</v>
      </c>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row>
    <row r="179" spans="1:84" ht="16" x14ac:dyDescent="0.2">
      <c r="A179" s="4">
        <v>45833</v>
      </c>
      <c r="B179" s="19">
        <v>25176</v>
      </c>
      <c r="C179" s="12" t="s">
        <v>24</v>
      </c>
      <c r="D179" s="25">
        <v>21</v>
      </c>
      <c r="E179" s="53" t="s">
        <v>1228</v>
      </c>
      <c r="F179">
        <v>-12.6</v>
      </c>
      <c r="G179" s="5" t="s">
        <v>2</v>
      </c>
      <c r="H179" s="5" t="s">
        <v>6</v>
      </c>
      <c r="I179" s="5">
        <v>0.2</v>
      </c>
      <c r="J179" s="5">
        <v>21.3</v>
      </c>
      <c r="K179" s="5" t="s">
        <v>8</v>
      </c>
      <c r="L179" s="5" t="s">
        <v>8</v>
      </c>
      <c r="M179" s="5" t="s">
        <v>9</v>
      </c>
      <c r="N179" s="15">
        <v>41.764733333300001</v>
      </c>
      <c r="O179" t="s">
        <v>620</v>
      </c>
      <c r="P179" s="6">
        <v>2.3251080000000002E-3</v>
      </c>
      <c r="Q179" s="6">
        <v>5.0586999999999995E-4</v>
      </c>
      <c r="R179" s="6">
        <v>97</v>
      </c>
      <c r="S179" s="6">
        <v>6.6871000000000004E-5</v>
      </c>
      <c r="T179" s="6">
        <v>2</v>
      </c>
      <c r="U179" s="6">
        <v>0.23241451199999999</v>
      </c>
      <c r="V179" s="6">
        <v>2.8772500000000001E-4</v>
      </c>
      <c r="W179" s="6">
        <v>1.5985E-5</v>
      </c>
      <c r="X179" s="6">
        <v>2.1216000000000002E-5</v>
      </c>
      <c r="Y179" s="6">
        <v>3.6241300000000001E-3</v>
      </c>
      <c r="Z179" s="6">
        <v>8.0288699999999996E-4</v>
      </c>
      <c r="AA179" s="6">
        <v>2.0564910000000001E-3</v>
      </c>
      <c r="AB179" s="6">
        <v>4.4264400000000001E-4</v>
      </c>
      <c r="AC179" s="6">
        <v>1.1810189999999999E-3</v>
      </c>
      <c r="AD179" s="6">
        <v>2.5126199999999998E-4</v>
      </c>
      <c r="AE179" s="6">
        <v>2.3251080000000002E-3</v>
      </c>
      <c r="AF179" s="6">
        <v>5.0586999999999995E-4</v>
      </c>
      <c r="AG179" s="6">
        <v>7.9949598159999997</v>
      </c>
      <c r="AH179" s="6">
        <v>0.29364704899999999</v>
      </c>
      <c r="AI179" s="6">
        <v>-13.64930732</v>
      </c>
      <c r="AJ179" s="6">
        <v>0.55984044700000002</v>
      </c>
      <c r="AK179" s="6">
        <v>15.822269833</v>
      </c>
      <c r="AL179" s="6">
        <v>0.52644194200000005</v>
      </c>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row>
    <row r="180" spans="1:84" ht="16" x14ac:dyDescent="0.2">
      <c r="A180" s="4">
        <v>45833</v>
      </c>
      <c r="B180" s="19">
        <v>25176</v>
      </c>
      <c r="C180" s="12" t="s">
        <v>24</v>
      </c>
      <c r="D180" s="5">
        <v>22</v>
      </c>
      <c r="E180" s="53" t="s">
        <v>1229</v>
      </c>
      <c r="F180" s="6">
        <v>28</v>
      </c>
      <c r="G180" s="5" t="s">
        <v>2</v>
      </c>
      <c r="H180" s="5" t="s">
        <v>3</v>
      </c>
      <c r="I180" s="5">
        <v>0.85</v>
      </c>
      <c r="J180" s="5">
        <v>35.4</v>
      </c>
      <c r="K180" s="5">
        <v>8.4</v>
      </c>
      <c r="L180" s="5">
        <v>5.0999999999999996</v>
      </c>
      <c r="M180" s="5" t="s">
        <v>4</v>
      </c>
      <c r="N180" s="15">
        <v>41.764733333300001</v>
      </c>
      <c r="O180" s="6" t="s">
        <v>921</v>
      </c>
      <c r="P180" s="6">
        <v>8.4296339999999997E-2</v>
      </c>
      <c r="Q180" s="6">
        <v>2.0499508999999999E-2</v>
      </c>
      <c r="R180" s="6">
        <v>798</v>
      </c>
      <c r="S180" s="6">
        <v>2.1779939999999999E-3</v>
      </c>
      <c r="T180" s="6">
        <v>2.8284271240000001</v>
      </c>
      <c r="U180" s="6">
        <v>0.119245227</v>
      </c>
      <c r="V180" s="6">
        <v>1.8264834000000001E-2</v>
      </c>
      <c r="W180" s="6">
        <v>1.014713E-3</v>
      </c>
      <c r="X180" s="6">
        <v>7.4682399999999999E-4</v>
      </c>
      <c r="Y180" s="6">
        <v>0.12174550000000001</v>
      </c>
      <c r="Z180" s="6">
        <v>3.1008957E-2</v>
      </c>
      <c r="AA180" s="6">
        <v>7.7119565000000001E-2</v>
      </c>
      <c r="AB180" s="6">
        <v>1.8375665999999999E-2</v>
      </c>
      <c r="AC180" s="6">
        <v>5.1171622E-2</v>
      </c>
      <c r="AD180" s="6">
        <v>1.1658982999999999E-2</v>
      </c>
      <c r="AE180" s="6">
        <v>8.4296339999999997E-2</v>
      </c>
      <c r="AF180" s="6">
        <v>2.0499508999999999E-2</v>
      </c>
      <c r="AG180" s="6">
        <v>6.3756350260000003</v>
      </c>
      <c r="AH180" s="6">
        <v>0.57527509899999996</v>
      </c>
      <c r="AI180" s="6">
        <v>-10.313962449</v>
      </c>
      <c r="AJ180" s="6">
        <v>0.74675091599999999</v>
      </c>
      <c r="AK180" s="6">
        <v>12.127148047</v>
      </c>
      <c r="AL180" s="6">
        <v>0.92051638400000002</v>
      </c>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row>
    <row r="181" spans="1:84" ht="16" x14ac:dyDescent="0.2">
      <c r="A181" s="4">
        <v>45833</v>
      </c>
      <c r="B181" s="19">
        <v>25176</v>
      </c>
      <c r="C181" s="12" t="s">
        <v>24</v>
      </c>
      <c r="D181" s="5">
        <v>23</v>
      </c>
      <c r="E181" s="53" t="s">
        <v>1230</v>
      </c>
      <c r="F181">
        <v>25.5</v>
      </c>
      <c r="G181" s="5" t="s">
        <v>2</v>
      </c>
      <c r="H181" s="5" t="s">
        <v>5</v>
      </c>
      <c r="I181" s="5">
        <v>1.3</v>
      </c>
      <c r="J181" s="5">
        <v>41.95</v>
      </c>
      <c r="K181" s="5">
        <v>10.3</v>
      </c>
      <c r="L181" s="5">
        <v>5.7</v>
      </c>
      <c r="M181" s="5" t="s">
        <v>4</v>
      </c>
      <c r="N181" s="15">
        <v>41.764733333300001</v>
      </c>
      <c r="O181" t="s">
        <v>922</v>
      </c>
      <c r="P181" s="6">
        <v>8.4758626000000004E-2</v>
      </c>
      <c r="Q181" s="6">
        <v>1.277328E-2</v>
      </c>
      <c r="R181" s="6">
        <v>1140</v>
      </c>
      <c r="S181" s="6">
        <v>1.365202E-3</v>
      </c>
      <c r="T181" s="6">
        <v>3.9999999979999998</v>
      </c>
      <c r="U181" s="6">
        <v>0.104597525</v>
      </c>
      <c r="V181" s="6">
        <v>1.3051956999999999E-2</v>
      </c>
      <c r="W181" s="6">
        <v>7.2510900000000004E-4</v>
      </c>
      <c r="X181" s="6">
        <v>4.4793300000000002E-4</v>
      </c>
      <c r="Y181" s="6">
        <v>0.122616981</v>
      </c>
      <c r="Z181" s="6">
        <v>2.0278811000000001E-2</v>
      </c>
      <c r="AA181" s="6">
        <v>7.6655484999999995E-2</v>
      </c>
      <c r="AB181" s="6">
        <v>1.1339214E-2</v>
      </c>
      <c r="AC181" s="6">
        <v>5.499975E-2</v>
      </c>
      <c r="AD181" s="6">
        <v>8.7337720000000008E-3</v>
      </c>
      <c r="AE181" s="6">
        <v>8.4758626000000004E-2</v>
      </c>
      <c r="AF181" s="6">
        <v>1.277328E-2</v>
      </c>
      <c r="AG181" s="6">
        <v>6.5919514189999999</v>
      </c>
      <c r="AH181" s="6">
        <v>1.0352616690000001</v>
      </c>
      <c r="AI181" s="6">
        <v>-9.2613561729999994</v>
      </c>
      <c r="AJ181" s="6">
        <v>1.3479203420000001</v>
      </c>
      <c r="AK181" s="6">
        <v>11.370643921999999</v>
      </c>
      <c r="AL181" s="6">
        <v>1.680356473</v>
      </c>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row>
    <row r="182" spans="1:84" ht="16" x14ac:dyDescent="0.2">
      <c r="A182" s="4">
        <v>45833</v>
      </c>
      <c r="B182" s="19">
        <v>25176</v>
      </c>
      <c r="C182" s="12" t="s">
        <v>24</v>
      </c>
      <c r="D182" s="5">
        <v>24</v>
      </c>
      <c r="E182" s="53" t="s">
        <v>1231</v>
      </c>
      <c r="F182">
        <v>-33.6</v>
      </c>
      <c r="G182" s="5" t="s">
        <v>2</v>
      </c>
      <c r="H182" s="5" t="s">
        <v>6</v>
      </c>
      <c r="I182" s="5">
        <v>0.15</v>
      </c>
      <c r="J182" s="5">
        <v>19.75</v>
      </c>
      <c r="K182" s="5" t="s">
        <v>8</v>
      </c>
      <c r="L182" s="5" t="s">
        <v>8</v>
      </c>
      <c r="M182" s="5" t="s">
        <v>9</v>
      </c>
      <c r="N182" s="15">
        <v>41.764733333300001</v>
      </c>
      <c r="O182" t="s">
        <v>923</v>
      </c>
      <c r="P182" s="6">
        <v>5.4467321999999999E-2</v>
      </c>
      <c r="Q182" s="6">
        <v>1.5367606000000001E-2</v>
      </c>
      <c r="R182" s="6">
        <v>280</v>
      </c>
      <c r="S182" s="6">
        <v>1.696239E-3</v>
      </c>
      <c r="T182" s="6">
        <v>2.8284271240000001</v>
      </c>
      <c r="U182" s="6">
        <v>0.129712563</v>
      </c>
      <c r="V182" s="6">
        <v>1.3076904E-2</v>
      </c>
      <c r="W182" s="6">
        <v>7.2649499999999996E-4</v>
      </c>
      <c r="X182" s="6">
        <v>6.6886199999999999E-4</v>
      </c>
      <c r="Y182" s="6">
        <v>7.7392716E-2</v>
      </c>
      <c r="Z182" s="6">
        <v>2.2036251E-2</v>
      </c>
      <c r="AA182" s="6">
        <v>5.0061565000000002E-2</v>
      </c>
      <c r="AB182" s="6">
        <v>1.4039243E-2</v>
      </c>
      <c r="AC182" s="6">
        <v>3.4479913000000001E-2</v>
      </c>
      <c r="AD182" s="6">
        <v>9.7371179999999995E-3</v>
      </c>
      <c r="AE182" s="6">
        <v>5.4467321999999999E-2</v>
      </c>
      <c r="AF182" s="6">
        <v>1.5367606000000001E-2</v>
      </c>
      <c r="AG182" s="6">
        <v>6.154277435</v>
      </c>
      <c r="AH182" s="6">
        <v>0.28812116700000001</v>
      </c>
      <c r="AI182" s="6">
        <v>-9.6549766810000008</v>
      </c>
      <c r="AJ182" s="6">
        <v>0.30757143999999997</v>
      </c>
      <c r="AK182" s="6">
        <v>11.451188217</v>
      </c>
      <c r="AL182" s="6">
        <v>0.37613711599999999</v>
      </c>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row>
    <row r="183" spans="1:84" ht="16" x14ac:dyDescent="0.2">
      <c r="A183" s="4">
        <v>45834</v>
      </c>
      <c r="B183" s="19">
        <v>25177</v>
      </c>
      <c r="C183" s="5" t="s">
        <v>227</v>
      </c>
      <c r="D183" s="5">
        <v>1</v>
      </c>
      <c r="E183" s="53" t="s">
        <v>1232</v>
      </c>
      <c r="F183">
        <v>2.2000000000000002</v>
      </c>
      <c r="G183" s="5" t="s">
        <v>2</v>
      </c>
      <c r="H183" s="5" t="s">
        <v>3</v>
      </c>
      <c r="I183" s="5">
        <v>0.55000000000000004</v>
      </c>
      <c r="J183" s="5">
        <v>36.049999999999997</v>
      </c>
      <c r="K183" s="5">
        <v>8.9</v>
      </c>
      <c r="L183" s="5">
        <v>4.7</v>
      </c>
      <c r="M183" s="5" t="s">
        <v>4</v>
      </c>
      <c r="N183" s="15">
        <v>41.958311111100002</v>
      </c>
      <c r="O183" s="9" t="s">
        <v>924</v>
      </c>
      <c r="P183" s="6">
        <v>8.4543978000000006E-2</v>
      </c>
      <c r="Q183" s="6">
        <v>1.4748786E-2</v>
      </c>
      <c r="R183" s="6">
        <v>826</v>
      </c>
      <c r="S183" s="6">
        <v>1.568561E-3</v>
      </c>
      <c r="T183" s="6">
        <v>3.9999999979999998</v>
      </c>
      <c r="U183" s="6">
        <v>0.103208122</v>
      </c>
      <c r="V183" s="6">
        <v>1.5198039E-2</v>
      </c>
      <c r="W183" s="6">
        <v>8.4433499999999999E-4</v>
      </c>
      <c r="X183" s="6">
        <v>5.1914500000000004E-4</v>
      </c>
      <c r="Y183" s="6">
        <v>0.13304265600000001</v>
      </c>
      <c r="Z183" s="6">
        <v>2.4341791000000002E-2</v>
      </c>
      <c r="AA183" s="6">
        <v>7.1586739999999996E-2</v>
      </c>
      <c r="AB183" s="6">
        <v>1.2291609E-2</v>
      </c>
      <c r="AC183" s="6">
        <v>5.2558255999999998E-2</v>
      </c>
      <c r="AD183" s="6">
        <v>9.3243979999999994E-3</v>
      </c>
      <c r="AE183" s="6">
        <v>8.4543978000000006E-2</v>
      </c>
      <c r="AF183" s="6">
        <v>1.4748786E-2</v>
      </c>
      <c r="AG183" s="6">
        <v>8.7261940100000004</v>
      </c>
      <c r="AH183" s="6">
        <v>0.84692394500000001</v>
      </c>
      <c r="AI183" s="6">
        <v>-10.111203174</v>
      </c>
      <c r="AJ183" s="6">
        <v>0.76277533399999997</v>
      </c>
      <c r="AK183" s="6">
        <v>13.361835594</v>
      </c>
      <c r="AL183" s="6">
        <v>1.0691859850000001</v>
      </c>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row>
    <row r="184" spans="1:84" ht="16" x14ac:dyDescent="0.2">
      <c r="A184" s="4">
        <v>45834</v>
      </c>
      <c r="B184" s="19">
        <v>25177</v>
      </c>
      <c r="C184" s="5" t="s">
        <v>228</v>
      </c>
      <c r="D184" s="5">
        <v>2</v>
      </c>
      <c r="E184" s="53" t="s">
        <v>1233</v>
      </c>
      <c r="F184">
        <v>-17.399999999999999</v>
      </c>
      <c r="G184" s="5" t="s">
        <v>2</v>
      </c>
      <c r="H184" s="5" t="s">
        <v>3</v>
      </c>
      <c r="I184" s="5">
        <v>0.55000000000000004</v>
      </c>
      <c r="J184" s="5">
        <v>31.8</v>
      </c>
      <c r="K184" s="5">
        <v>7.8</v>
      </c>
      <c r="L184" s="5">
        <v>4.45</v>
      </c>
      <c r="M184" s="5" t="s">
        <v>9</v>
      </c>
      <c r="N184" s="15">
        <v>41.941086111099999</v>
      </c>
      <c r="O184" t="s">
        <v>925</v>
      </c>
      <c r="P184" s="6">
        <v>9.2664646000000003E-2</v>
      </c>
      <c r="Q184" s="6">
        <v>8.2088860000000003E-3</v>
      </c>
      <c r="R184" s="6">
        <v>801</v>
      </c>
      <c r="S184" s="6">
        <v>8.6066599999999995E-4</v>
      </c>
      <c r="T184" s="6">
        <v>11.313708483999999</v>
      </c>
      <c r="U184" s="6">
        <v>0.105972386</v>
      </c>
      <c r="V184" s="6">
        <v>8.1216090000000001E-3</v>
      </c>
      <c r="W184" s="6">
        <v>4.5120000000000002E-4</v>
      </c>
      <c r="X184" s="6">
        <v>3.5768699999999998E-4</v>
      </c>
      <c r="Y184" s="6">
        <v>0.136472488</v>
      </c>
      <c r="Z184" s="6">
        <v>1.1236163E-2</v>
      </c>
      <c r="AA184" s="6">
        <v>8.3393461000000002E-2</v>
      </c>
      <c r="AB184" s="6">
        <v>7.8146110000000008E-3</v>
      </c>
      <c r="AC184" s="6">
        <v>5.6393641000000001E-2</v>
      </c>
      <c r="AD184" s="6">
        <v>6.5824869999999997E-3</v>
      </c>
      <c r="AE184" s="6">
        <v>9.2664646000000003E-2</v>
      </c>
      <c r="AF184" s="6">
        <v>8.2088860000000003E-3</v>
      </c>
      <c r="AG184" s="6">
        <v>6.9835258040000001</v>
      </c>
      <c r="AH184" s="6">
        <v>0.52237502099999999</v>
      </c>
      <c r="AI184" s="6">
        <v>-10.468519468</v>
      </c>
      <c r="AJ184" s="6">
        <v>1.039784762</v>
      </c>
      <c r="AK184" s="6">
        <v>12.588249309</v>
      </c>
      <c r="AL184" s="6">
        <v>1.117769724</v>
      </c>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row>
    <row r="185" spans="1:84" ht="16" x14ac:dyDescent="0.2">
      <c r="A185" s="4">
        <v>45838</v>
      </c>
      <c r="B185" s="19">
        <v>25181</v>
      </c>
      <c r="C185" s="5" t="s">
        <v>269</v>
      </c>
      <c r="D185" s="5">
        <v>1</v>
      </c>
      <c r="E185" s="53" t="s">
        <v>1234</v>
      </c>
      <c r="F185">
        <v>1.1000000000000001</v>
      </c>
      <c r="G185" s="5" t="s">
        <v>2</v>
      </c>
      <c r="H185" s="5" t="s">
        <v>5</v>
      </c>
      <c r="I185" s="5">
        <v>0.4</v>
      </c>
      <c r="J185" s="5">
        <v>33</v>
      </c>
      <c r="K185" s="5">
        <v>8.4</v>
      </c>
      <c r="L185" s="5">
        <v>4.0999999999999996</v>
      </c>
      <c r="M185" s="5" t="s">
        <v>9</v>
      </c>
      <c r="N185" s="15">
        <v>42.298352777799998</v>
      </c>
      <c r="O185" t="s">
        <v>926</v>
      </c>
      <c r="P185" s="6">
        <v>8.1872043000000005E-2</v>
      </c>
      <c r="Q185" s="6">
        <v>2.3153788000000002E-2</v>
      </c>
      <c r="R185" s="6">
        <v>508</v>
      </c>
      <c r="S185" s="6">
        <v>2.4019610000000002E-3</v>
      </c>
      <c r="T185" s="6">
        <v>3.9999999979999998</v>
      </c>
      <c r="U185" s="6">
        <v>0.119011323</v>
      </c>
      <c r="V185" s="6">
        <v>2.0182625999999999E-2</v>
      </c>
      <c r="W185" s="6">
        <v>1.1212570000000001E-3</v>
      </c>
      <c r="X185" s="6">
        <v>9.4092199999999996E-4</v>
      </c>
      <c r="Y185" s="6">
        <v>0.11295113399999999</v>
      </c>
      <c r="Z185" s="6">
        <v>3.2255883999999999E-2</v>
      </c>
      <c r="AA185" s="6">
        <v>7.7421973000000005E-2</v>
      </c>
      <c r="AB185" s="6">
        <v>2.21148E-2</v>
      </c>
      <c r="AC185" s="6">
        <v>4.8440482999999999E-2</v>
      </c>
      <c r="AD185" s="6">
        <v>1.2972816999999999E-2</v>
      </c>
      <c r="AE185" s="6">
        <v>8.1872043000000005E-2</v>
      </c>
      <c r="AF185" s="6">
        <v>2.3153788000000002E-2</v>
      </c>
      <c r="AG185" s="6">
        <v>5.3610978879999998</v>
      </c>
      <c r="AH185" s="6">
        <v>0.45176850099999999</v>
      </c>
      <c r="AI185" s="6">
        <v>-10.681983260999999</v>
      </c>
      <c r="AJ185" s="6">
        <v>1.397732306</v>
      </c>
      <c r="AK185" s="6">
        <v>11.958041373</v>
      </c>
      <c r="AL185" s="6">
        <v>1.41733585</v>
      </c>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row>
    <row r="186" spans="1:84" ht="16" x14ac:dyDescent="0.2">
      <c r="A186" s="4">
        <v>45838</v>
      </c>
      <c r="B186" s="19">
        <v>25181</v>
      </c>
      <c r="C186" s="5" t="s">
        <v>269</v>
      </c>
      <c r="D186" s="5">
        <v>2</v>
      </c>
      <c r="E186" s="53" t="s">
        <v>1235</v>
      </c>
      <c r="F186">
        <v>31.3</v>
      </c>
      <c r="G186" s="5" t="s">
        <v>2</v>
      </c>
      <c r="H186" s="5" t="s">
        <v>6</v>
      </c>
      <c r="I186" s="5">
        <v>0.2</v>
      </c>
      <c r="J186" s="5">
        <v>24</v>
      </c>
      <c r="K186" s="5" t="s">
        <v>8</v>
      </c>
      <c r="L186" s="5" t="s">
        <v>8</v>
      </c>
      <c r="M186" s="5" t="s">
        <v>9</v>
      </c>
      <c r="N186" s="15">
        <v>42.298352777799998</v>
      </c>
      <c r="O186" t="s">
        <v>927</v>
      </c>
      <c r="P186" s="6">
        <v>1.8545872000000001E-2</v>
      </c>
      <c r="Q186" s="6">
        <v>7.1189169999999998E-3</v>
      </c>
      <c r="R186" s="6">
        <v>224</v>
      </c>
      <c r="S186" s="6">
        <v>8.6036299999999995E-4</v>
      </c>
      <c r="T186" s="6">
        <v>2.8284271240000001</v>
      </c>
      <c r="U186" s="6">
        <v>0.16339026000000001</v>
      </c>
      <c r="V186" s="6">
        <v>5.26569E-3</v>
      </c>
      <c r="W186" s="6">
        <v>2.9253800000000001E-4</v>
      </c>
      <c r="X186" s="6">
        <v>3.0518100000000002E-4</v>
      </c>
      <c r="Y186" s="6">
        <v>2.7975567E-2</v>
      </c>
      <c r="Z186" s="6">
        <v>1.1248602999999999E-2</v>
      </c>
      <c r="AA186" s="6">
        <v>1.6242903E-2</v>
      </c>
      <c r="AB186" s="6">
        <v>6.0562760000000002E-3</v>
      </c>
      <c r="AC186" s="6">
        <v>1.166911E-2</v>
      </c>
      <c r="AD186" s="6">
        <v>4.3270629999999999E-3</v>
      </c>
      <c r="AE186" s="6">
        <v>1.8545872000000001E-2</v>
      </c>
      <c r="AF186" s="6">
        <v>7.1189169999999998E-3</v>
      </c>
      <c r="AG186" s="6">
        <v>7.4518871349999998</v>
      </c>
      <c r="AH186" s="6">
        <v>0.74956604900000001</v>
      </c>
      <c r="AI186" s="6">
        <v>-9.6321022260000007</v>
      </c>
      <c r="AJ186" s="6">
        <v>0.93808951699999998</v>
      </c>
      <c r="AK186" s="6">
        <v>12.180696509000001</v>
      </c>
      <c r="AL186" s="6">
        <v>1.174833539</v>
      </c>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row>
    <row r="187" spans="1:84" ht="16" x14ac:dyDescent="0.2">
      <c r="A187" s="4">
        <v>45838</v>
      </c>
      <c r="B187" s="19">
        <v>25181</v>
      </c>
      <c r="C187" s="5" t="s">
        <v>269</v>
      </c>
      <c r="D187" s="28">
        <v>3</v>
      </c>
      <c r="E187" s="53" t="s">
        <v>1236</v>
      </c>
      <c r="F187">
        <v>31.3</v>
      </c>
      <c r="G187" s="5" t="s">
        <v>2</v>
      </c>
      <c r="H187" s="5" t="s">
        <v>3</v>
      </c>
      <c r="I187" s="5">
        <v>0.4</v>
      </c>
      <c r="J187" s="5">
        <v>29.5</v>
      </c>
      <c r="K187" s="5" t="s">
        <v>8</v>
      </c>
      <c r="L187" s="5" t="s">
        <v>8</v>
      </c>
      <c r="M187" s="5" t="s">
        <v>9</v>
      </c>
      <c r="N187" s="15">
        <v>42.298352777799998</v>
      </c>
      <c r="O187" t="s">
        <v>622</v>
      </c>
      <c r="P187" s="6">
        <v>7.2725647000000004E-2</v>
      </c>
      <c r="Q187" s="6">
        <v>1.9444610000000001E-2</v>
      </c>
      <c r="R187" s="6">
        <v>548</v>
      </c>
      <c r="S187" s="6">
        <v>1.9610399999999998E-3</v>
      </c>
      <c r="T187" s="6">
        <v>3.9999999979999998</v>
      </c>
      <c r="U187" s="6">
        <v>0.10256299200000001</v>
      </c>
      <c r="V187" s="6">
        <v>1.9120351000000001E-2</v>
      </c>
      <c r="W187" s="6">
        <v>1.0622419999999999E-3</v>
      </c>
      <c r="X187" s="6">
        <v>6.6063799999999996E-4</v>
      </c>
      <c r="Y187" s="6">
        <v>0.11827088600000001</v>
      </c>
      <c r="Z187" s="6">
        <v>3.2068643000000001E-2</v>
      </c>
      <c r="AA187" s="6">
        <v>6.1385546999999999E-2</v>
      </c>
      <c r="AB187" s="6">
        <v>1.6299214999999999E-2</v>
      </c>
      <c r="AC187" s="6">
        <v>3.8849528000000001E-2</v>
      </c>
      <c r="AD187" s="6">
        <v>1.0198433999999999E-2</v>
      </c>
      <c r="AE187" s="6">
        <v>7.2725647000000004E-2</v>
      </c>
      <c r="AF187" s="6">
        <v>1.9444610000000001E-2</v>
      </c>
      <c r="AG187" s="6">
        <v>9.2463597209999993</v>
      </c>
      <c r="AH187" s="6">
        <v>0.32816215799999998</v>
      </c>
      <c r="AI187" s="6">
        <v>-12.77519425</v>
      </c>
      <c r="AJ187" s="6">
        <v>0.57009362699999999</v>
      </c>
      <c r="AK187" s="6">
        <v>15.771647711</v>
      </c>
      <c r="AL187" s="6">
        <v>0.62329970099999998</v>
      </c>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row>
    <row r="188" spans="1:84" ht="16" x14ac:dyDescent="0.2">
      <c r="A188" s="4">
        <v>45838</v>
      </c>
      <c r="B188" s="19">
        <v>25181</v>
      </c>
      <c r="C188" s="5" t="s">
        <v>269</v>
      </c>
      <c r="D188" s="5">
        <v>4</v>
      </c>
      <c r="E188" s="53" t="s">
        <v>1237</v>
      </c>
      <c r="F188">
        <v>8.3000000000000007</v>
      </c>
      <c r="G188" s="5" t="s">
        <v>2</v>
      </c>
      <c r="H188" s="5" t="s">
        <v>6</v>
      </c>
      <c r="I188" s="5">
        <v>0.25</v>
      </c>
      <c r="J188" s="5">
        <v>22.9</v>
      </c>
      <c r="K188" s="5" t="s">
        <v>8</v>
      </c>
      <c r="L188" s="5" t="s">
        <v>8</v>
      </c>
      <c r="M188" s="5" t="s">
        <v>9</v>
      </c>
      <c r="N188" s="15">
        <v>42.298352777799998</v>
      </c>
      <c r="O188" t="s">
        <v>928</v>
      </c>
      <c r="P188" s="6">
        <v>4.3666383000000003E-2</v>
      </c>
      <c r="Q188" s="6">
        <v>1.0186712000000001E-2</v>
      </c>
      <c r="R188" s="6">
        <v>330</v>
      </c>
      <c r="S188" s="6">
        <v>1.2180349999999999E-3</v>
      </c>
      <c r="T188" s="6">
        <v>3.9999999979999998</v>
      </c>
      <c r="U188" s="6">
        <v>0.13477734599999999</v>
      </c>
      <c r="V188" s="6">
        <v>9.0373899999999993E-3</v>
      </c>
      <c r="W188" s="6">
        <v>5.0207699999999997E-4</v>
      </c>
      <c r="X188" s="6">
        <v>4.56284E-4</v>
      </c>
      <c r="Y188" s="6">
        <v>6.4121725000000004E-2</v>
      </c>
      <c r="Z188" s="6">
        <v>1.486444E-2</v>
      </c>
      <c r="AA188" s="6">
        <v>3.8534550000000001E-2</v>
      </c>
      <c r="AB188" s="6">
        <v>9.1556910000000005E-3</v>
      </c>
      <c r="AC188" s="6">
        <v>3.0410243E-2</v>
      </c>
      <c r="AD188" s="6">
        <v>6.7777360000000004E-3</v>
      </c>
      <c r="AE188" s="6">
        <v>4.3666383000000003E-2</v>
      </c>
      <c r="AF188" s="6">
        <v>1.0186712000000001E-2</v>
      </c>
      <c r="AG188" s="6">
        <v>7.2230579720000003</v>
      </c>
      <c r="AH188" s="6">
        <v>0.17569799799999999</v>
      </c>
      <c r="AI188" s="6">
        <v>-7.9933981359999997</v>
      </c>
      <c r="AJ188" s="6">
        <v>0.443022044</v>
      </c>
      <c r="AK188" s="6">
        <v>10.778301340000001</v>
      </c>
      <c r="AL188" s="6">
        <v>0.349316126</v>
      </c>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row>
    <row r="189" spans="1:84" ht="16" x14ac:dyDescent="0.2">
      <c r="A189" s="4">
        <v>45838</v>
      </c>
      <c r="B189" s="19">
        <v>25181</v>
      </c>
      <c r="C189" s="5" t="s">
        <v>269</v>
      </c>
      <c r="D189" s="28">
        <v>5</v>
      </c>
      <c r="E189" s="53" t="s">
        <v>1238</v>
      </c>
      <c r="F189">
        <v>4.9000000000000004</v>
      </c>
      <c r="G189" s="5" t="s">
        <v>2</v>
      </c>
      <c r="H189" s="5" t="s">
        <v>3</v>
      </c>
      <c r="I189" s="5">
        <v>0.7</v>
      </c>
      <c r="J189" s="5">
        <v>37.4</v>
      </c>
      <c r="K189" s="5">
        <v>9.25</v>
      </c>
      <c r="L189" s="5">
        <v>5.15</v>
      </c>
      <c r="M189" s="5" t="s">
        <v>4</v>
      </c>
      <c r="N189" s="15">
        <v>42.298352777799998</v>
      </c>
      <c r="O189" t="s">
        <v>623</v>
      </c>
      <c r="P189" s="6">
        <v>8.6752610999999993E-2</v>
      </c>
      <c r="Q189" s="6">
        <v>1.7570374E-2</v>
      </c>
      <c r="R189" s="6">
        <v>869</v>
      </c>
      <c r="S189" s="6">
        <v>1.8538649999999999E-3</v>
      </c>
      <c r="T189" s="6">
        <v>2.8284271240000001</v>
      </c>
      <c r="U189" s="6">
        <v>0.112660788</v>
      </c>
      <c r="V189" s="6">
        <v>1.6455280999999999E-2</v>
      </c>
      <c r="W189" s="6">
        <v>9.1418200000000004E-4</v>
      </c>
      <c r="X189" s="6">
        <v>6.7570800000000002E-4</v>
      </c>
      <c r="Y189" s="6">
        <v>0.13414517300000001</v>
      </c>
      <c r="Z189" s="6">
        <v>2.7815805999999998E-2</v>
      </c>
      <c r="AA189" s="6">
        <v>7.4947478999999997E-2</v>
      </c>
      <c r="AB189" s="6">
        <v>1.5132299E-2</v>
      </c>
      <c r="AC189" s="6">
        <v>5.3049534000000002E-2</v>
      </c>
      <c r="AD189" s="6">
        <v>1.0870657000000001E-2</v>
      </c>
      <c r="AE189" s="6">
        <v>8.6752610999999993E-2</v>
      </c>
      <c r="AF189" s="6">
        <v>1.7570374E-2</v>
      </c>
      <c r="AG189" s="6">
        <v>8.2241953060000004</v>
      </c>
      <c r="AH189" s="6">
        <v>0.49476177199999999</v>
      </c>
      <c r="AI189" s="6">
        <v>-10.402137078000001</v>
      </c>
      <c r="AJ189" s="6">
        <v>1.2583677120000001</v>
      </c>
      <c r="AK189" s="6">
        <v>13.268438873999999</v>
      </c>
      <c r="AL189" s="6">
        <v>1.2721678460000001</v>
      </c>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row>
    <row r="190" spans="1:84" ht="16" x14ac:dyDescent="0.2">
      <c r="A190" s="4">
        <v>45838</v>
      </c>
      <c r="B190" s="19">
        <v>25181</v>
      </c>
      <c r="C190" s="5" t="s">
        <v>269</v>
      </c>
      <c r="D190" s="5">
        <v>6</v>
      </c>
      <c r="E190" s="53" t="s">
        <v>1239</v>
      </c>
      <c r="F190">
        <v>-18.100000000000001</v>
      </c>
      <c r="G190" s="5" t="s">
        <v>2</v>
      </c>
      <c r="H190" s="5" t="s">
        <v>6</v>
      </c>
      <c r="I190" s="5">
        <v>0.2</v>
      </c>
      <c r="J190" s="5">
        <v>23.1</v>
      </c>
      <c r="K190" s="5" t="s">
        <v>8</v>
      </c>
      <c r="L190" s="5" t="s">
        <v>8</v>
      </c>
      <c r="M190" s="5" t="s">
        <v>9</v>
      </c>
      <c r="N190" s="15">
        <v>42.298352777799998</v>
      </c>
      <c r="O190" t="s">
        <v>929</v>
      </c>
      <c r="P190" s="6">
        <v>5.862846E-2</v>
      </c>
      <c r="Q190" s="6">
        <v>1.6683018000000001E-2</v>
      </c>
      <c r="R190" s="6">
        <v>378</v>
      </c>
      <c r="S190" s="6">
        <v>1.7772300000000001E-3</v>
      </c>
      <c r="T190" s="6">
        <v>3.9999999979999998</v>
      </c>
      <c r="U190" s="6">
        <v>0.12288242000000001</v>
      </c>
      <c r="V190" s="6">
        <v>1.4462852E-2</v>
      </c>
      <c r="W190" s="6">
        <v>8.0349200000000005E-4</v>
      </c>
      <c r="X190" s="6">
        <v>6.7221999999999996E-4</v>
      </c>
      <c r="Y190" s="6">
        <v>9.0359001999999994E-2</v>
      </c>
      <c r="Z190" s="6">
        <v>2.6000419E-2</v>
      </c>
      <c r="AA190" s="6">
        <v>5.0965610000000001E-2</v>
      </c>
      <c r="AB190" s="6">
        <v>1.4444603E-2</v>
      </c>
      <c r="AC190" s="6">
        <v>3.527214E-2</v>
      </c>
      <c r="AD190" s="6">
        <v>9.8728080000000003E-3</v>
      </c>
      <c r="AE190" s="6">
        <v>5.862846E-2</v>
      </c>
      <c r="AF190" s="6">
        <v>1.6683018000000001E-2</v>
      </c>
      <c r="AG190" s="6">
        <v>8.0865195809999992</v>
      </c>
      <c r="AH190" s="6">
        <v>0.29546345800000001</v>
      </c>
      <c r="AI190" s="6">
        <v>-10.670959838</v>
      </c>
      <c r="AJ190" s="6">
        <v>0.38827292099999999</v>
      </c>
      <c r="AK190" s="6">
        <v>13.394524052</v>
      </c>
      <c r="AL190" s="6">
        <v>0.29250403200000002</v>
      </c>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row>
    <row r="191" spans="1:84" ht="16" x14ac:dyDescent="0.2">
      <c r="A191" s="4">
        <v>45838</v>
      </c>
      <c r="B191" s="19">
        <v>25181</v>
      </c>
      <c r="C191" s="29" t="s">
        <v>269</v>
      </c>
      <c r="D191" s="5">
        <v>7</v>
      </c>
      <c r="E191" s="53" t="s">
        <v>1240</v>
      </c>
      <c r="G191" s="5" t="s">
        <v>2</v>
      </c>
      <c r="H191" s="5" t="s">
        <v>6</v>
      </c>
      <c r="I191" s="5">
        <v>0.1</v>
      </c>
      <c r="J191" s="5">
        <v>24</v>
      </c>
      <c r="K191" s="5" t="s">
        <v>8</v>
      </c>
      <c r="L191" s="5" t="s">
        <v>8</v>
      </c>
      <c r="M191" s="5" t="s">
        <v>9</v>
      </c>
      <c r="N191" s="15">
        <v>42.298352777799998</v>
      </c>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row>
    <row r="192" spans="1:84" ht="16" x14ac:dyDescent="0.2">
      <c r="A192" s="4">
        <v>45838</v>
      </c>
      <c r="B192" s="19">
        <v>25181</v>
      </c>
      <c r="C192" s="5" t="s">
        <v>269</v>
      </c>
      <c r="D192" s="28">
        <v>8</v>
      </c>
      <c r="E192" s="53" t="s">
        <v>1241</v>
      </c>
      <c r="F192">
        <v>10.9</v>
      </c>
      <c r="G192" s="5" t="s">
        <v>2</v>
      </c>
      <c r="H192" s="5" t="s">
        <v>3</v>
      </c>
      <c r="I192" s="5">
        <v>0.45</v>
      </c>
      <c r="J192" s="5">
        <v>36</v>
      </c>
      <c r="K192" s="5">
        <v>9.15</v>
      </c>
      <c r="L192" s="5">
        <v>5.2</v>
      </c>
      <c r="M192" s="5" t="s">
        <v>4</v>
      </c>
      <c r="N192" s="15">
        <v>42.298352777799998</v>
      </c>
      <c r="O192" t="s">
        <v>624</v>
      </c>
      <c r="P192" s="6">
        <v>5.9978722999999998E-2</v>
      </c>
      <c r="Q192" s="6">
        <v>1.0306259999999999E-2</v>
      </c>
      <c r="R192" s="6">
        <v>777</v>
      </c>
      <c r="S192" s="6">
        <v>1.1396170000000001E-3</v>
      </c>
      <c r="T192" s="6">
        <v>5.6568542449999999</v>
      </c>
      <c r="U192" s="6">
        <v>0.11130143000000001</v>
      </c>
      <c r="V192" s="6">
        <v>1.0239013999999999E-2</v>
      </c>
      <c r="W192" s="6">
        <v>5.6883400000000005E-4</v>
      </c>
      <c r="X192" s="6">
        <v>4.3409299999999998E-4</v>
      </c>
      <c r="Y192" s="6">
        <v>8.5511534E-2</v>
      </c>
      <c r="Z192" s="6">
        <v>1.5158342999999999E-2</v>
      </c>
      <c r="AA192" s="6">
        <v>5.4629883999999997E-2</v>
      </c>
      <c r="AB192" s="6">
        <v>9.4901510000000005E-3</v>
      </c>
      <c r="AC192" s="6">
        <v>4.1502542000000003E-2</v>
      </c>
      <c r="AD192" s="6">
        <v>8.1151790000000001E-3</v>
      </c>
      <c r="AE192" s="6">
        <v>5.9978722999999998E-2</v>
      </c>
      <c r="AF192" s="6">
        <v>1.0306259999999999E-2</v>
      </c>
      <c r="AG192" s="6">
        <v>6.3300432989999997</v>
      </c>
      <c r="AH192" s="6">
        <v>0.96550053599999996</v>
      </c>
      <c r="AI192" s="6">
        <v>-8.2273587240000001</v>
      </c>
      <c r="AJ192" s="6">
        <v>1.8649437630000001</v>
      </c>
      <c r="AK192" s="6">
        <v>10.388871697000001</v>
      </c>
      <c r="AL192" s="6">
        <v>2.0591777119999999</v>
      </c>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row>
    <row r="193" spans="1:84" ht="16" x14ac:dyDescent="0.2">
      <c r="A193" s="4">
        <v>45838</v>
      </c>
      <c r="B193" s="19">
        <v>25181</v>
      </c>
      <c r="C193" s="5" t="s">
        <v>269</v>
      </c>
      <c r="D193" s="5">
        <v>9</v>
      </c>
      <c r="E193" s="53" t="s">
        <v>1242</v>
      </c>
      <c r="F193">
        <v>-5.3</v>
      </c>
      <c r="G193" s="5" t="s">
        <v>2</v>
      </c>
      <c r="H193" s="5" t="s">
        <v>5</v>
      </c>
      <c r="I193" s="5">
        <v>1.2</v>
      </c>
      <c r="J193" s="5">
        <v>41.7</v>
      </c>
      <c r="K193" s="5">
        <v>9.5500000000000007</v>
      </c>
      <c r="L193" s="5">
        <v>5.6</v>
      </c>
      <c r="M193" s="5" t="s">
        <v>4</v>
      </c>
      <c r="N193" s="15">
        <v>42.298352777799998</v>
      </c>
      <c r="O193" t="s">
        <v>930</v>
      </c>
      <c r="P193" s="6">
        <v>7.6135172000000001E-2</v>
      </c>
      <c r="Q193" s="6">
        <v>8.2926670000000001E-3</v>
      </c>
      <c r="R193" s="6">
        <v>1286</v>
      </c>
      <c r="S193" s="6">
        <v>9.9188399999999995E-4</v>
      </c>
      <c r="T193" s="6">
        <v>5.6568542449999999</v>
      </c>
      <c r="U193" s="6">
        <v>0.107871017</v>
      </c>
      <c r="V193" s="6">
        <v>9.1950969999999993E-3</v>
      </c>
      <c r="W193" s="6">
        <v>5.1083900000000002E-4</v>
      </c>
      <c r="X193" s="6">
        <v>3.3058399999999998E-4</v>
      </c>
      <c r="Y193" s="6">
        <v>0.107799096</v>
      </c>
      <c r="Z193" s="6">
        <v>1.4351965E-2</v>
      </c>
      <c r="AA193" s="6">
        <v>6.9047981999999994E-2</v>
      </c>
      <c r="AB193" s="6">
        <v>6.6787119999999998E-3</v>
      </c>
      <c r="AC193" s="6">
        <v>5.4142561999999998E-2</v>
      </c>
      <c r="AD193" s="6">
        <v>5.9847390000000002E-3</v>
      </c>
      <c r="AE193" s="6">
        <v>7.6135172000000001E-2</v>
      </c>
      <c r="AF193" s="6">
        <v>8.2926670000000001E-3</v>
      </c>
      <c r="AG193" s="6">
        <v>6.2455242289999999</v>
      </c>
      <c r="AH193" s="6">
        <v>0.82913107500000005</v>
      </c>
      <c r="AI193" s="6">
        <v>-7.6100043900000003</v>
      </c>
      <c r="AJ193" s="6">
        <v>0.90703325300000004</v>
      </c>
      <c r="AK193" s="6">
        <v>9.8549233879999996</v>
      </c>
      <c r="AL193" s="6">
        <v>1.144218446</v>
      </c>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row>
    <row r="194" spans="1:84" ht="16" x14ac:dyDescent="0.2">
      <c r="A194" s="4">
        <v>45838</v>
      </c>
      <c r="B194" s="19">
        <v>25181</v>
      </c>
      <c r="C194" s="5" t="s">
        <v>269</v>
      </c>
      <c r="D194" s="5">
        <v>10</v>
      </c>
      <c r="E194" s="53" t="s">
        <v>1243</v>
      </c>
      <c r="F194">
        <v>-14.5</v>
      </c>
      <c r="G194" s="5" t="s">
        <v>2</v>
      </c>
      <c r="H194" s="5" t="s">
        <v>3</v>
      </c>
      <c r="I194" s="5">
        <v>0.35</v>
      </c>
      <c r="J194" s="5">
        <v>28.5</v>
      </c>
      <c r="K194" s="5" t="s">
        <v>8</v>
      </c>
      <c r="L194" s="5" t="s">
        <v>8</v>
      </c>
      <c r="M194" s="5" t="s">
        <v>9</v>
      </c>
      <c r="N194" s="15">
        <v>42.298352777799998</v>
      </c>
      <c r="O194" t="s">
        <v>931</v>
      </c>
      <c r="P194" s="6">
        <v>6.5611465999999993E-2</v>
      </c>
      <c r="Q194" s="6">
        <v>1.8798796E-2</v>
      </c>
      <c r="R194" s="6">
        <v>538</v>
      </c>
      <c r="S194" s="6">
        <v>1.8065150000000001E-3</v>
      </c>
      <c r="T194" s="6">
        <v>2.8284271240000001</v>
      </c>
      <c r="U194" s="6">
        <v>0.107761199</v>
      </c>
      <c r="V194" s="6">
        <v>1.6764059000000001E-2</v>
      </c>
      <c r="W194" s="6">
        <v>9.3133699999999996E-4</v>
      </c>
      <c r="X194" s="6">
        <v>6.73655E-4</v>
      </c>
      <c r="Y194" s="6">
        <v>0.11010213000000001</v>
      </c>
      <c r="Z194" s="6">
        <v>3.1258765000000001E-2</v>
      </c>
      <c r="AA194" s="6">
        <v>5.3865257999999999E-2</v>
      </c>
      <c r="AB194" s="6">
        <v>1.5549821E-2</v>
      </c>
      <c r="AC194" s="6">
        <v>3.5309106999999999E-2</v>
      </c>
      <c r="AD194" s="6">
        <v>1.0542213999999999E-2</v>
      </c>
      <c r="AE194" s="6">
        <v>6.5611465999999993E-2</v>
      </c>
      <c r="AF194" s="6">
        <v>1.8798796E-2</v>
      </c>
      <c r="AG194" s="6">
        <v>10.139494267</v>
      </c>
      <c r="AH194" s="6">
        <v>0.31874893399999998</v>
      </c>
      <c r="AI194" s="6">
        <v>-12.82629332</v>
      </c>
      <c r="AJ194" s="6">
        <v>0.94662313499999995</v>
      </c>
      <c r="AK194" s="6">
        <v>16.359966255</v>
      </c>
      <c r="AL194" s="6">
        <v>0.81959568500000002</v>
      </c>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row>
    <row r="195" spans="1:84" ht="16" x14ac:dyDescent="0.2">
      <c r="A195" s="4">
        <v>45838</v>
      </c>
      <c r="B195" s="19">
        <v>25181</v>
      </c>
      <c r="C195" s="5" t="s">
        <v>269</v>
      </c>
      <c r="D195" s="5">
        <v>11</v>
      </c>
      <c r="E195" s="53" t="s">
        <v>1244</v>
      </c>
      <c r="F195">
        <v>21.4</v>
      </c>
      <c r="G195" s="5" t="s">
        <v>2</v>
      </c>
      <c r="H195" s="5" t="s">
        <v>6</v>
      </c>
      <c r="I195" s="5">
        <v>0.25</v>
      </c>
      <c r="J195" s="5">
        <v>27.4</v>
      </c>
      <c r="K195" s="5" t="s">
        <v>8</v>
      </c>
      <c r="L195" s="5" t="s">
        <v>8</v>
      </c>
      <c r="M195" s="5" t="s">
        <v>9</v>
      </c>
      <c r="N195" s="15">
        <v>42.298352777799998</v>
      </c>
      <c r="O195" t="s">
        <v>932</v>
      </c>
      <c r="P195" s="6">
        <v>6.4409276000000001E-2</v>
      </c>
      <c r="Q195" s="6">
        <v>1.1993442999999999E-2</v>
      </c>
      <c r="R195" s="6">
        <v>512</v>
      </c>
      <c r="S195" s="6">
        <v>1.3576319999999999E-3</v>
      </c>
      <c r="T195" s="6">
        <v>3.9999999979999998</v>
      </c>
      <c r="U195" s="6">
        <v>0.12520141400000001</v>
      </c>
      <c r="V195" s="6">
        <v>1.0843584E-2</v>
      </c>
      <c r="W195" s="6">
        <v>6.0242100000000001E-4</v>
      </c>
      <c r="X195" s="6">
        <v>4.9812999999999995E-4</v>
      </c>
      <c r="Y195" s="6">
        <v>0.100183351</v>
      </c>
      <c r="Z195" s="6">
        <v>1.9661538999999999E-2</v>
      </c>
      <c r="AA195" s="6">
        <v>5.5592425000000001E-2</v>
      </c>
      <c r="AB195" s="6">
        <v>9.9483269999999999E-3</v>
      </c>
      <c r="AC195" s="6">
        <v>3.9119047999999997E-2</v>
      </c>
      <c r="AD195" s="6">
        <v>7.0342499999999997E-3</v>
      </c>
      <c r="AE195" s="6">
        <v>6.4409276000000001E-2</v>
      </c>
      <c r="AF195" s="6">
        <v>1.1993442999999999E-2</v>
      </c>
      <c r="AG195" s="6">
        <v>8.277486133</v>
      </c>
      <c r="AH195" s="6">
        <v>0.43071035499999999</v>
      </c>
      <c r="AI195" s="6">
        <v>-10.523845554999999</v>
      </c>
      <c r="AJ195" s="6">
        <v>0.32955187200000002</v>
      </c>
      <c r="AK195" s="6">
        <v>13.391790166</v>
      </c>
      <c r="AL195" s="6">
        <v>0.471204071</v>
      </c>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row>
    <row r="196" spans="1:84" ht="16" x14ac:dyDescent="0.2">
      <c r="A196" s="4">
        <v>45838</v>
      </c>
      <c r="B196" s="19">
        <v>25181</v>
      </c>
      <c r="C196" s="5" t="s">
        <v>269</v>
      </c>
      <c r="D196" s="5">
        <v>12</v>
      </c>
      <c r="E196" s="53" t="s">
        <v>1245</v>
      </c>
      <c r="F196">
        <v>-3</v>
      </c>
      <c r="G196" s="5" t="s">
        <v>2</v>
      </c>
      <c r="H196" s="5" t="s">
        <v>3</v>
      </c>
      <c r="I196" s="5">
        <v>0.8</v>
      </c>
      <c r="J196" s="5">
        <v>36.049999999999997</v>
      </c>
      <c r="K196" s="5">
        <v>8.9499999999999993</v>
      </c>
      <c r="L196" s="5">
        <v>5</v>
      </c>
      <c r="M196" s="5" t="s">
        <v>4</v>
      </c>
      <c r="N196" s="15">
        <v>42.298352777799998</v>
      </c>
      <c r="O196" t="s">
        <v>933</v>
      </c>
      <c r="P196" s="6">
        <v>9.6609518000000005E-2</v>
      </c>
      <c r="Q196" s="6">
        <v>1.4223128E-2</v>
      </c>
      <c r="R196" s="6">
        <v>906</v>
      </c>
      <c r="S196" s="6">
        <v>1.5407789999999999E-3</v>
      </c>
      <c r="T196" s="6">
        <v>3.9999999979999998</v>
      </c>
      <c r="U196" s="6">
        <v>0.111504204</v>
      </c>
      <c r="V196" s="6">
        <v>1.3818120999999999E-2</v>
      </c>
      <c r="W196" s="6">
        <v>7.6767299999999997E-4</v>
      </c>
      <c r="X196" s="6">
        <v>5.3702800000000005E-4</v>
      </c>
      <c r="Y196" s="6">
        <v>0.14422064400000001</v>
      </c>
      <c r="Z196" s="6">
        <v>2.2488319E-2</v>
      </c>
      <c r="AA196" s="6">
        <v>8.5606053000000001E-2</v>
      </c>
      <c r="AB196" s="6">
        <v>1.2297443999999999E-2</v>
      </c>
      <c r="AC196" s="6">
        <v>5.9825631999999997E-2</v>
      </c>
      <c r="AD196" s="6">
        <v>9.0512160000000008E-3</v>
      </c>
      <c r="AE196" s="6">
        <v>9.6609518000000005E-2</v>
      </c>
      <c r="AF196" s="6">
        <v>1.4223128E-2</v>
      </c>
      <c r="AG196" s="6">
        <v>7.3399616449999998</v>
      </c>
      <c r="AH196" s="6">
        <v>0.62285764700000001</v>
      </c>
      <c r="AI196" s="6">
        <v>-10.119267467</v>
      </c>
      <c r="AJ196" s="6">
        <v>1.043078892</v>
      </c>
      <c r="AK196" s="6">
        <v>12.503792111999999</v>
      </c>
      <c r="AL196" s="6">
        <v>1.185614411</v>
      </c>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row>
    <row r="197" spans="1:84" ht="16" x14ac:dyDescent="0.2">
      <c r="A197" s="4">
        <v>45838</v>
      </c>
      <c r="B197" s="19">
        <v>25181</v>
      </c>
      <c r="C197" s="5" t="s">
        <v>269</v>
      </c>
      <c r="D197" s="5">
        <v>13</v>
      </c>
      <c r="E197" s="53" t="s">
        <v>1246</v>
      </c>
      <c r="F197">
        <v>39.799999999999997</v>
      </c>
      <c r="G197" s="5" t="s">
        <v>2</v>
      </c>
      <c r="H197" s="5" t="s">
        <v>6</v>
      </c>
      <c r="I197" s="5">
        <v>0.2</v>
      </c>
      <c r="J197" s="5">
        <v>23.6</v>
      </c>
      <c r="K197" s="5" t="s">
        <v>8</v>
      </c>
      <c r="L197" s="5" t="s">
        <v>8</v>
      </c>
      <c r="M197" s="5" t="s">
        <v>9</v>
      </c>
      <c r="N197" s="15">
        <v>42.298352777799998</v>
      </c>
      <c r="O197" s="49" t="s">
        <v>934</v>
      </c>
      <c r="P197" s="6">
        <v>5.7249070999999999E-2</v>
      </c>
      <c r="Q197" s="6">
        <v>1.4773150000000001E-2</v>
      </c>
      <c r="R197" s="6">
        <v>423</v>
      </c>
      <c r="S197" s="6">
        <v>1.624704E-3</v>
      </c>
      <c r="T197" s="6">
        <v>3.9999999979999998</v>
      </c>
      <c r="U197" s="6">
        <v>0.116978376</v>
      </c>
      <c r="V197" s="6">
        <v>1.3888922999999999E-2</v>
      </c>
      <c r="W197" s="6">
        <v>7.71607E-4</v>
      </c>
      <c r="X197" s="6">
        <v>6.1381100000000002E-4</v>
      </c>
      <c r="Y197" s="6">
        <v>9.1967067E-2</v>
      </c>
      <c r="Z197" s="6">
        <v>2.4175292000000001E-2</v>
      </c>
      <c r="AA197" s="6">
        <v>4.7762692000000002E-2</v>
      </c>
      <c r="AB197" s="6">
        <v>1.2129221000000001E-2</v>
      </c>
      <c r="AC197" s="6">
        <v>3.4744601999999999E-2</v>
      </c>
      <c r="AD197" s="6">
        <v>8.900659E-3</v>
      </c>
      <c r="AE197" s="6">
        <v>5.7249070999999999E-2</v>
      </c>
      <c r="AF197" s="6">
        <v>1.4773150000000001E-2</v>
      </c>
      <c r="AG197" s="6">
        <v>9.210418915</v>
      </c>
      <c r="AH197" s="6">
        <v>0.32656016799999998</v>
      </c>
      <c r="AI197" s="6">
        <v>-10.535850081</v>
      </c>
      <c r="AJ197" s="6">
        <v>0.34731621200000001</v>
      </c>
      <c r="AK197" s="6">
        <v>13.997515700999999</v>
      </c>
      <c r="AL197" s="6">
        <v>0.364080344</v>
      </c>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row>
    <row r="198" spans="1:84" ht="16" x14ac:dyDescent="0.2">
      <c r="A198" s="4">
        <v>45838</v>
      </c>
      <c r="B198" s="19">
        <v>25181</v>
      </c>
      <c r="C198" s="5" t="s">
        <v>269</v>
      </c>
      <c r="D198" s="5">
        <v>14</v>
      </c>
      <c r="E198" s="53" t="s">
        <v>1247</v>
      </c>
      <c r="F198">
        <v>36.4</v>
      </c>
      <c r="G198" s="5" t="s">
        <v>233</v>
      </c>
      <c r="H198" s="5" t="s">
        <v>6</v>
      </c>
      <c r="I198" s="5">
        <v>0.15</v>
      </c>
      <c r="J198" s="5">
        <v>21.05</v>
      </c>
      <c r="K198" s="5" t="s">
        <v>8</v>
      </c>
      <c r="L198" s="5" t="s">
        <v>8</v>
      </c>
      <c r="M198" s="5" t="s">
        <v>9</v>
      </c>
      <c r="N198" s="15">
        <v>42.298352777799998</v>
      </c>
      <c r="O198" t="s">
        <v>935</v>
      </c>
      <c r="P198" s="6">
        <v>6.3582814000000001E-2</v>
      </c>
      <c r="Q198" s="6">
        <v>1.8060939000000002E-2</v>
      </c>
      <c r="R198" s="6">
        <v>313</v>
      </c>
      <c r="S198" s="6">
        <v>1.990253E-3</v>
      </c>
      <c r="T198" s="6">
        <v>7.9999999920000002</v>
      </c>
      <c r="U198" s="6">
        <v>0.118579379</v>
      </c>
      <c r="V198" s="6">
        <v>1.6784144000000001E-2</v>
      </c>
      <c r="W198" s="6">
        <v>9.3245199999999996E-4</v>
      </c>
      <c r="X198" s="6">
        <v>7.6208199999999997E-4</v>
      </c>
      <c r="Y198" s="6">
        <v>7.4663467999999997E-2</v>
      </c>
      <c r="Z198" s="6">
        <v>2.0636811000000001E-2</v>
      </c>
      <c r="AA198" s="6">
        <v>6.3656669999999999E-2</v>
      </c>
      <c r="AB198" s="6">
        <v>1.8235383000000001E-2</v>
      </c>
      <c r="AC198" s="6">
        <v>4.7291092E-2</v>
      </c>
      <c r="AD198" s="6">
        <v>1.4083406E-2</v>
      </c>
      <c r="AE198" s="6">
        <v>6.3582814000000001E-2</v>
      </c>
      <c r="AF198" s="6">
        <v>1.8060939000000002E-2</v>
      </c>
      <c r="AG198" s="6">
        <v>2.3263537699999999</v>
      </c>
      <c r="AH198" s="6">
        <v>0.50562260999999997</v>
      </c>
      <c r="AI198" s="6">
        <v>-6.2644634259999998</v>
      </c>
      <c r="AJ198" s="6">
        <v>0.50958481300000003</v>
      </c>
      <c r="AK198" s="6">
        <v>6.690389776</v>
      </c>
      <c r="AL198" s="6">
        <v>0.63960925000000002</v>
      </c>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row>
    <row r="199" spans="1:84" ht="16" x14ac:dyDescent="0.2">
      <c r="A199" s="4">
        <v>45838</v>
      </c>
      <c r="B199" s="19">
        <v>25181</v>
      </c>
      <c r="C199" s="5" t="s">
        <v>269</v>
      </c>
      <c r="D199" s="5">
        <v>15</v>
      </c>
      <c r="E199" s="53" t="s">
        <v>1248</v>
      </c>
      <c r="F199">
        <v>4.0999999999999996</v>
      </c>
      <c r="G199" s="5" t="s">
        <v>2</v>
      </c>
      <c r="H199" s="5" t="s">
        <v>6</v>
      </c>
      <c r="I199" s="5">
        <v>0.25</v>
      </c>
      <c r="J199" s="5">
        <v>27.35</v>
      </c>
      <c r="K199" s="5" t="s">
        <v>8</v>
      </c>
      <c r="L199" s="5" t="s">
        <v>8</v>
      </c>
      <c r="M199" s="5" t="s">
        <v>9</v>
      </c>
      <c r="N199" s="15">
        <v>42.298352777799998</v>
      </c>
      <c r="O199" t="s">
        <v>936</v>
      </c>
      <c r="P199" s="6">
        <v>6.5981998E-2</v>
      </c>
      <c r="Q199" s="6">
        <v>9.8903940000000003E-3</v>
      </c>
      <c r="R199" s="6">
        <v>513</v>
      </c>
      <c r="S199" s="6">
        <v>9.991589999999999E-4</v>
      </c>
      <c r="T199" s="6">
        <v>3.9999999979999998</v>
      </c>
      <c r="U199" s="6">
        <v>0.112134557</v>
      </c>
      <c r="V199" s="6">
        <v>8.9103540000000005E-3</v>
      </c>
      <c r="W199" s="6">
        <v>4.9501999999999999E-4</v>
      </c>
      <c r="X199" s="6">
        <v>4.2280200000000001E-4</v>
      </c>
      <c r="Y199" s="6">
        <v>0.102526615</v>
      </c>
      <c r="Z199" s="6">
        <v>1.5291957E-2</v>
      </c>
      <c r="AA199" s="6">
        <v>5.6712402000000002E-2</v>
      </c>
      <c r="AB199" s="6">
        <v>8.7101829999999998E-3</v>
      </c>
      <c r="AC199" s="6">
        <v>4.1763106000000001E-2</v>
      </c>
      <c r="AD199" s="6">
        <v>5.9912780000000001E-3</v>
      </c>
      <c r="AE199" s="6">
        <v>6.5981998E-2</v>
      </c>
      <c r="AF199" s="6">
        <v>9.8903940000000003E-3</v>
      </c>
      <c r="AG199" s="6">
        <v>8.3890528149999994</v>
      </c>
      <c r="AH199" s="6">
        <v>0.31755434700000001</v>
      </c>
      <c r="AI199" s="6">
        <v>-9.8143255000000007</v>
      </c>
      <c r="AJ199" s="6">
        <v>0.64153713300000004</v>
      </c>
      <c r="AK199" s="6">
        <v>12.914445925000001</v>
      </c>
      <c r="AL199" s="6">
        <v>0.65308657699999995</v>
      </c>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row>
    <row r="200" spans="1:84" ht="16" x14ac:dyDescent="0.2">
      <c r="A200" s="4">
        <v>45838</v>
      </c>
      <c r="B200" s="19">
        <v>25181</v>
      </c>
      <c r="C200" s="5" t="s">
        <v>269</v>
      </c>
      <c r="D200" s="5">
        <v>16</v>
      </c>
      <c r="E200" s="53" t="s">
        <v>1249</v>
      </c>
      <c r="F200">
        <v>10.3</v>
      </c>
      <c r="G200" s="5" t="s">
        <v>2</v>
      </c>
      <c r="H200" s="5" t="s">
        <v>5</v>
      </c>
      <c r="I200" s="5">
        <v>0.65</v>
      </c>
      <c r="J200" s="5">
        <v>35.85</v>
      </c>
      <c r="K200" s="5">
        <v>8.9</v>
      </c>
      <c r="L200" s="5">
        <v>4.8499999999999996</v>
      </c>
      <c r="M200" s="5" t="s">
        <v>4</v>
      </c>
      <c r="N200" s="15">
        <v>42.298352777799998</v>
      </c>
      <c r="O200" t="s">
        <v>937</v>
      </c>
      <c r="P200" s="6">
        <v>9.4786182999999996E-2</v>
      </c>
      <c r="Q200" s="6">
        <v>1.7387333000000001E-2</v>
      </c>
      <c r="R200" s="6">
        <v>865</v>
      </c>
      <c r="S200" s="6">
        <v>2.0824329999999999E-3</v>
      </c>
      <c r="T200" s="6">
        <v>3.9999999979999998</v>
      </c>
      <c r="U200" s="6">
        <v>0.126601507</v>
      </c>
      <c r="V200" s="6">
        <v>1.6448721999999999E-2</v>
      </c>
      <c r="W200" s="6">
        <v>9.1381800000000005E-4</v>
      </c>
      <c r="X200" s="6">
        <v>6.8880199999999997E-4</v>
      </c>
      <c r="Y200" s="6">
        <v>0.14795250099999999</v>
      </c>
      <c r="Z200" s="6">
        <v>2.8134383999999998E-2</v>
      </c>
      <c r="AA200" s="6">
        <v>8.1381407000000003E-2</v>
      </c>
      <c r="AB200" s="6">
        <v>1.4571465E-2</v>
      </c>
      <c r="AC200" s="6">
        <v>5.6529765000000003E-2</v>
      </c>
      <c r="AD200" s="6">
        <v>1.0577731E-2</v>
      </c>
      <c r="AE200" s="6">
        <v>9.4786182999999996E-2</v>
      </c>
      <c r="AF200" s="6">
        <v>1.7387333000000001E-2</v>
      </c>
      <c r="AG200" s="6">
        <v>8.411799019</v>
      </c>
      <c r="AH200" s="6">
        <v>0.57038228499999999</v>
      </c>
      <c r="AI200" s="6">
        <v>-10.844233966999999</v>
      </c>
      <c r="AJ200" s="6">
        <v>0.30894390100000002</v>
      </c>
      <c r="AK200" s="6">
        <v>13.728817824</v>
      </c>
      <c r="AL200" s="6">
        <v>0.54403323100000001</v>
      </c>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row>
    <row r="201" spans="1:84" ht="16" x14ac:dyDescent="0.2">
      <c r="A201" s="4">
        <v>45838</v>
      </c>
      <c r="B201" s="19">
        <v>25181</v>
      </c>
      <c r="C201" s="5" t="s">
        <v>269</v>
      </c>
      <c r="D201" s="5">
        <v>17</v>
      </c>
      <c r="E201" s="53" t="s">
        <v>1250</v>
      </c>
      <c r="F201">
        <v>25.3</v>
      </c>
      <c r="G201" s="5" t="s">
        <v>2</v>
      </c>
      <c r="H201" s="5" t="s">
        <v>3</v>
      </c>
      <c r="I201" s="5">
        <v>0.65</v>
      </c>
      <c r="J201" s="5">
        <v>31.8</v>
      </c>
      <c r="K201" s="5">
        <v>8.8000000000000007</v>
      </c>
      <c r="L201" s="5">
        <v>4.9000000000000004</v>
      </c>
      <c r="M201" s="5" t="s">
        <v>4</v>
      </c>
      <c r="N201" s="15">
        <v>42.298352777799998</v>
      </c>
      <c r="O201" s="9" t="s">
        <v>938</v>
      </c>
      <c r="P201" s="6">
        <v>7.9410633999999994E-2</v>
      </c>
      <c r="Q201" s="6">
        <v>1.3000783E-2</v>
      </c>
      <c r="R201" s="6">
        <v>766</v>
      </c>
      <c r="S201" s="6">
        <v>1.4478360000000001E-3</v>
      </c>
      <c r="T201" s="6">
        <v>3.9999999979999998</v>
      </c>
      <c r="U201" s="6">
        <v>0.10792185899999999</v>
      </c>
      <c r="V201" s="6">
        <v>1.3415596E-2</v>
      </c>
      <c r="W201" s="6">
        <v>7.4531100000000002E-4</v>
      </c>
      <c r="X201" s="6">
        <v>4.7302999999999999E-4</v>
      </c>
      <c r="Y201" s="6">
        <v>0.123570607</v>
      </c>
      <c r="Z201" s="6">
        <v>2.1184991E-2</v>
      </c>
      <c r="AA201" s="6">
        <v>6.7893535000000005E-2</v>
      </c>
      <c r="AB201" s="6">
        <v>1.0660571000000001E-2</v>
      </c>
      <c r="AC201" s="6">
        <v>5.0467739999999997E-2</v>
      </c>
      <c r="AD201" s="6">
        <v>9.0157669999999992E-3</v>
      </c>
      <c r="AE201" s="6">
        <v>7.9410633999999994E-2</v>
      </c>
      <c r="AF201" s="6">
        <v>1.3000783E-2</v>
      </c>
      <c r="AG201" s="6">
        <v>8.4294863099999997</v>
      </c>
      <c r="AH201" s="6">
        <v>0.73625634699999998</v>
      </c>
      <c r="AI201" s="6">
        <v>-9.8005080650000007</v>
      </c>
      <c r="AJ201" s="6">
        <v>0.57759280599999996</v>
      </c>
      <c r="AK201" s="6">
        <v>12.948360961000001</v>
      </c>
      <c r="AL201" s="6">
        <v>0.56666430700000003</v>
      </c>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row>
    <row r="202" spans="1:84" ht="16" x14ac:dyDescent="0.2">
      <c r="A202" s="4">
        <v>45838</v>
      </c>
      <c r="B202" s="19">
        <v>25181</v>
      </c>
      <c r="C202" s="5" t="s">
        <v>269</v>
      </c>
      <c r="D202" s="5">
        <v>18</v>
      </c>
      <c r="E202" s="53" t="s">
        <v>1251</v>
      </c>
      <c r="F202">
        <v>3.3</v>
      </c>
      <c r="G202" s="5" t="s">
        <v>2</v>
      </c>
      <c r="H202" s="5" t="s">
        <v>3</v>
      </c>
      <c r="I202" s="5">
        <v>0.5</v>
      </c>
      <c r="J202" s="5">
        <v>30.8</v>
      </c>
      <c r="K202" s="5">
        <v>8.1999999999999993</v>
      </c>
      <c r="L202" s="5">
        <v>4.7</v>
      </c>
      <c r="M202" s="5" t="s">
        <v>9</v>
      </c>
      <c r="N202" s="15">
        <v>42.298352777799998</v>
      </c>
      <c r="O202" s="6" t="s">
        <v>939</v>
      </c>
      <c r="P202" s="6">
        <v>6.5040698999999993E-2</v>
      </c>
      <c r="Q202" s="6">
        <v>1.1978292E-2</v>
      </c>
      <c r="R202" s="6">
        <v>624</v>
      </c>
      <c r="S202" s="6">
        <v>1.2174169999999999E-3</v>
      </c>
      <c r="T202" s="6">
        <v>3.9999999979999998</v>
      </c>
      <c r="U202" s="6">
        <v>0.118324732</v>
      </c>
      <c r="V202" s="6">
        <v>1.0288775999999999E-2</v>
      </c>
      <c r="W202" s="6">
        <v>5.71599E-4</v>
      </c>
      <c r="X202" s="6">
        <v>4.8057599999999997E-4</v>
      </c>
      <c r="Y202" s="6">
        <v>9.2547483E-2</v>
      </c>
      <c r="Z202" s="6">
        <v>1.6793984000000001E-2</v>
      </c>
      <c r="AA202" s="6">
        <v>5.8629498000000002E-2</v>
      </c>
      <c r="AB202" s="6">
        <v>1.0862309000000001E-2</v>
      </c>
      <c r="AC202" s="6">
        <v>4.6472626000000003E-2</v>
      </c>
      <c r="AD202" s="6">
        <v>9.0110050000000008E-3</v>
      </c>
      <c r="AE202" s="6">
        <v>6.5040698999999993E-2</v>
      </c>
      <c r="AF202" s="6">
        <v>1.1978292E-2</v>
      </c>
      <c r="AG202" s="6">
        <v>6.4783114209999999</v>
      </c>
      <c r="AH202" s="6">
        <v>0.49443755700000003</v>
      </c>
      <c r="AI202" s="6">
        <v>-7.5636576309999999</v>
      </c>
      <c r="AJ202" s="6">
        <v>0.68456112999999996</v>
      </c>
      <c r="AK202" s="6">
        <v>9.9599870670000001</v>
      </c>
      <c r="AL202" s="6">
        <v>0.83014913700000004</v>
      </c>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row>
    <row r="203" spans="1:84" ht="16" x14ac:dyDescent="0.2">
      <c r="A203" s="4">
        <v>45838</v>
      </c>
      <c r="B203" s="19">
        <v>25181</v>
      </c>
      <c r="C203" s="5" t="s">
        <v>269</v>
      </c>
      <c r="D203" s="5">
        <v>19</v>
      </c>
      <c r="E203" s="53" t="s">
        <v>1252</v>
      </c>
      <c r="F203" s="6">
        <v>-5.7</v>
      </c>
      <c r="G203" s="5" t="s">
        <v>2</v>
      </c>
      <c r="H203" s="5" t="s">
        <v>5</v>
      </c>
      <c r="I203" s="5">
        <v>0.75</v>
      </c>
      <c r="J203" s="5">
        <v>35.450000000000003</v>
      </c>
      <c r="K203" s="5">
        <v>8.85</v>
      </c>
      <c r="L203" s="5">
        <v>5.0999999999999996</v>
      </c>
      <c r="M203" s="5" t="s">
        <v>4</v>
      </c>
      <c r="N203" s="15">
        <v>42.298352777799998</v>
      </c>
      <c r="O203" s="6" t="s">
        <v>940</v>
      </c>
      <c r="P203" s="6">
        <v>0.107550219</v>
      </c>
      <c r="Q203" s="6">
        <v>1.4384706000000001E-2</v>
      </c>
      <c r="R203" s="6">
        <v>932</v>
      </c>
      <c r="S203" s="6">
        <v>1.736556E-3</v>
      </c>
      <c r="T203" s="6">
        <v>3.9999999979999998</v>
      </c>
      <c r="U203" s="6">
        <v>0.12375584000000001</v>
      </c>
      <c r="V203" s="6">
        <v>1.4032116000000001E-2</v>
      </c>
      <c r="W203" s="6">
        <v>7.7956200000000003E-4</v>
      </c>
      <c r="X203" s="6">
        <v>5.7482599999999996E-4</v>
      </c>
      <c r="Y203" s="6">
        <v>0.15581197599999999</v>
      </c>
      <c r="Z203" s="6">
        <v>2.1861762E-2</v>
      </c>
      <c r="AA203" s="6">
        <v>9.6830447E-2</v>
      </c>
      <c r="AB203" s="6">
        <v>1.2540717999999999E-2</v>
      </c>
      <c r="AC203" s="6">
        <v>6.8786319999999998E-2</v>
      </c>
      <c r="AD203" s="6">
        <v>1.0034107E-2</v>
      </c>
      <c r="AE203" s="6">
        <v>0.107550219</v>
      </c>
      <c r="AF203" s="6">
        <v>1.4384706000000001E-2</v>
      </c>
      <c r="AG203" s="6">
        <v>6.7020490160000001</v>
      </c>
      <c r="AH203" s="6">
        <v>0.54628670000000001</v>
      </c>
      <c r="AI203" s="6">
        <v>-9.5125996639999997</v>
      </c>
      <c r="AJ203" s="6">
        <v>0.62972840299999999</v>
      </c>
      <c r="AK203" s="6">
        <v>11.644128029999999</v>
      </c>
      <c r="AL203" s="6">
        <v>0.71839442899999995</v>
      </c>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row>
    <row r="204" spans="1:84" ht="16" x14ac:dyDescent="0.2">
      <c r="A204" s="4">
        <v>45838</v>
      </c>
      <c r="B204" s="19">
        <v>25181</v>
      </c>
      <c r="C204" s="5" t="s">
        <v>269</v>
      </c>
      <c r="D204" s="5">
        <v>20</v>
      </c>
      <c r="E204" s="53" t="s">
        <v>1253</v>
      </c>
      <c r="F204">
        <v>-11.9</v>
      </c>
      <c r="G204" s="5" t="s">
        <v>2</v>
      </c>
      <c r="H204" s="5" t="s">
        <v>6</v>
      </c>
      <c r="I204" s="5">
        <v>0.25</v>
      </c>
      <c r="J204" s="5">
        <v>25.4</v>
      </c>
      <c r="K204" s="5" t="s">
        <v>8</v>
      </c>
      <c r="L204" s="5" t="s">
        <v>8</v>
      </c>
      <c r="M204" s="5" t="s">
        <v>9</v>
      </c>
      <c r="N204" s="15">
        <v>42.298352777799998</v>
      </c>
      <c r="O204" t="s">
        <v>941</v>
      </c>
      <c r="P204" s="6">
        <v>4.3425849000000002E-2</v>
      </c>
      <c r="Q204" s="6">
        <v>8.976263E-3</v>
      </c>
      <c r="R204" s="6">
        <v>355</v>
      </c>
      <c r="S204" s="6">
        <v>1.0274209999999999E-3</v>
      </c>
      <c r="T204" s="6">
        <v>3.9999999979999998</v>
      </c>
      <c r="U204" s="6">
        <v>0.13237363099999999</v>
      </c>
      <c r="V204" s="6">
        <v>7.7615210000000004E-3</v>
      </c>
      <c r="W204" s="6">
        <v>4.3119600000000001E-4</v>
      </c>
      <c r="X204" s="6">
        <v>3.8544799999999999E-4</v>
      </c>
      <c r="Y204" s="6">
        <v>6.1480194000000002E-2</v>
      </c>
      <c r="Z204" s="6">
        <v>1.2288383999999999E-2</v>
      </c>
      <c r="AA204" s="6">
        <v>3.9901801000000001E-2</v>
      </c>
      <c r="AB204" s="6">
        <v>8.4481030000000002E-3</v>
      </c>
      <c r="AC204" s="6">
        <v>2.8310954999999999E-2</v>
      </c>
      <c r="AD204" s="6">
        <v>6.0640340000000003E-3</v>
      </c>
      <c r="AE204" s="6">
        <v>4.3425849000000002E-2</v>
      </c>
      <c r="AF204" s="6">
        <v>8.976263E-3</v>
      </c>
      <c r="AG204" s="6">
        <v>6.1604462010000001</v>
      </c>
      <c r="AH204" s="6">
        <v>0.33066162100000002</v>
      </c>
      <c r="AI204" s="6">
        <v>-9.1748784969999999</v>
      </c>
      <c r="AJ204" s="6">
        <v>0.42333709899999999</v>
      </c>
      <c r="AK204" s="6">
        <v>11.055881558999999</v>
      </c>
      <c r="AL204" s="6">
        <v>0.430390514</v>
      </c>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row>
    <row r="205" spans="1:84" ht="16" x14ac:dyDescent="0.2">
      <c r="A205" s="4">
        <v>45838</v>
      </c>
      <c r="B205" s="19">
        <v>25181</v>
      </c>
      <c r="C205" s="5" t="s">
        <v>269</v>
      </c>
      <c r="D205" s="5">
        <v>21</v>
      </c>
      <c r="E205" s="53" t="s">
        <v>1254</v>
      </c>
      <c r="F205">
        <v>10.199999999999999</v>
      </c>
      <c r="G205" s="5" t="s">
        <v>2</v>
      </c>
      <c r="H205" s="5" t="s">
        <v>3</v>
      </c>
      <c r="I205" s="5">
        <v>0.5</v>
      </c>
      <c r="J205" s="5">
        <v>33.6</v>
      </c>
      <c r="K205" s="5">
        <v>8.4</v>
      </c>
      <c r="L205" s="5">
        <v>4.8</v>
      </c>
      <c r="M205" s="5" t="s">
        <v>4</v>
      </c>
      <c r="N205" s="15">
        <v>42.298352777799998</v>
      </c>
      <c r="O205" t="s">
        <v>942</v>
      </c>
      <c r="P205" s="6">
        <v>8.5740774000000006E-2</v>
      </c>
      <c r="Q205" s="6">
        <v>1.1785667999999999E-2</v>
      </c>
      <c r="R205" s="6">
        <v>712</v>
      </c>
      <c r="S205" s="6">
        <v>1.259231E-3</v>
      </c>
      <c r="T205" s="6">
        <v>3.9999999979999998</v>
      </c>
      <c r="U205" s="6">
        <v>0.112048486</v>
      </c>
      <c r="V205" s="6">
        <v>1.1238267E-2</v>
      </c>
      <c r="W205" s="6">
        <v>6.2434800000000005E-4</v>
      </c>
      <c r="X205" s="6">
        <v>4.6516400000000001E-4</v>
      </c>
      <c r="Y205" s="6">
        <v>0.13130809700000001</v>
      </c>
      <c r="Z205" s="6">
        <v>1.8194383000000001E-2</v>
      </c>
      <c r="AA205" s="6">
        <v>7.5916769999999995E-2</v>
      </c>
      <c r="AB205" s="6">
        <v>1.0308484999999999E-2</v>
      </c>
      <c r="AC205" s="6">
        <v>4.7607733999999999E-2</v>
      </c>
      <c r="AD205" s="6">
        <v>7.1295330000000004E-3</v>
      </c>
      <c r="AE205" s="6">
        <v>8.5740774000000006E-2</v>
      </c>
      <c r="AF205" s="6">
        <v>1.1785667999999999E-2</v>
      </c>
      <c r="AG205" s="6">
        <v>7.7439076819999997</v>
      </c>
      <c r="AH205" s="6">
        <v>0.35700715</v>
      </c>
      <c r="AI205" s="6">
        <v>-12.129158398</v>
      </c>
      <c r="AJ205" s="6">
        <v>0.488628067</v>
      </c>
      <c r="AK205" s="6">
        <v>14.392213409</v>
      </c>
      <c r="AL205" s="6">
        <v>0.56117929300000002</v>
      </c>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row>
    <row r="206" spans="1:84" ht="16" x14ac:dyDescent="0.2">
      <c r="A206" s="4">
        <v>45838</v>
      </c>
      <c r="B206" s="19">
        <v>25181</v>
      </c>
      <c r="C206" s="5" t="s">
        <v>269</v>
      </c>
      <c r="D206" s="5">
        <v>22</v>
      </c>
      <c r="E206" s="53" t="s">
        <v>1255</v>
      </c>
      <c r="F206" s="6">
        <v>-22.5</v>
      </c>
      <c r="G206" s="5" t="s">
        <v>2</v>
      </c>
      <c r="H206" s="5" t="s">
        <v>5</v>
      </c>
      <c r="I206" s="5">
        <v>0.95</v>
      </c>
      <c r="J206" s="5">
        <v>39.799999999999997</v>
      </c>
      <c r="K206" s="5">
        <v>10</v>
      </c>
      <c r="L206" s="5">
        <v>5.85</v>
      </c>
      <c r="M206" s="5" t="s">
        <v>4</v>
      </c>
      <c r="N206" s="15">
        <v>42.298352777799998</v>
      </c>
      <c r="O206" s="6" t="s">
        <v>943</v>
      </c>
      <c r="P206" s="6">
        <v>8.8254286000000001E-2</v>
      </c>
      <c r="Q206" s="6">
        <v>7.6586220000000003E-3</v>
      </c>
      <c r="R206" s="6">
        <v>1236</v>
      </c>
      <c r="S206" s="6">
        <v>9.35946E-4</v>
      </c>
      <c r="T206" s="6">
        <v>5.6568542449999999</v>
      </c>
      <c r="U206" s="6">
        <v>0.104001909</v>
      </c>
      <c r="V206" s="6">
        <v>8.9993130000000001E-3</v>
      </c>
      <c r="W206" s="6">
        <v>4.9996199999999995E-4</v>
      </c>
      <c r="X206" s="6">
        <v>3.3143000000000002E-4</v>
      </c>
      <c r="Y206" s="6">
        <v>0.122340928</v>
      </c>
      <c r="Z206" s="6">
        <v>9.8400510000000007E-3</v>
      </c>
      <c r="AA206" s="6">
        <v>8.1300479999999994E-2</v>
      </c>
      <c r="AB206" s="6">
        <v>7.4880579999999997E-3</v>
      </c>
      <c r="AC206" s="6">
        <v>6.1468096E-2</v>
      </c>
      <c r="AD206" s="6">
        <v>6.8827769999999996E-3</v>
      </c>
      <c r="AE206" s="6">
        <v>8.8254286000000001E-2</v>
      </c>
      <c r="AF206" s="6">
        <v>7.6586220000000003E-3</v>
      </c>
      <c r="AG206" s="6">
        <v>5.7974026729999997</v>
      </c>
      <c r="AH206" s="6">
        <v>0.62780851400000004</v>
      </c>
      <c r="AI206" s="6">
        <v>-7.9539200900000004</v>
      </c>
      <c r="AJ206" s="6">
        <v>0.99786905699999995</v>
      </c>
      <c r="AK206" s="6">
        <v>9.8436638710000004</v>
      </c>
      <c r="AL206" s="6">
        <v>1.1691329239999999</v>
      </c>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row>
    <row r="207" spans="1:84" ht="16" x14ac:dyDescent="0.2">
      <c r="A207" s="4">
        <v>45838</v>
      </c>
      <c r="B207" s="19">
        <v>25181</v>
      </c>
      <c r="C207" s="5" t="s">
        <v>269</v>
      </c>
      <c r="D207" s="5">
        <v>23</v>
      </c>
      <c r="E207" s="53" t="s">
        <v>1256</v>
      </c>
      <c r="F207">
        <v>20.6</v>
      </c>
      <c r="G207" s="5" t="s">
        <v>2</v>
      </c>
      <c r="H207" s="5" t="s">
        <v>3</v>
      </c>
      <c r="I207" s="5">
        <v>0.65</v>
      </c>
      <c r="J207" s="5">
        <v>35.1</v>
      </c>
      <c r="K207" s="5">
        <v>8.4499999999999993</v>
      </c>
      <c r="L207" s="5">
        <v>4.4000000000000004</v>
      </c>
      <c r="M207" s="5" t="s">
        <v>4</v>
      </c>
      <c r="N207" s="15">
        <v>42.298352777799998</v>
      </c>
      <c r="O207" t="s">
        <v>944</v>
      </c>
      <c r="P207" s="6">
        <v>7.2468620999999997E-2</v>
      </c>
      <c r="Q207" s="6">
        <v>9.9322300000000002E-3</v>
      </c>
      <c r="R207" s="6">
        <v>830</v>
      </c>
      <c r="S207" s="6">
        <v>1.0403070000000001E-3</v>
      </c>
      <c r="T207" s="6">
        <v>3.9999999979999998</v>
      </c>
      <c r="U207" s="6">
        <v>0.102741527</v>
      </c>
      <c r="V207" s="6">
        <v>1.0125472999999999E-2</v>
      </c>
      <c r="W207" s="6">
        <v>5.6252600000000004E-4</v>
      </c>
      <c r="X207" s="6">
        <v>3.7822499999999999E-4</v>
      </c>
      <c r="Y207" s="6">
        <v>0.103983932</v>
      </c>
      <c r="Z207" s="6">
        <v>1.3641578E-2</v>
      </c>
      <c r="AA207" s="6">
        <v>6.5652537999999996E-2</v>
      </c>
      <c r="AB207" s="6">
        <v>9.1458719999999993E-3</v>
      </c>
      <c r="AC207" s="6">
        <v>4.8789981000000003E-2</v>
      </c>
      <c r="AD207" s="6">
        <v>7.6308010000000004E-3</v>
      </c>
      <c r="AE207" s="6">
        <v>7.2468620999999997E-2</v>
      </c>
      <c r="AF207" s="6">
        <v>9.9322300000000002E-3</v>
      </c>
      <c r="AG207" s="6">
        <v>6.5251502720000003</v>
      </c>
      <c r="AH207" s="6">
        <v>0.33557168399999998</v>
      </c>
      <c r="AI207" s="6">
        <v>-8.6651172820000006</v>
      </c>
      <c r="AJ207" s="6">
        <v>0.70498929799999999</v>
      </c>
      <c r="AK207" s="6">
        <v>10.851989543</v>
      </c>
      <c r="AL207" s="6">
        <v>0.71109726799999995</v>
      </c>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row>
    <row r="208" spans="1:84" ht="16" x14ac:dyDescent="0.2">
      <c r="A208" s="4">
        <v>45838</v>
      </c>
      <c r="B208" s="19">
        <v>25181</v>
      </c>
      <c r="C208" s="5" t="s">
        <v>269</v>
      </c>
      <c r="D208" s="5">
        <v>24</v>
      </c>
      <c r="E208" s="53" t="s">
        <v>1257</v>
      </c>
      <c r="F208">
        <v>9.1999999999999993</v>
      </c>
      <c r="G208" s="5" t="s">
        <v>2</v>
      </c>
      <c r="H208" s="5" t="s">
        <v>3</v>
      </c>
      <c r="I208" s="5">
        <v>0.5</v>
      </c>
      <c r="J208" s="5">
        <v>31.95</v>
      </c>
      <c r="K208" s="5">
        <v>7.7</v>
      </c>
      <c r="L208" s="5">
        <v>4.5999999999999996</v>
      </c>
      <c r="M208" s="5" t="s">
        <v>4</v>
      </c>
      <c r="N208" s="15">
        <v>42.298352777799998</v>
      </c>
      <c r="O208" t="s">
        <v>945</v>
      </c>
      <c r="P208" s="6">
        <v>7.7859427999999994E-2</v>
      </c>
      <c r="Q208" s="6">
        <v>1.9662936999999998E-2</v>
      </c>
      <c r="R208" s="6">
        <v>614</v>
      </c>
      <c r="S208" s="6">
        <v>2.2009540000000002E-3</v>
      </c>
      <c r="T208" s="6">
        <v>45.254833888</v>
      </c>
      <c r="U208" s="6">
        <v>0.114646477</v>
      </c>
      <c r="V208" s="6">
        <v>1.9197743999999999E-2</v>
      </c>
      <c r="W208" s="6">
        <v>1.0665410000000001E-3</v>
      </c>
      <c r="X208" s="6">
        <v>7.7642499999999997E-4</v>
      </c>
      <c r="Y208" s="6">
        <v>0.117103532</v>
      </c>
      <c r="Z208" s="6">
        <v>2.9678606E-2</v>
      </c>
      <c r="AA208" s="6">
        <v>7.0405522999999998E-2</v>
      </c>
      <c r="AB208" s="6">
        <v>1.7938094000000002E-2</v>
      </c>
      <c r="AC208" s="6">
        <v>4.1547934000000002E-2</v>
      </c>
      <c r="AD208" s="6">
        <v>9.8426680000000006E-3</v>
      </c>
      <c r="AE208" s="6">
        <v>7.7859427999999994E-2</v>
      </c>
      <c r="AF208" s="6">
        <v>1.9662936999999998E-2</v>
      </c>
      <c r="AG208" s="6">
        <v>7.2210470950000003</v>
      </c>
      <c r="AH208" s="6">
        <v>0.29549371299999999</v>
      </c>
      <c r="AI208" s="6">
        <v>-12.696336959</v>
      </c>
      <c r="AJ208" s="6">
        <v>0.66899255400000002</v>
      </c>
      <c r="AK208" s="6">
        <v>14.609179059000001</v>
      </c>
      <c r="AL208" s="6">
        <v>0.66865903299999996</v>
      </c>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row>
    <row r="209" spans="1:84" ht="16" x14ac:dyDescent="0.2">
      <c r="A209" s="4">
        <v>45839</v>
      </c>
      <c r="B209" s="19">
        <v>25182</v>
      </c>
      <c r="C209" s="5" t="s">
        <v>46</v>
      </c>
      <c r="D209" s="5">
        <v>1</v>
      </c>
      <c r="E209" s="53" t="s">
        <v>1258</v>
      </c>
      <c r="F209" s="6">
        <v>14.8</v>
      </c>
      <c r="G209" s="5" t="s">
        <v>2</v>
      </c>
      <c r="H209" s="5" t="s">
        <v>3</v>
      </c>
      <c r="I209" s="5">
        <v>1.1499999999999999</v>
      </c>
      <c r="J209" s="5">
        <v>38.15</v>
      </c>
      <c r="K209" s="5">
        <v>9.5</v>
      </c>
      <c r="L209" s="5">
        <v>5.5</v>
      </c>
      <c r="M209" s="5" t="s">
        <v>4</v>
      </c>
      <c r="N209" s="15">
        <v>42.172066666699997</v>
      </c>
      <c r="O209" s="6" t="s">
        <v>946</v>
      </c>
      <c r="P209" s="6">
        <v>9.3040046000000001E-2</v>
      </c>
      <c r="Q209" s="6">
        <v>1.6475307000000002E-2</v>
      </c>
      <c r="R209" s="6">
        <v>1053</v>
      </c>
      <c r="S209" s="6">
        <v>1.7111800000000001E-3</v>
      </c>
      <c r="T209" s="6">
        <v>5.6568542449999999</v>
      </c>
      <c r="U209" s="6">
        <v>9.6331139999999996E-2</v>
      </c>
      <c r="V209" s="6">
        <v>1.7763523999999999E-2</v>
      </c>
      <c r="W209" s="6">
        <v>9.8686200000000003E-4</v>
      </c>
      <c r="X209" s="6">
        <v>5.9359300000000001E-4</v>
      </c>
      <c r="Y209" s="6">
        <v>0.13699418099999999</v>
      </c>
      <c r="Z209" s="6">
        <v>2.6929132000000001E-2</v>
      </c>
      <c r="AA209" s="6">
        <v>8.2947700999999999E-2</v>
      </c>
      <c r="AB209" s="6">
        <v>1.4121259000000001E-2</v>
      </c>
      <c r="AC209" s="6">
        <v>5.9650042E-2</v>
      </c>
      <c r="AD209" s="6">
        <v>1.0277095999999999E-2</v>
      </c>
      <c r="AE209" s="6">
        <v>9.3040046000000001E-2</v>
      </c>
      <c r="AF209" s="6">
        <v>1.6475307000000002E-2</v>
      </c>
      <c r="AG209" s="6">
        <v>7.000666184</v>
      </c>
      <c r="AH209" s="6">
        <v>1.0764815700000001</v>
      </c>
      <c r="AI209" s="6">
        <v>-9.4347862439999997</v>
      </c>
      <c r="AJ209" s="6">
        <v>1.225790658</v>
      </c>
      <c r="AK209" s="6">
        <v>11.75192983</v>
      </c>
      <c r="AL209" s="6">
        <v>1.6056026189999999</v>
      </c>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row>
    <row r="210" spans="1:84" ht="16" x14ac:dyDescent="0.2">
      <c r="A210" s="4">
        <v>45839</v>
      </c>
      <c r="B210" s="19">
        <v>25182</v>
      </c>
      <c r="C210" s="5" t="s">
        <v>46</v>
      </c>
      <c r="D210" s="5">
        <v>2</v>
      </c>
      <c r="E210" s="53" t="s">
        <v>1259</v>
      </c>
      <c r="F210">
        <v>-37.1</v>
      </c>
      <c r="G210" s="5" t="s">
        <v>2</v>
      </c>
      <c r="H210" s="5" t="s">
        <v>6</v>
      </c>
      <c r="I210" s="5" t="s">
        <v>8</v>
      </c>
      <c r="J210" s="5" t="s">
        <v>8</v>
      </c>
      <c r="K210" s="5" t="s">
        <v>8</v>
      </c>
      <c r="L210" s="5" t="s">
        <v>8</v>
      </c>
      <c r="M210" s="5" t="s">
        <v>9</v>
      </c>
      <c r="N210" s="15">
        <v>42.172066666699997</v>
      </c>
      <c r="O210" t="s">
        <v>947</v>
      </c>
      <c r="P210" s="6">
        <v>1.8155721E-2</v>
      </c>
      <c r="Q210" s="6">
        <v>6.6539870000000001E-3</v>
      </c>
      <c r="R210" s="6">
        <v>156</v>
      </c>
      <c r="S210" s="6">
        <v>6.74254E-4</v>
      </c>
      <c r="T210" s="6">
        <v>5.6568542449999999</v>
      </c>
      <c r="U210" s="6">
        <v>0.12829162999999999</v>
      </c>
      <c r="V210" s="6">
        <v>5.2556369999999996E-3</v>
      </c>
      <c r="W210" s="6">
        <v>2.9198000000000001E-4</v>
      </c>
      <c r="X210" s="6">
        <v>2.9044500000000002E-4</v>
      </c>
      <c r="Y210" s="6">
        <v>2.8957679E-2</v>
      </c>
      <c r="Z210" s="6">
        <v>1.0910171E-2</v>
      </c>
      <c r="AA210" s="6">
        <v>1.5545714E-2</v>
      </c>
      <c r="AB210" s="6">
        <v>5.6242449999999999E-3</v>
      </c>
      <c r="AC210" s="6">
        <v>9.8267800000000002E-3</v>
      </c>
      <c r="AD210" s="6">
        <v>3.3739120000000002E-3</v>
      </c>
      <c r="AE210" s="6">
        <v>1.8155721E-2</v>
      </c>
      <c r="AF210" s="6">
        <v>6.6539870000000001E-3</v>
      </c>
      <c r="AG210" s="6">
        <v>8.6570181789999996</v>
      </c>
      <c r="AH210" s="6">
        <v>0.46451896300000001</v>
      </c>
      <c r="AI210" s="6">
        <v>-12.356069858</v>
      </c>
      <c r="AJ210" s="6">
        <v>0.66492914800000003</v>
      </c>
      <c r="AK210" s="6">
        <v>15.090380412</v>
      </c>
      <c r="AL210" s="6">
        <v>0.74436884800000003</v>
      </c>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row>
    <row r="211" spans="1:84" ht="16" x14ac:dyDescent="0.2">
      <c r="A211" s="4">
        <v>45839</v>
      </c>
      <c r="B211" s="19">
        <v>25182</v>
      </c>
      <c r="C211" s="29" t="s">
        <v>46</v>
      </c>
      <c r="D211" s="5">
        <v>3</v>
      </c>
      <c r="E211" s="53" t="s">
        <v>1260</v>
      </c>
      <c r="G211" s="5" t="s">
        <v>2</v>
      </c>
      <c r="H211" s="5" t="s">
        <v>6</v>
      </c>
      <c r="I211" s="5">
        <v>0.15</v>
      </c>
      <c r="J211" s="5">
        <v>16.3</v>
      </c>
      <c r="K211" s="5" t="s">
        <v>8</v>
      </c>
      <c r="L211" s="5" t="s">
        <v>8</v>
      </c>
      <c r="M211" s="5" t="s">
        <v>9</v>
      </c>
      <c r="N211" s="15">
        <v>42.172066666699997</v>
      </c>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row>
    <row r="212" spans="1:84" ht="16" x14ac:dyDescent="0.2">
      <c r="A212" s="4">
        <v>45840</v>
      </c>
      <c r="B212" s="19">
        <v>25183</v>
      </c>
      <c r="C212" s="5" t="s">
        <v>49</v>
      </c>
      <c r="D212" s="5">
        <v>20</v>
      </c>
      <c r="E212" s="53" t="s">
        <v>1261</v>
      </c>
      <c r="F212">
        <v>-7.6</v>
      </c>
      <c r="G212" s="5" t="s">
        <v>12</v>
      </c>
      <c r="H212" s="5" t="s">
        <v>5</v>
      </c>
      <c r="I212" s="5">
        <v>0.75</v>
      </c>
      <c r="J212" s="5">
        <v>35.1</v>
      </c>
      <c r="K212" s="5">
        <v>8.5</v>
      </c>
      <c r="L212" s="5">
        <v>5.0999999999999996</v>
      </c>
      <c r="M212" s="5" t="s">
        <v>4</v>
      </c>
      <c r="N212" s="15">
        <v>42.442827777799998</v>
      </c>
      <c r="O212" t="s">
        <v>948</v>
      </c>
      <c r="P212" s="6">
        <v>4.2083797999999999E-2</v>
      </c>
      <c r="Q212" s="6">
        <v>6.6439079999999996E-3</v>
      </c>
      <c r="R212" s="6">
        <v>811</v>
      </c>
      <c r="S212" s="6">
        <v>7.2889099999999996E-4</v>
      </c>
      <c r="T212" s="6">
        <v>7.9999999920000002</v>
      </c>
      <c r="U212" s="6">
        <v>0.101371568</v>
      </c>
      <c r="V212" s="6">
        <v>7.1902930000000004E-3</v>
      </c>
      <c r="W212" s="6">
        <v>3.9946099999999999E-4</v>
      </c>
      <c r="X212" s="6">
        <v>2.5720300000000001E-4</v>
      </c>
      <c r="Y212" s="6">
        <v>4.7284242999999997E-2</v>
      </c>
      <c r="Z212" s="6">
        <v>6.9868150000000004E-3</v>
      </c>
      <c r="AA212" s="6">
        <v>4.1987755000000002E-2</v>
      </c>
      <c r="AB212" s="6">
        <v>6.8479530000000004E-3</v>
      </c>
      <c r="AC212" s="6">
        <v>4.1481609000000003E-2</v>
      </c>
      <c r="AD212" s="6">
        <v>6.8242570000000002E-3</v>
      </c>
      <c r="AE212" s="6">
        <v>4.2083797999999999E-2</v>
      </c>
      <c r="AF212" s="6">
        <v>6.6439079999999996E-3</v>
      </c>
      <c r="AG212" s="6">
        <v>1.723582781</v>
      </c>
      <c r="AH212" s="6">
        <v>0.52240417400000005</v>
      </c>
      <c r="AI212" s="6">
        <v>-1.208435637</v>
      </c>
      <c r="AJ212" s="6">
        <v>0.48321393299999998</v>
      </c>
      <c r="AK212" s="6">
        <v>2.1378334329999999</v>
      </c>
      <c r="AL212" s="6">
        <v>0.60576591199999996</v>
      </c>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row>
    <row r="213" spans="1:84" ht="16" x14ac:dyDescent="0.2">
      <c r="A213" s="4">
        <v>45840</v>
      </c>
      <c r="B213" s="19">
        <v>25183</v>
      </c>
      <c r="C213" s="5" t="s">
        <v>49</v>
      </c>
      <c r="D213" s="5">
        <v>21</v>
      </c>
      <c r="E213" s="53" t="s">
        <v>1262</v>
      </c>
      <c r="F213">
        <v>1.6</v>
      </c>
      <c r="G213" s="5" t="s">
        <v>2</v>
      </c>
      <c r="H213" s="5" t="s">
        <v>5</v>
      </c>
      <c r="I213" s="5">
        <v>0.55000000000000004</v>
      </c>
      <c r="J213" s="5">
        <v>32.15</v>
      </c>
      <c r="K213" s="5">
        <v>8.4499999999999993</v>
      </c>
      <c r="L213" s="5">
        <v>4.8</v>
      </c>
      <c r="M213" s="5" t="s">
        <v>4</v>
      </c>
      <c r="N213" s="15">
        <v>42.442827777799998</v>
      </c>
      <c r="O213" t="s">
        <v>949</v>
      </c>
      <c r="P213" s="6">
        <v>7.5677007000000004E-2</v>
      </c>
      <c r="Q213" s="6">
        <v>8.2857850000000004E-3</v>
      </c>
      <c r="R213" s="6">
        <v>842</v>
      </c>
      <c r="S213" s="6">
        <v>8.8111000000000005E-4</v>
      </c>
      <c r="T213" s="6">
        <v>3.9999999979999998</v>
      </c>
      <c r="U213" s="6">
        <v>0.101658184</v>
      </c>
      <c r="V213" s="6">
        <v>8.6673800000000006E-3</v>
      </c>
      <c r="W213" s="6">
        <v>4.81521E-4</v>
      </c>
      <c r="X213" s="6">
        <v>3.31102E-4</v>
      </c>
      <c r="Y213" s="6">
        <v>0.11245353600000001</v>
      </c>
      <c r="Z213" s="6">
        <v>1.2408918E-2</v>
      </c>
      <c r="AA213" s="6">
        <v>6.7183321000000004E-2</v>
      </c>
      <c r="AB213" s="6">
        <v>7.3734480000000003E-3</v>
      </c>
      <c r="AC213" s="6">
        <v>4.9010241000000003E-2</v>
      </c>
      <c r="AD213" s="6">
        <v>6.3826350000000002E-3</v>
      </c>
      <c r="AE213" s="6">
        <v>7.5677007000000004E-2</v>
      </c>
      <c r="AF213" s="6">
        <v>8.2857850000000004E-3</v>
      </c>
      <c r="AG213" s="6">
        <v>7.2838464439999999</v>
      </c>
      <c r="AH213" s="6">
        <v>0.36382052100000001</v>
      </c>
      <c r="AI213" s="6">
        <v>-9.4019262220000002</v>
      </c>
      <c r="AJ213" s="6">
        <v>1.1763177330000001</v>
      </c>
      <c r="AK213" s="6">
        <v>11.902313721000001</v>
      </c>
      <c r="AL213" s="6">
        <v>1.140787912</v>
      </c>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row>
    <row r="214" spans="1:84" ht="16" x14ac:dyDescent="0.2">
      <c r="A214" s="4">
        <v>45840</v>
      </c>
      <c r="B214" s="19">
        <v>25183</v>
      </c>
      <c r="C214" s="5" t="s">
        <v>49</v>
      </c>
      <c r="D214" s="5">
        <v>22</v>
      </c>
      <c r="E214" s="53" t="s">
        <v>1263</v>
      </c>
      <c r="F214" s="6">
        <v>9</v>
      </c>
      <c r="G214" s="5" t="s">
        <v>2</v>
      </c>
      <c r="H214" s="5" t="s">
        <v>5</v>
      </c>
      <c r="I214" s="5">
        <v>1.35</v>
      </c>
      <c r="J214" s="5">
        <v>43.2</v>
      </c>
      <c r="K214" s="5">
        <v>9.8000000000000007</v>
      </c>
      <c r="L214" s="5">
        <v>6.2</v>
      </c>
      <c r="M214" s="5" t="s">
        <v>4</v>
      </c>
      <c r="N214" s="15">
        <v>42.442827777799998</v>
      </c>
      <c r="O214" s="6" t="s">
        <v>950</v>
      </c>
      <c r="P214" s="6">
        <v>6.2120252000000001E-2</v>
      </c>
      <c r="Q214" s="6">
        <v>7.0566309999999998E-3</v>
      </c>
      <c r="R214" s="6">
        <v>1655</v>
      </c>
      <c r="S214" s="6">
        <v>7.8487800000000003E-4</v>
      </c>
      <c r="T214" s="6">
        <v>5.6568542449999999</v>
      </c>
      <c r="U214" s="6">
        <v>0.10722327199999999</v>
      </c>
      <c r="V214" s="6">
        <v>7.3200330000000001E-3</v>
      </c>
      <c r="W214" s="6">
        <v>4.06668E-4</v>
      </c>
      <c r="X214" s="6">
        <v>3.2432799999999998E-4</v>
      </c>
      <c r="Y214" s="6">
        <v>8.8031093000000005E-2</v>
      </c>
      <c r="Z214" s="6">
        <v>1.1423766E-2</v>
      </c>
      <c r="AA214" s="6">
        <v>5.7534659000000002E-2</v>
      </c>
      <c r="AB214" s="6">
        <v>6.4021870000000002E-3</v>
      </c>
      <c r="AC214" s="6">
        <v>4.1784795999999999E-2</v>
      </c>
      <c r="AD214" s="6">
        <v>4.5108509999999997E-3</v>
      </c>
      <c r="AE214" s="6">
        <v>6.2120252000000001E-2</v>
      </c>
      <c r="AF214" s="6">
        <v>7.0566309999999998E-3</v>
      </c>
      <c r="AG214" s="6">
        <v>5.9840051780000003</v>
      </c>
      <c r="AH214" s="6">
        <v>0.53735889800000003</v>
      </c>
      <c r="AI214" s="6">
        <v>-8.6686638429999991</v>
      </c>
      <c r="AJ214" s="6">
        <v>1.5967806849999999</v>
      </c>
      <c r="AK214" s="6">
        <v>10.545795665</v>
      </c>
      <c r="AL214" s="6">
        <v>1.605786744</v>
      </c>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row>
    <row r="215" spans="1:84" ht="16" x14ac:dyDescent="0.2">
      <c r="A215" s="4">
        <v>45840</v>
      </c>
      <c r="B215" s="19">
        <v>25183</v>
      </c>
      <c r="C215" s="5" t="s">
        <v>49</v>
      </c>
      <c r="D215" s="5">
        <v>23</v>
      </c>
      <c r="E215" s="53" t="s">
        <v>1264</v>
      </c>
      <c r="F215" s="6">
        <v>1.2</v>
      </c>
      <c r="G215" s="5" t="s">
        <v>2</v>
      </c>
      <c r="H215" s="5" t="s">
        <v>5</v>
      </c>
      <c r="I215" s="5">
        <v>0.8</v>
      </c>
      <c r="J215" s="5">
        <v>37.799999999999997</v>
      </c>
      <c r="K215" s="5">
        <v>9.25</v>
      </c>
      <c r="L215" s="5">
        <v>5.3</v>
      </c>
      <c r="M215" s="5" t="s">
        <v>4</v>
      </c>
      <c r="N215" s="15">
        <v>42.442827777799998</v>
      </c>
      <c r="O215" s="6" t="s">
        <v>951</v>
      </c>
      <c r="P215" s="6">
        <v>6.2379001000000003E-2</v>
      </c>
      <c r="Q215" s="6">
        <v>1.4482382E-2</v>
      </c>
      <c r="R215" s="6">
        <v>981</v>
      </c>
      <c r="S215" s="6">
        <v>1.4137170000000001E-3</v>
      </c>
      <c r="T215" s="6">
        <v>2.8284271240000001</v>
      </c>
      <c r="U215" s="6">
        <v>0.107200822</v>
      </c>
      <c r="V215" s="6">
        <v>1.3187561E-2</v>
      </c>
      <c r="W215" s="6">
        <v>7.3264200000000004E-4</v>
      </c>
      <c r="X215" s="6">
        <v>4.9908799999999996E-4</v>
      </c>
      <c r="Y215" s="6">
        <v>8.6571018E-2</v>
      </c>
      <c r="Z215" s="6">
        <v>2.0775318000000001E-2</v>
      </c>
      <c r="AA215" s="6">
        <v>5.7502361000000002E-2</v>
      </c>
      <c r="AB215" s="6">
        <v>1.3083139000000001E-2</v>
      </c>
      <c r="AC215" s="6">
        <v>4.5271870999999998E-2</v>
      </c>
      <c r="AD215" s="6">
        <v>1.1101991E-2</v>
      </c>
      <c r="AE215" s="6">
        <v>6.2379001000000003E-2</v>
      </c>
      <c r="AF215" s="6">
        <v>1.4482382E-2</v>
      </c>
      <c r="AG215" s="6">
        <v>5.7011371530000003</v>
      </c>
      <c r="AH215" s="6">
        <v>0.63239702499999995</v>
      </c>
      <c r="AI215" s="6">
        <v>-7.2727744149999998</v>
      </c>
      <c r="AJ215" s="6">
        <v>1.377435296</v>
      </c>
      <c r="AK215" s="6">
        <v>9.2596262199999995</v>
      </c>
      <c r="AL215" s="6">
        <v>1.3972963709999999</v>
      </c>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row>
    <row r="216" spans="1:84" ht="16" x14ac:dyDescent="0.2">
      <c r="A216" s="4">
        <v>45840</v>
      </c>
      <c r="B216" s="19">
        <v>25183</v>
      </c>
      <c r="C216" s="5" t="s">
        <v>49</v>
      </c>
      <c r="D216" s="5">
        <v>24</v>
      </c>
      <c r="E216" s="53" t="s">
        <v>1265</v>
      </c>
      <c r="F216">
        <v>1.6</v>
      </c>
      <c r="G216" s="5" t="s">
        <v>2</v>
      </c>
      <c r="H216" s="5" t="s">
        <v>5</v>
      </c>
      <c r="I216" s="5">
        <v>1.1499999999999999</v>
      </c>
      <c r="J216" s="5">
        <v>40.9</v>
      </c>
      <c r="K216" s="5">
        <v>10</v>
      </c>
      <c r="L216" s="5">
        <v>5.85</v>
      </c>
      <c r="M216" s="5" t="s">
        <v>4</v>
      </c>
      <c r="N216" s="15">
        <v>42.442827777799998</v>
      </c>
      <c r="O216" s="9" t="s">
        <v>953</v>
      </c>
      <c r="P216" s="6">
        <v>6.2210794E-2</v>
      </c>
      <c r="Q216" s="6">
        <v>9.3303829999999994E-3</v>
      </c>
      <c r="R216" s="6">
        <v>1066</v>
      </c>
      <c r="S216" s="6">
        <v>8.8685999999999995E-4</v>
      </c>
      <c r="T216" s="6">
        <v>2.8284271240000001</v>
      </c>
      <c r="U216" s="6">
        <v>0.10019746</v>
      </c>
      <c r="V216" s="6">
        <v>8.8511270000000003E-3</v>
      </c>
      <c r="W216" s="6">
        <v>4.9172899999999999E-4</v>
      </c>
      <c r="X216" s="6">
        <v>3.3131399999999998E-4</v>
      </c>
      <c r="Y216" s="6">
        <v>7.9317490000000004E-2</v>
      </c>
      <c r="Z216" s="6">
        <v>1.2813819000000001E-2</v>
      </c>
      <c r="AA216" s="6">
        <v>5.9630445999999997E-2</v>
      </c>
      <c r="AB216" s="6">
        <v>8.8333700000000001E-3</v>
      </c>
      <c r="AC216" s="6">
        <v>4.9545573000000002E-2</v>
      </c>
      <c r="AD216" s="6">
        <v>8.3790389999999996E-3</v>
      </c>
      <c r="AE216" s="6">
        <v>6.2210794E-2</v>
      </c>
      <c r="AF216" s="6">
        <v>9.3303829999999994E-3</v>
      </c>
      <c r="AG216" s="6">
        <v>3.9874851690000002</v>
      </c>
      <c r="AH216" s="6">
        <v>0.90505116699999999</v>
      </c>
      <c r="AI216" s="6">
        <v>-5.3966540529999998</v>
      </c>
      <c r="AJ216" s="6">
        <v>1.5781995090000001</v>
      </c>
      <c r="AK216" s="6">
        <v>6.7221386619999999</v>
      </c>
      <c r="AL216" s="6">
        <v>1.773821506</v>
      </c>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row>
    <row r="217" spans="1:84" ht="16" x14ac:dyDescent="0.2">
      <c r="A217" s="4">
        <v>45840</v>
      </c>
      <c r="B217" s="19">
        <v>25183</v>
      </c>
      <c r="C217" s="5" t="s">
        <v>49</v>
      </c>
      <c r="D217" s="5">
        <v>25</v>
      </c>
      <c r="E217" s="53" t="s">
        <v>1266</v>
      </c>
      <c r="F217">
        <v>7.4</v>
      </c>
      <c r="G217" s="5" t="s">
        <v>2</v>
      </c>
      <c r="H217" s="5" t="s">
        <v>5</v>
      </c>
      <c r="I217" s="5">
        <v>0.8</v>
      </c>
      <c r="J217" s="5">
        <v>37.9</v>
      </c>
      <c r="K217" s="5">
        <v>9.3000000000000007</v>
      </c>
      <c r="L217" s="5">
        <v>5</v>
      </c>
      <c r="M217" s="5" t="s">
        <v>4</v>
      </c>
      <c r="N217" s="15">
        <v>42.442827777799998</v>
      </c>
      <c r="O217" t="s">
        <v>952</v>
      </c>
      <c r="P217" s="6">
        <v>7.3321006999999994E-2</v>
      </c>
      <c r="Q217" s="6">
        <v>8.1892909999999996E-3</v>
      </c>
      <c r="R217" s="6">
        <v>936</v>
      </c>
      <c r="S217" s="6">
        <v>8.6656899999999998E-4</v>
      </c>
      <c r="T217" s="6">
        <v>3.9999999979999998</v>
      </c>
      <c r="U217" s="6">
        <v>0.118867853</v>
      </c>
      <c r="V217" s="6">
        <v>7.2901900000000002E-3</v>
      </c>
      <c r="W217" s="6">
        <v>4.0501099999999999E-4</v>
      </c>
      <c r="X217" s="6">
        <v>3.6588300000000001E-4</v>
      </c>
      <c r="Y217" s="6">
        <v>0.111126425</v>
      </c>
      <c r="Z217" s="6">
        <v>1.1953086E-2</v>
      </c>
      <c r="AA217" s="6">
        <v>6.42654E-2</v>
      </c>
      <c r="AB217" s="6">
        <v>7.5674289999999996E-3</v>
      </c>
      <c r="AC217" s="6">
        <v>4.6937817E-2</v>
      </c>
      <c r="AD217" s="6">
        <v>5.8549129999999998E-3</v>
      </c>
      <c r="AE217" s="6">
        <v>7.3321006999999994E-2</v>
      </c>
      <c r="AF217" s="6">
        <v>8.1892909999999996E-3</v>
      </c>
      <c r="AG217" s="6">
        <v>7.7689698529999998</v>
      </c>
      <c r="AH217" s="6">
        <v>0.67730791700000004</v>
      </c>
      <c r="AI217" s="6">
        <v>-9.6351372749999999</v>
      </c>
      <c r="AJ217" s="6">
        <v>0.82745867699999998</v>
      </c>
      <c r="AK217" s="6">
        <v>12.379873140999999</v>
      </c>
      <c r="AL217" s="6">
        <v>1.036756711</v>
      </c>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row>
    <row r="218" spans="1:84" ht="16" x14ac:dyDescent="0.2">
      <c r="A218" s="4">
        <v>45840</v>
      </c>
      <c r="B218" s="19">
        <v>25183</v>
      </c>
      <c r="C218" s="5" t="s">
        <v>49</v>
      </c>
      <c r="D218" s="5">
        <v>26</v>
      </c>
      <c r="E218" s="53" t="s">
        <v>1267</v>
      </c>
      <c r="F218">
        <v>15.3</v>
      </c>
      <c r="G218" s="5" t="s">
        <v>12</v>
      </c>
      <c r="H218" s="5" t="s">
        <v>5</v>
      </c>
      <c r="I218" s="5">
        <v>1.1000000000000001</v>
      </c>
      <c r="J218" s="5">
        <v>44.4</v>
      </c>
      <c r="K218" s="5">
        <v>10.5</v>
      </c>
      <c r="L218" s="5">
        <v>6.1</v>
      </c>
      <c r="M218" s="5" t="s">
        <v>4</v>
      </c>
      <c r="N218" s="15">
        <v>42.442827777799998</v>
      </c>
      <c r="O218" t="s">
        <v>954</v>
      </c>
      <c r="P218" s="6">
        <v>4.5570367000000001E-2</v>
      </c>
      <c r="Q218" s="6">
        <v>4.3484550000000002E-3</v>
      </c>
      <c r="R218" s="6">
        <v>1328</v>
      </c>
      <c r="S218" s="6">
        <v>4.7970700000000001E-4</v>
      </c>
      <c r="T218" s="6">
        <v>5.6568542449999999</v>
      </c>
      <c r="U218" s="6">
        <v>0.11393006999999999</v>
      </c>
      <c r="V218" s="6">
        <v>4.2105429999999998E-3</v>
      </c>
      <c r="W218" s="6">
        <v>2.3391899999999999E-4</v>
      </c>
      <c r="X218" s="6">
        <v>1.7788799999999999E-4</v>
      </c>
      <c r="Y218" s="6">
        <v>5.3090466000000003E-2</v>
      </c>
      <c r="Z218" s="6">
        <v>4.7003460000000002E-3</v>
      </c>
      <c r="AA218" s="6">
        <v>4.5328337000000003E-2</v>
      </c>
      <c r="AB218" s="6">
        <v>4.2483549999999997E-3</v>
      </c>
      <c r="AC218" s="6">
        <v>4.2666153999999998E-2</v>
      </c>
      <c r="AD218" s="6">
        <v>5.0473699999999998E-3</v>
      </c>
      <c r="AE218" s="6">
        <v>4.5570367000000001E-2</v>
      </c>
      <c r="AF218" s="6">
        <v>4.3484550000000002E-3</v>
      </c>
      <c r="AG218" s="6">
        <v>2.2417650390000001</v>
      </c>
      <c r="AH218" s="6">
        <v>0.32090950499999998</v>
      </c>
      <c r="AI218" s="6">
        <v>-2.334343622</v>
      </c>
      <c r="AJ218" s="6">
        <v>0.89190322399999999</v>
      </c>
      <c r="AK218" s="6">
        <v>3.2696583399999999</v>
      </c>
      <c r="AL218" s="6">
        <v>0.82602449099999997</v>
      </c>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row>
    <row r="219" spans="1:84" ht="16" x14ac:dyDescent="0.2">
      <c r="A219" s="4">
        <v>45840</v>
      </c>
      <c r="B219" s="19">
        <v>25183</v>
      </c>
      <c r="C219" s="5" t="s">
        <v>49</v>
      </c>
      <c r="D219" s="5">
        <v>27</v>
      </c>
      <c r="E219" s="53" t="s">
        <v>1268</v>
      </c>
      <c r="F219" s="6">
        <v>6.9</v>
      </c>
      <c r="G219" s="5" t="s">
        <v>2</v>
      </c>
      <c r="H219" s="5" t="s">
        <v>5</v>
      </c>
      <c r="I219" s="5">
        <v>0.65</v>
      </c>
      <c r="J219" s="5">
        <v>37.049999999999997</v>
      </c>
      <c r="K219" s="5">
        <v>9</v>
      </c>
      <c r="L219" s="5">
        <v>5</v>
      </c>
      <c r="M219" s="5" t="s">
        <v>4</v>
      </c>
      <c r="N219" s="15">
        <v>42.442827777799998</v>
      </c>
      <c r="O219" s="6" t="s">
        <v>955</v>
      </c>
      <c r="P219" s="6">
        <v>5.4865303999999997E-2</v>
      </c>
      <c r="Q219" s="6">
        <v>8.1500119999999999E-3</v>
      </c>
      <c r="R219" s="6">
        <v>898</v>
      </c>
      <c r="S219" s="6">
        <v>9.6766099999999998E-4</v>
      </c>
      <c r="T219" s="6">
        <v>3.9999999979999998</v>
      </c>
      <c r="U219" s="6">
        <v>0.12948057299999999</v>
      </c>
      <c r="V219" s="6">
        <v>7.473408E-3</v>
      </c>
      <c r="W219" s="6">
        <v>4.15189E-4</v>
      </c>
      <c r="X219" s="6">
        <v>3.48668E-4</v>
      </c>
      <c r="Y219" s="6">
        <v>7.4812724999999997E-2</v>
      </c>
      <c r="Z219" s="6">
        <v>1.1702466E-2</v>
      </c>
      <c r="AA219" s="6">
        <v>5.0914582999999999E-2</v>
      </c>
      <c r="AB219" s="6">
        <v>7.4714780000000001E-3</v>
      </c>
      <c r="AC219" s="6">
        <v>4.2119186000000003E-2</v>
      </c>
      <c r="AD219" s="6">
        <v>7.2704290000000001E-3</v>
      </c>
      <c r="AE219" s="6">
        <v>5.4865303999999997E-2</v>
      </c>
      <c r="AF219" s="6">
        <v>8.1500119999999999E-3</v>
      </c>
      <c r="AG219" s="6">
        <v>5.4099899469999997</v>
      </c>
      <c r="AH219" s="6">
        <v>0.67512916000000001</v>
      </c>
      <c r="AI219" s="6">
        <v>-6.2979345740000001</v>
      </c>
      <c r="AJ219" s="6">
        <v>1.6930734270000001</v>
      </c>
      <c r="AK219" s="6">
        <v>8.3321699720000009</v>
      </c>
      <c r="AL219" s="6">
        <v>1.681862618</v>
      </c>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row>
    <row r="220" spans="1:84" ht="16" x14ac:dyDescent="0.2">
      <c r="A220" s="4">
        <v>45840</v>
      </c>
      <c r="B220" s="19">
        <v>25183</v>
      </c>
      <c r="C220" s="5" t="s">
        <v>49</v>
      </c>
      <c r="D220" s="5">
        <v>28</v>
      </c>
      <c r="E220" s="53" t="s">
        <v>1269</v>
      </c>
      <c r="F220">
        <v>-23.2</v>
      </c>
      <c r="G220" s="5" t="s">
        <v>2</v>
      </c>
      <c r="H220" s="5" t="s">
        <v>3</v>
      </c>
      <c r="I220" s="5">
        <v>0.4</v>
      </c>
      <c r="J220" s="5">
        <v>32.35</v>
      </c>
      <c r="K220" s="5">
        <v>8.85</v>
      </c>
      <c r="L220" s="5">
        <v>4.5</v>
      </c>
      <c r="M220" s="5" t="s">
        <v>4</v>
      </c>
      <c r="N220" s="15">
        <v>42.442827777799998</v>
      </c>
      <c r="O220" t="s">
        <v>956</v>
      </c>
      <c r="P220" s="6">
        <v>8.0016191E-2</v>
      </c>
      <c r="Q220" s="6">
        <v>1.5182553999999999E-2</v>
      </c>
      <c r="R220" s="6">
        <v>668</v>
      </c>
      <c r="S220" s="6">
        <v>1.6085509999999999E-3</v>
      </c>
      <c r="T220" s="6">
        <v>3.9999999979999998</v>
      </c>
      <c r="U220" s="6">
        <v>0.126325084</v>
      </c>
      <c r="V220" s="6">
        <v>1.2733424E-2</v>
      </c>
      <c r="W220" s="6">
        <v>7.0741200000000004E-4</v>
      </c>
      <c r="X220" s="6">
        <v>6.1183400000000001E-4</v>
      </c>
      <c r="Y220" s="6">
        <v>0.12041403000000001</v>
      </c>
      <c r="Z220" s="6">
        <v>2.2624948999999998E-2</v>
      </c>
      <c r="AA220" s="6">
        <v>7.1851805000000005E-2</v>
      </c>
      <c r="AB220" s="6">
        <v>1.3828814E-2</v>
      </c>
      <c r="AC220" s="6">
        <v>4.4968110999999998E-2</v>
      </c>
      <c r="AD220" s="6">
        <v>8.3119769999999999E-3</v>
      </c>
      <c r="AE220" s="6">
        <v>8.0016191E-2</v>
      </c>
      <c r="AF220" s="6">
        <v>1.5182553999999999E-2</v>
      </c>
      <c r="AG220" s="6">
        <v>7.3253758729999996</v>
      </c>
      <c r="AH220" s="6">
        <v>0.18858256400000001</v>
      </c>
      <c r="AI220" s="6">
        <v>-11.849467465</v>
      </c>
      <c r="AJ220" s="6">
        <v>0.46603332200000003</v>
      </c>
      <c r="AK220" s="6">
        <v>13.933016941</v>
      </c>
      <c r="AL220" s="6">
        <v>0.44126254100000001</v>
      </c>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row>
    <row r="221" spans="1:84" ht="16" x14ac:dyDescent="0.2">
      <c r="A221" s="4">
        <v>45840</v>
      </c>
      <c r="B221" s="19">
        <v>25183</v>
      </c>
      <c r="C221" s="5" t="s">
        <v>49</v>
      </c>
      <c r="D221" s="5">
        <v>29</v>
      </c>
      <c r="E221" s="53" t="s">
        <v>1270</v>
      </c>
      <c r="F221">
        <v>-5.8</v>
      </c>
      <c r="G221" s="5" t="s">
        <v>2</v>
      </c>
      <c r="H221" s="5" t="s">
        <v>3</v>
      </c>
      <c r="I221" s="5">
        <v>1.25</v>
      </c>
      <c r="J221" s="5">
        <v>45.9</v>
      </c>
      <c r="K221" s="5">
        <v>9.75</v>
      </c>
      <c r="L221" s="5">
        <v>5.4</v>
      </c>
      <c r="M221" s="5" t="s">
        <v>4</v>
      </c>
      <c r="N221" s="15">
        <v>42.442827777799998</v>
      </c>
      <c r="O221" t="s">
        <v>957</v>
      </c>
      <c r="P221" s="6">
        <v>7.6907459999999997E-2</v>
      </c>
      <c r="Q221" s="6">
        <v>9.8207299999999997E-3</v>
      </c>
      <c r="R221" s="6">
        <v>1406</v>
      </c>
      <c r="S221" s="6">
        <v>1.0167399999999999E-3</v>
      </c>
      <c r="T221" s="6">
        <v>3.9999999979999998</v>
      </c>
      <c r="U221" s="6">
        <v>9.5220272999999994E-2</v>
      </c>
      <c r="V221" s="6">
        <v>1.0677768000000001E-2</v>
      </c>
      <c r="W221" s="6">
        <v>5.9320900000000003E-4</v>
      </c>
      <c r="X221" s="6">
        <v>3.15168E-4</v>
      </c>
      <c r="Y221" s="6">
        <v>0.11826913</v>
      </c>
      <c r="Z221" s="6">
        <v>1.7607260999999999E-2</v>
      </c>
      <c r="AA221" s="6">
        <v>6.7465101E-2</v>
      </c>
      <c r="AB221" s="6">
        <v>8.1589910000000009E-3</v>
      </c>
      <c r="AC221" s="6">
        <v>4.6170612999999999E-2</v>
      </c>
      <c r="AD221" s="6">
        <v>5.9701509999999999E-3</v>
      </c>
      <c r="AE221" s="6">
        <v>7.6907459999999997E-2</v>
      </c>
      <c r="AF221" s="6">
        <v>9.8207299999999997E-3</v>
      </c>
      <c r="AG221" s="6">
        <v>7.8593574009999996</v>
      </c>
      <c r="AH221" s="6">
        <v>1.1294552849999999</v>
      </c>
      <c r="AI221" s="6">
        <v>-10.744117601999999</v>
      </c>
      <c r="AJ221" s="6">
        <v>1.284905755</v>
      </c>
      <c r="AK221" s="6">
        <v>13.316073028</v>
      </c>
      <c r="AL221" s="6">
        <v>1.6775973850000001</v>
      </c>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row>
    <row r="222" spans="1:84" ht="16" x14ac:dyDescent="0.2">
      <c r="A222" s="4">
        <v>45840</v>
      </c>
      <c r="B222" s="19">
        <v>25183</v>
      </c>
      <c r="C222" s="5" t="s">
        <v>49</v>
      </c>
      <c r="D222" s="5">
        <v>30</v>
      </c>
      <c r="E222" s="53" t="s">
        <v>1271</v>
      </c>
      <c r="F222">
        <v>-9.4</v>
      </c>
      <c r="G222" s="5" t="s">
        <v>2</v>
      </c>
      <c r="H222" s="5" t="s">
        <v>5</v>
      </c>
      <c r="I222" s="5">
        <v>1</v>
      </c>
      <c r="J222" s="5">
        <v>38.200000000000003</v>
      </c>
      <c r="K222" s="5">
        <v>9.5</v>
      </c>
      <c r="L222" s="5">
        <v>5.5</v>
      </c>
      <c r="M222" s="5" t="s">
        <v>4</v>
      </c>
      <c r="N222" s="15">
        <v>42.442827777799998</v>
      </c>
      <c r="O222" t="s">
        <v>958</v>
      </c>
      <c r="P222" s="6">
        <v>8.8010843000000005E-2</v>
      </c>
      <c r="Q222" s="6">
        <v>1.9482961E-2</v>
      </c>
      <c r="R222" s="6">
        <v>879</v>
      </c>
      <c r="S222" s="6">
        <v>2.111557E-3</v>
      </c>
      <c r="T222" s="6">
        <v>3.9999999979999998</v>
      </c>
      <c r="U222" s="6">
        <v>0.11845539300000001</v>
      </c>
      <c r="V222" s="6">
        <v>1.7825756000000002E-2</v>
      </c>
      <c r="W222" s="6">
        <v>9.9032000000000005E-4</v>
      </c>
      <c r="X222" s="6">
        <v>7.2907600000000005E-4</v>
      </c>
      <c r="Y222" s="6">
        <v>0.13202148</v>
      </c>
      <c r="Z222" s="6">
        <v>3.1007264999999999E-2</v>
      </c>
      <c r="AA222" s="6">
        <v>7.7533893000000007E-2</v>
      </c>
      <c r="AB222" s="6">
        <v>1.6951734E-2</v>
      </c>
      <c r="AC222" s="6">
        <v>5.5153051000000002E-2</v>
      </c>
      <c r="AD222" s="6">
        <v>1.1597731E-2</v>
      </c>
      <c r="AE222" s="6">
        <v>8.8010843000000005E-2</v>
      </c>
      <c r="AF222" s="6">
        <v>1.9482961E-2</v>
      </c>
      <c r="AG222" s="6">
        <v>7.4368784410000002</v>
      </c>
      <c r="AH222" s="6">
        <v>1.015648638</v>
      </c>
      <c r="AI222" s="6">
        <v>-9.7892042999999997</v>
      </c>
      <c r="AJ222" s="6">
        <v>1.156610098</v>
      </c>
      <c r="AK222" s="6">
        <v>12.295980766</v>
      </c>
      <c r="AL222" s="6">
        <v>1.5211063650000001</v>
      </c>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row>
    <row r="223" spans="1:84" ht="16" x14ac:dyDescent="0.2">
      <c r="A223" s="4">
        <v>45840</v>
      </c>
      <c r="B223" s="19">
        <v>25183</v>
      </c>
      <c r="C223" s="5" t="s">
        <v>49</v>
      </c>
      <c r="D223" s="5">
        <v>31</v>
      </c>
      <c r="E223" s="53" t="s">
        <v>1272</v>
      </c>
      <c r="F223">
        <v>8</v>
      </c>
      <c r="G223" s="5" t="s">
        <v>2</v>
      </c>
      <c r="H223" s="5" t="s">
        <v>5</v>
      </c>
      <c r="I223" s="5">
        <v>0.55000000000000004</v>
      </c>
      <c r="J223" s="5">
        <v>33.6</v>
      </c>
      <c r="K223" s="5">
        <v>8.6999999999999993</v>
      </c>
      <c r="L223" s="5">
        <v>4.8499999999999996</v>
      </c>
      <c r="M223" s="5" t="s">
        <v>4</v>
      </c>
      <c r="N223" s="15">
        <v>42.442827777799998</v>
      </c>
      <c r="O223" s="9" t="s">
        <v>960</v>
      </c>
      <c r="P223" s="6">
        <v>7.3728213000000001E-2</v>
      </c>
      <c r="Q223" s="6">
        <v>1.6510005000000001E-2</v>
      </c>
      <c r="R223" s="6">
        <v>704</v>
      </c>
      <c r="S223" s="6">
        <v>1.919542E-3</v>
      </c>
      <c r="T223" s="6">
        <v>3.9999999979999998</v>
      </c>
      <c r="U223" s="6">
        <v>0.11467693</v>
      </c>
      <c r="V223" s="6">
        <v>1.6738693999999998E-2</v>
      </c>
      <c r="W223" s="6">
        <v>9.2992699999999999E-4</v>
      </c>
      <c r="X223" s="6">
        <v>6.0550199999999995E-4</v>
      </c>
      <c r="Y223" s="6">
        <v>0.117161131</v>
      </c>
      <c r="Z223" s="6">
        <v>2.6923974E-2</v>
      </c>
      <c r="AA223" s="6">
        <v>6.2130131999999998E-2</v>
      </c>
      <c r="AB223" s="6">
        <v>1.3681705000000001E-2</v>
      </c>
      <c r="AC223" s="6">
        <v>4.5228359000000003E-2</v>
      </c>
      <c r="AD223" s="6">
        <v>1.0258171999999999E-2</v>
      </c>
      <c r="AE223" s="6">
        <v>7.3728213000000001E-2</v>
      </c>
      <c r="AF223" s="6">
        <v>1.6510005000000001E-2</v>
      </c>
      <c r="AG223" s="6">
        <v>8.9179464849999999</v>
      </c>
      <c r="AH223" s="6">
        <v>0.54799999200000005</v>
      </c>
      <c r="AI223" s="6">
        <v>-10.387172946</v>
      </c>
      <c r="AJ223" s="6">
        <v>0.517979356</v>
      </c>
      <c r="AK223" s="6">
        <v>13.695840635</v>
      </c>
      <c r="AL223" s="6">
        <v>0.64456931699999997</v>
      </c>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row>
    <row r="224" spans="1:84" ht="16" x14ac:dyDescent="0.2">
      <c r="A224" s="4">
        <v>45840</v>
      </c>
      <c r="B224" s="19">
        <v>25183</v>
      </c>
      <c r="C224" s="5" t="s">
        <v>49</v>
      </c>
      <c r="D224" s="5">
        <v>32</v>
      </c>
      <c r="E224" s="53" t="s">
        <v>1273</v>
      </c>
      <c r="F224">
        <v>-1.2</v>
      </c>
      <c r="G224" s="5" t="s">
        <v>12</v>
      </c>
      <c r="H224" s="5" t="s">
        <v>5</v>
      </c>
      <c r="I224" s="5">
        <v>0.85</v>
      </c>
      <c r="J224" s="5">
        <v>40.5</v>
      </c>
      <c r="K224" s="5">
        <v>9.8000000000000007</v>
      </c>
      <c r="L224" s="5">
        <v>5.45</v>
      </c>
      <c r="M224" s="5" t="s">
        <v>4</v>
      </c>
      <c r="N224" s="15">
        <v>42.442827777799998</v>
      </c>
      <c r="O224" t="s">
        <v>961</v>
      </c>
      <c r="P224" s="6">
        <v>4.6961080000000002E-2</v>
      </c>
      <c r="Q224" s="6">
        <v>1.1033259E-2</v>
      </c>
      <c r="R224" s="6">
        <v>974</v>
      </c>
      <c r="S224" s="6">
        <v>1.3151020000000001E-3</v>
      </c>
      <c r="T224" s="6">
        <v>3.9999999979999998</v>
      </c>
      <c r="U224" s="6">
        <v>0.11607329</v>
      </c>
      <c r="V224" s="6">
        <v>1.1329927E-2</v>
      </c>
      <c r="W224" s="6">
        <v>6.2943999999999999E-4</v>
      </c>
      <c r="X224" s="6">
        <v>4.1160900000000001E-4</v>
      </c>
      <c r="Y224" s="6">
        <v>5.2895576999999999E-2</v>
      </c>
      <c r="Z224" s="6">
        <v>1.2864405000000001E-2</v>
      </c>
      <c r="AA224" s="6">
        <v>4.7320013000000001E-2</v>
      </c>
      <c r="AB224" s="6">
        <v>1.1160732E-2</v>
      </c>
      <c r="AC224" s="6">
        <v>4.3333005000000001E-2</v>
      </c>
      <c r="AD224" s="6">
        <v>9.9431780000000004E-3</v>
      </c>
      <c r="AE224" s="6">
        <v>4.6961080000000002E-2</v>
      </c>
      <c r="AF224" s="6">
        <v>1.1033259E-2</v>
      </c>
      <c r="AG224" s="6">
        <v>1.546775657</v>
      </c>
      <c r="AH224" s="6">
        <v>0.45304746600000001</v>
      </c>
      <c r="AI224" s="6">
        <v>-2.2920686159999999</v>
      </c>
      <c r="AJ224" s="6">
        <v>0.99023063</v>
      </c>
      <c r="AK224" s="6">
        <v>2.78255439</v>
      </c>
      <c r="AL224" s="6">
        <v>1.0436446020000001</v>
      </c>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row>
    <row r="225" spans="1:84" ht="16" x14ac:dyDescent="0.2">
      <c r="A225" s="4">
        <v>45840</v>
      </c>
      <c r="B225" s="19">
        <v>25183</v>
      </c>
      <c r="C225" s="5" t="s">
        <v>49</v>
      </c>
      <c r="D225" s="25">
        <v>33</v>
      </c>
      <c r="E225" s="53" t="s">
        <v>1274</v>
      </c>
      <c r="F225">
        <v>22.3</v>
      </c>
      <c r="G225" s="5" t="s">
        <v>2</v>
      </c>
      <c r="H225" s="5" t="s">
        <v>3</v>
      </c>
      <c r="I225" s="5">
        <v>0.6</v>
      </c>
      <c r="J225" s="5">
        <v>33.9</v>
      </c>
      <c r="K225" s="5">
        <v>8.4499999999999993</v>
      </c>
      <c r="L225" s="5">
        <v>5</v>
      </c>
      <c r="M225" s="5" t="s">
        <v>4</v>
      </c>
      <c r="N225" s="15">
        <v>42.442827777799998</v>
      </c>
      <c r="O225" t="s">
        <v>639</v>
      </c>
      <c r="P225" s="6">
        <v>7.6713623999999994E-2</v>
      </c>
      <c r="Q225" s="6">
        <v>1.7957221999999998E-2</v>
      </c>
      <c r="R225" s="6">
        <v>741</v>
      </c>
      <c r="S225" s="6">
        <v>1.77523E-3</v>
      </c>
      <c r="T225" s="6">
        <v>45.254833888</v>
      </c>
      <c r="U225" s="6">
        <v>9.6798608999999994E-2</v>
      </c>
      <c r="V225" s="6">
        <v>1.8339412999999999E-2</v>
      </c>
      <c r="W225" s="6">
        <v>1.0188560000000001E-3</v>
      </c>
      <c r="X225" s="6">
        <v>6.4071199999999999E-4</v>
      </c>
      <c r="Y225" s="6">
        <v>0.119343772</v>
      </c>
      <c r="Z225" s="6">
        <v>2.7949650999999999E-2</v>
      </c>
      <c r="AA225" s="6">
        <v>6.5875365000000005E-2</v>
      </c>
      <c r="AB225" s="6">
        <v>1.5546002E-2</v>
      </c>
      <c r="AC225" s="6">
        <v>4.7360092999999999E-2</v>
      </c>
      <c r="AD225" s="6">
        <v>1.0984313000000001E-2</v>
      </c>
      <c r="AE225" s="6">
        <v>7.6713623999999994E-2</v>
      </c>
      <c r="AF225" s="6">
        <v>1.7957221999999998E-2</v>
      </c>
      <c r="AG225" s="6">
        <v>8.4284654640000003</v>
      </c>
      <c r="AH225" s="6">
        <v>0.37237827899999998</v>
      </c>
      <c r="AI225" s="6">
        <v>-10.223365355</v>
      </c>
      <c r="AJ225" s="6">
        <v>0.78603572600000005</v>
      </c>
      <c r="AK225" s="6">
        <v>13.257715578999999</v>
      </c>
      <c r="AL225" s="6">
        <v>0.73853883200000003</v>
      </c>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row>
    <row r="226" spans="1:84" ht="16" x14ac:dyDescent="0.2">
      <c r="A226" s="4">
        <v>45840</v>
      </c>
      <c r="B226" s="19">
        <v>25183</v>
      </c>
      <c r="C226" s="5" t="s">
        <v>49</v>
      </c>
      <c r="D226" s="5">
        <v>34</v>
      </c>
      <c r="E226" s="53" t="s">
        <v>1275</v>
      </c>
      <c r="F226">
        <v>-7.7</v>
      </c>
      <c r="G226" s="5" t="s">
        <v>2</v>
      </c>
      <c r="H226" s="5" t="s">
        <v>3</v>
      </c>
      <c r="I226" s="5">
        <v>0.3</v>
      </c>
      <c r="J226" s="5">
        <v>28.55</v>
      </c>
      <c r="K226" s="5" t="s">
        <v>8</v>
      </c>
      <c r="L226" s="5" t="s">
        <v>8</v>
      </c>
      <c r="M226" s="5" t="s">
        <v>9</v>
      </c>
      <c r="N226" s="15">
        <v>42.442827777799998</v>
      </c>
      <c r="O226" t="s">
        <v>962</v>
      </c>
      <c r="P226" s="6">
        <v>6.7004507000000005E-2</v>
      </c>
      <c r="Q226" s="6">
        <v>2.4678815999999999E-2</v>
      </c>
      <c r="R226" s="6">
        <v>506</v>
      </c>
      <c r="S226" s="6">
        <v>2.312499E-3</v>
      </c>
      <c r="T226" s="6">
        <v>5.6568542449999999</v>
      </c>
      <c r="U226" s="6">
        <v>0.118604246</v>
      </c>
      <c r="V226" s="6">
        <v>1.9497606000000001E-2</v>
      </c>
      <c r="W226" s="6">
        <v>1.0832000000000001E-3</v>
      </c>
      <c r="X226" s="6">
        <v>9.7226500000000004E-4</v>
      </c>
      <c r="Y226" s="6">
        <v>0.10097033599999999</v>
      </c>
      <c r="Z226" s="6">
        <v>3.7326045000000002E-2</v>
      </c>
      <c r="AA226" s="6">
        <v>5.9213597999999999E-2</v>
      </c>
      <c r="AB226" s="6">
        <v>2.1765577000000001E-2</v>
      </c>
      <c r="AC226" s="6">
        <v>4.1617763000000002E-2</v>
      </c>
      <c r="AD226" s="6">
        <v>1.5677712E-2</v>
      </c>
      <c r="AE226" s="6">
        <v>6.7004507000000005E-2</v>
      </c>
      <c r="AF226" s="6">
        <v>2.4678815999999999E-2</v>
      </c>
      <c r="AG226" s="6">
        <v>7.535459211</v>
      </c>
      <c r="AH226" s="6">
        <v>0.52758756200000001</v>
      </c>
      <c r="AI226" s="6">
        <v>-10.125489126</v>
      </c>
      <c r="AJ226" s="6">
        <v>1.463257719</v>
      </c>
      <c r="AK226" s="6">
        <v>12.634153666</v>
      </c>
      <c r="AL226" s="6">
        <v>1.451098988</v>
      </c>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row>
    <row r="227" spans="1:84" ht="16" x14ac:dyDescent="0.2">
      <c r="A227" s="4">
        <v>45840</v>
      </c>
      <c r="B227" s="19">
        <v>25183</v>
      </c>
      <c r="C227" s="5" t="s">
        <v>49</v>
      </c>
      <c r="D227" s="5">
        <v>35</v>
      </c>
      <c r="E227" s="53" t="s">
        <v>1276</v>
      </c>
      <c r="F227">
        <v>32.799999999999997</v>
      </c>
      <c r="G227" s="5" t="s">
        <v>2</v>
      </c>
      <c r="H227" s="5" t="s">
        <v>5</v>
      </c>
      <c r="I227" s="5">
        <v>0.95</v>
      </c>
      <c r="J227" s="5">
        <v>39.6</v>
      </c>
      <c r="K227" s="5">
        <v>10.1</v>
      </c>
      <c r="L227" s="5">
        <v>5.5</v>
      </c>
      <c r="M227" s="5" t="s">
        <v>4</v>
      </c>
      <c r="N227" s="15">
        <v>42.442827777799998</v>
      </c>
      <c r="O227" t="s">
        <v>963</v>
      </c>
      <c r="P227" s="6">
        <v>6.2052679999999999E-2</v>
      </c>
      <c r="Q227" s="6">
        <v>1.1125922E-2</v>
      </c>
      <c r="R227" s="6">
        <v>1073</v>
      </c>
      <c r="S227" s="6">
        <v>1.190506E-3</v>
      </c>
      <c r="T227" s="6">
        <v>2.8284271240000001</v>
      </c>
      <c r="U227" s="6">
        <v>0.121477408</v>
      </c>
      <c r="V227" s="6">
        <v>9.8002230000000003E-3</v>
      </c>
      <c r="W227" s="6">
        <v>5.4445700000000004E-4</v>
      </c>
      <c r="X227" s="6">
        <v>4.5928700000000001E-4</v>
      </c>
      <c r="Y227" s="6">
        <v>8.2297887E-2</v>
      </c>
      <c r="Z227" s="6">
        <v>1.5837014E-2</v>
      </c>
      <c r="AA227" s="6">
        <v>5.8314322000000002E-2</v>
      </c>
      <c r="AB227" s="6">
        <v>1.0276261E-2</v>
      </c>
      <c r="AC227" s="6">
        <v>4.8170350000000001E-2</v>
      </c>
      <c r="AD227" s="6">
        <v>8.7593719999999996E-3</v>
      </c>
      <c r="AE227" s="6">
        <v>6.2052679999999999E-2</v>
      </c>
      <c r="AF227" s="6">
        <v>1.1125922E-2</v>
      </c>
      <c r="AG227" s="6">
        <v>4.831591575</v>
      </c>
      <c r="AH227" s="6">
        <v>0.94190044799999995</v>
      </c>
      <c r="AI227" s="6">
        <v>-5.9523466340000004</v>
      </c>
      <c r="AJ227" s="6">
        <v>1.4527630279999999</v>
      </c>
      <c r="AK227" s="6">
        <v>7.67673104</v>
      </c>
      <c r="AL227" s="6">
        <v>1.685247148</v>
      </c>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row>
    <row r="228" spans="1:84" ht="16" x14ac:dyDescent="0.2">
      <c r="A228" s="4">
        <v>45840</v>
      </c>
      <c r="B228" s="19">
        <v>25183</v>
      </c>
      <c r="C228" s="5" t="s">
        <v>49</v>
      </c>
      <c r="D228" s="5">
        <v>36</v>
      </c>
      <c r="E228" s="53" t="s">
        <v>1277</v>
      </c>
      <c r="F228">
        <v>22.4</v>
      </c>
      <c r="G228" s="5" t="s">
        <v>2</v>
      </c>
      <c r="H228" s="5" t="s">
        <v>3</v>
      </c>
      <c r="I228" s="5">
        <v>1.1499999999999999</v>
      </c>
      <c r="J228" s="5">
        <v>44.05</v>
      </c>
      <c r="K228" s="5">
        <v>10.5</v>
      </c>
      <c r="L228" s="5">
        <v>5.6</v>
      </c>
      <c r="M228" s="5" t="s">
        <v>4</v>
      </c>
      <c r="N228" s="15">
        <v>42.442827777799998</v>
      </c>
      <c r="O228" t="s">
        <v>964</v>
      </c>
      <c r="P228" s="6">
        <v>7.8114860999999994E-2</v>
      </c>
      <c r="Q228" s="6">
        <v>9.0378539999999997E-3</v>
      </c>
      <c r="R228" s="6">
        <v>1206</v>
      </c>
      <c r="S228" s="6">
        <v>1.152248E-3</v>
      </c>
      <c r="T228" s="6">
        <v>5.6568542449999999</v>
      </c>
      <c r="U228" s="6">
        <v>0.135860126</v>
      </c>
      <c r="V228" s="6">
        <v>8.4811309999999994E-3</v>
      </c>
      <c r="W228" s="6">
        <v>4.7117399999999999E-4</v>
      </c>
      <c r="X228" s="6">
        <v>3.8609400000000002E-4</v>
      </c>
      <c r="Y228" s="6">
        <v>0.11141171499999999</v>
      </c>
      <c r="Z228" s="6">
        <v>1.5156078E-2</v>
      </c>
      <c r="AA228" s="6">
        <v>7.0342439000000007E-2</v>
      </c>
      <c r="AB228" s="6">
        <v>8.0960600000000004E-3</v>
      </c>
      <c r="AC228" s="6">
        <v>5.5260089999999998E-2</v>
      </c>
      <c r="AD228" s="6">
        <v>6.9902999999999996E-3</v>
      </c>
      <c r="AE228" s="6">
        <v>7.8114860999999994E-2</v>
      </c>
      <c r="AF228" s="6">
        <v>9.0378539999999997E-3</v>
      </c>
      <c r="AG228" s="6">
        <v>6.4609879719999999</v>
      </c>
      <c r="AH228" s="6">
        <v>1.2472701020000001</v>
      </c>
      <c r="AI228" s="6">
        <v>-7.6951283500000001</v>
      </c>
      <c r="AJ228" s="6">
        <v>1.03281296</v>
      </c>
      <c r="AK228" s="6">
        <v>10.060981349</v>
      </c>
      <c r="AL228" s="6">
        <v>1.535638866</v>
      </c>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row>
    <row r="229" spans="1:84" ht="16" x14ac:dyDescent="0.2">
      <c r="A229" s="4">
        <v>45840</v>
      </c>
      <c r="B229" s="19">
        <v>25183</v>
      </c>
      <c r="C229" s="5" t="s">
        <v>49</v>
      </c>
      <c r="D229" s="5">
        <v>37</v>
      </c>
      <c r="E229" s="53" t="s">
        <v>1278</v>
      </c>
      <c r="F229">
        <v>52.5</v>
      </c>
      <c r="G229" s="5" t="s">
        <v>2</v>
      </c>
      <c r="H229" s="5" t="s">
        <v>3</v>
      </c>
      <c r="I229" s="5">
        <v>0.5</v>
      </c>
      <c r="J229" s="5">
        <v>34.15</v>
      </c>
      <c r="K229" s="5">
        <v>8.4</v>
      </c>
      <c r="L229" s="5">
        <v>5</v>
      </c>
      <c r="M229" s="5" t="s">
        <v>9</v>
      </c>
      <c r="N229" s="15">
        <v>42.442827777799998</v>
      </c>
      <c r="O229" t="s">
        <v>965</v>
      </c>
      <c r="P229" s="6">
        <v>8.1584153000000006E-2</v>
      </c>
      <c r="Q229" s="6">
        <v>1.2288151000000001E-2</v>
      </c>
      <c r="R229" s="6">
        <v>772</v>
      </c>
      <c r="S229" s="6">
        <v>1.491816E-3</v>
      </c>
      <c r="T229" s="6">
        <v>5.6568542449999999</v>
      </c>
      <c r="U229" s="6">
        <v>0.134271153</v>
      </c>
      <c r="V229" s="6">
        <v>1.1110475E-2</v>
      </c>
      <c r="W229" s="6">
        <v>6.1724900000000005E-4</v>
      </c>
      <c r="X229" s="6">
        <v>6.2053399999999995E-4</v>
      </c>
      <c r="Y229" s="6">
        <v>0.110523369</v>
      </c>
      <c r="Z229" s="6">
        <v>1.7109275E-2</v>
      </c>
      <c r="AA229" s="6">
        <v>7.6157116999999996E-2</v>
      </c>
      <c r="AB229" s="6">
        <v>1.1620093999999999E-2</v>
      </c>
      <c r="AC229" s="6">
        <v>5.7492201999999999E-2</v>
      </c>
      <c r="AD229" s="6">
        <v>8.6265119999999994E-3</v>
      </c>
      <c r="AE229" s="6">
        <v>8.1584153000000006E-2</v>
      </c>
      <c r="AF229" s="6">
        <v>1.2288151000000001E-2</v>
      </c>
      <c r="AG229" s="6">
        <v>5.258420396</v>
      </c>
      <c r="AH229" s="6">
        <v>0.72840101400000001</v>
      </c>
      <c r="AI229" s="6">
        <v>-7.6199647949999996</v>
      </c>
      <c r="AJ229" s="6">
        <v>0.87974510100000003</v>
      </c>
      <c r="AK229" s="6">
        <v>9.2619278690000009</v>
      </c>
      <c r="AL229" s="6">
        <v>1.1117425329999999</v>
      </c>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row>
    <row r="230" spans="1:84" ht="16" x14ac:dyDescent="0.2">
      <c r="A230" s="4">
        <v>45840</v>
      </c>
      <c r="B230" s="19">
        <v>25183</v>
      </c>
      <c r="C230" s="5" t="s">
        <v>49</v>
      </c>
      <c r="D230" s="25">
        <v>38</v>
      </c>
      <c r="E230" s="53" t="s">
        <v>1279</v>
      </c>
      <c r="F230">
        <v>21.4</v>
      </c>
      <c r="G230" s="5" t="s">
        <v>2</v>
      </c>
      <c r="H230" s="5" t="s">
        <v>3</v>
      </c>
      <c r="I230" s="5">
        <v>1</v>
      </c>
      <c r="J230" s="5">
        <v>42.9</v>
      </c>
      <c r="K230" s="5">
        <v>9.9</v>
      </c>
      <c r="L230" s="5">
        <v>5.7</v>
      </c>
      <c r="M230" s="5" t="s">
        <v>4</v>
      </c>
      <c r="N230" s="15">
        <v>42.442827777799998</v>
      </c>
      <c r="O230" t="s">
        <v>640</v>
      </c>
      <c r="P230" s="6">
        <v>7.1398804999999996E-2</v>
      </c>
      <c r="Q230" s="6">
        <v>6.4922139999999996E-3</v>
      </c>
      <c r="R230" s="6">
        <v>1282</v>
      </c>
      <c r="S230" s="6">
        <v>6.9197200000000001E-4</v>
      </c>
      <c r="T230" s="6">
        <v>5.6568542449999999</v>
      </c>
      <c r="U230" s="6">
        <v>8.9962275999999994E-2</v>
      </c>
      <c r="V230" s="6">
        <v>7.6918070000000002E-3</v>
      </c>
      <c r="W230" s="6">
        <v>4.2732300000000001E-4</v>
      </c>
      <c r="X230" s="6">
        <v>2.5646799999999998E-4</v>
      </c>
      <c r="Y230" s="6">
        <v>9.9435434000000003E-2</v>
      </c>
      <c r="Z230" s="6">
        <v>7.8378170000000004E-3</v>
      </c>
      <c r="AA230" s="6">
        <v>6.5276909999999994E-2</v>
      </c>
      <c r="AB230" s="6">
        <v>6.3441180000000002E-3</v>
      </c>
      <c r="AC230" s="6">
        <v>5.2689073000000003E-2</v>
      </c>
      <c r="AD230" s="6">
        <v>6.8515650000000004E-3</v>
      </c>
      <c r="AE230" s="6">
        <v>7.1398804999999996E-2</v>
      </c>
      <c r="AF230" s="6">
        <v>6.4922139999999996E-3</v>
      </c>
      <c r="AG230" s="6">
        <v>5.9715257450000001</v>
      </c>
      <c r="AH230" s="6">
        <v>0.67262140699999995</v>
      </c>
      <c r="AI230" s="6">
        <v>-7.005398295</v>
      </c>
      <c r="AJ230" s="6">
        <v>1.157685318</v>
      </c>
      <c r="AK230" s="6">
        <v>9.2113025390000001</v>
      </c>
      <c r="AL230" s="6">
        <v>1.2958383579999999</v>
      </c>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row>
    <row r="231" spans="1:84" ht="16" x14ac:dyDescent="0.2">
      <c r="A231" s="4">
        <v>45840</v>
      </c>
      <c r="B231" s="19">
        <v>25183</v>
      </c>
      <c r="C231" s="5" t="s">
        <v>49</v>
      </c>
      <c r="D231" s="25">
        <v>39</v>
      </c>
      <c r="E231" s="53" t="s">
        <v>1280</v>
      </c>
      <c r="F231">
        <v>24.8</v>
      </c>
      <c r="G231" s="5" t="s">
        <v>2</v>
      </c>
      <c r="H231" s="5" t="s">
        <v>3</v>
      </c>
      <c r="I231" s="5">
        <v>0.95</v>
      </c>
      <c r="J231" s="5">
        <v>42.6</v>
      </c>
      <c r="K231" s="5">
        <v>10.5</v>
      </c>
      <c r="L231" s="5">
        <v>5.85</v>
      </c>
      <c r="M231" s="5" t="s">
        <v>4</v>
      </c>
      <c r="N231" s="15">
        <v>42.442827777799998</v>
      </c>
      <c r="O231" t="s">
        <v>641</v>
      </c>
      <c r="P231" s="6">
        <v>8.1845480999999998E-2</v>
      </c>
      <c r="Q231" s="6">
        <v>1.3126573000000001E-2</v>
      </c>
      <c r="R231" s="6">
        <v>1257</v>
      </c>
      <c r="S231" s="6">
        <v>1.5907759999999999E-3</v>
      </c>
      <c r="T231" s="6">
        <v>90.509667729</v>
      </c>
      <c r="U231" s="6">
        <v>0.10953645200000001</v>
      </c>
      <c r="V231" s="6">
        <v>1.4522803000000001E-2</v>
      </c>
      <c r="W231" s="6">
        <v>8.0682200000000001E-4</v>
      </c>
      <c r="X231" s="6">
        <v>5.1614900000000003E-4</v>
      </c>
      <c r="Y231" s="6">
        <v>0.121170847</v>
      </c>
      <c r="Z231" s="6">
        <v>2.2052473E-2</v>
      </c>
      <c r="AA231" s="6">
        <v>7.2695336999999999E-2</v>
      </c>
      <c r="AB231" s="6">
        <v>1.0791133E-2</v>
      </c>
      <c r="AC231" s="6">
        <v>5.3568027999999997E-2</v>
      </c>
      <c r="AD231" s="6">
        <v>8.0441149999999993E-3</v>
      </c>
      <c r="AE231" s="6">
        <v>8.1845480999999998E-2</v>
      </c>
      <c r="AF231" s="6">
        <v>1.3126573000000001E-2</v>
      </c>
      <c r="AG231" s="6">
        <v>7.130456959</v>
      </c>
      <c r="AH231" s="6">
        <v>0.96138824700000003</v>
      </c>
      <c r="AI231" s="6">
        <v>-9.1175026500000005</v>
      </c>
      <c r="AJ231" s="6">
        <v>0.86302189299999998</v>
      </c>
      <c r="AK231" s="6">
        <v>11.584907966999999</v>
      </c>
      <c r="AL231" s="6">
        <v>1.1962707050000001</v>
      </c>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row>
    <row r="232" spans="1:84" ht="16" x14ac:dyDescent="0.2">
      <c r="A232" s="4">
        <v>45840</v>
      </c>
      <c r="B232" s="19">
        <v>25183</v>
      </c>
      <c r="C232" s="5" t="s">
        <v>49</v>
      </c>
      <c r="D232" s="5">
        <v>40</v>
      </c>
      <c r="E232" s="53" t="s">
        <v>1281</v>
      </c>
      <c r="F232">
        <v>35.200000000000003</v>
      </c>
      <c r="G232" s="5" t="s">
        <v>2</v>
      </c>
      <c r="H232" s="5" t="s">
        <v>3</v>
      </c>
      <c r="I232" s="5">
        <v>0.5</v>
      </c>
      <c r="J232" s="5">
        <v>32.35</v>
      </c>
      <c r="K232" s="5">
        <v>8.4499999999999993</v>
      </c>
      <c r="L232" s="5">
        <v>5</v>
      </c>
      <c r="M232" s="5" t="s">
        <v>4</v>
      </c>
      <c r="N232" s="15">
        <v>42.442827777799998</v>
      </c>
      <c r="O232" t="s">
        <v>966</v>
      </c>
      <c r="P232" s="6">
        <v>7.9248265999999998E-2</v>
      </c>
      <c r="Q232" s="6">
        <v>1.0613081999999999E-2</v>
      </c>
      <c r="R232" s="6">
        <v>737</v>
      </c>
      <c r="S232" s="6">
        <v>1.090653E-3</v>
      </c>
      <c r="T232" s="6">
        <v>3.9999999979999998</v>
      </c>
      <c r="U232" s="6">
        <v>0.107763962</v>
      </c>
      <c r="V232" s="6">
        <v>1.0120759E-2</v>
      </c>
      <c r="W232" s="6">
        <v>5.6226400000000004E-4</v>
      </c>
      <c r="X232" s="6">
        <v>4.3748499999999999E-4</v>
      </c>
      <c r="Y232" s="6">
        <v>0.11527739300000001</v>
      </c>
      <c r="Z232" s="6">
        <v>1.5114936000000001E-2</v>
      </c>
      <c r="AA232" s="6">
        <v>7.1226599000000002E-2</v>
      </c>
      <c r="AB232" s="6">
        <v>9.6320659999999999E-3</v>
      </c>
      <c r="AC232" s="6">
        <v>5.1879598999999998E-2</v>
      </c>
      <c r="AD232" s="6">
        <v>7.9632260000000003E-3</v>
      </c>
      <c r="AE232" s="6">
        <v>7.9248265999999998E-2</v>
      </c>
      <c r="AF232" s="6">
        <v>1.0613081999999999E-2</v>
      </c>
      <c r="AG232" s="6">
        <v>6.8203635220000001</v>
      </c>
      <c r="AH232" s="6">
        <v>0.247032271</v>
      </c>
      <c r="AI232" s="6">
        <v>-9.1660152139999997</v>
      </c>
      <c r="AJ232" s="6">
        <v>1.023019637</v>
      </c>
      <c r="AK232" s="6">
        <v>11.435180246</v>
      </c>
      <c r="AL232" s="6">
        <v>0.93655082099999998</v>
      </c>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row>
    <row r="233" spans="1:84" ht="16" x14ac:dyDescent="0.2">
      <c r="A233" s="4">
        <v>45842</v>
      </c>
      <c r="B233" s="19">
        <v>25185</v>
      </c>
      <c r="C233" s="5" t="s">
        <v>52</v>
      </c>
      <c r="D233" s="5">
        <v>10</v>
      </c>
      <c r="E233" s="53" t="s">
        <v>1282</v>
      </c>
      <c r="F233">
        <v>-8.6999999999999993</v>
      </c>
      <c r="G233" s="5" t="s">
        <v>2</v>
      </c>
      <c r="H233" s="5" t="s">
        <v>3</v>
      </c>
      <c r="I233" s="5">
        <v>1.25</v>
      </c>
      <c r="J233" s="5">
        <v>42.9</v>
      </c>
      <c r="K233" s="5">
        <v>9.5</v>
      </c>
      <c r="L233" s="5">
        <v>5.4</v>
      </c>
      <c r="M233" s="5" t="s">
        <v>4</v>
      </c>
      <c r="N233" s="15">
        <v>42.449333000000003</v>
      </c>
      <c r="O233" s="42" t="s">
        <v>967</v>
      </c>
      <c r="P233" s="6">
        <v>8.3163269999999997E-2</v>
      </c>
      <c r="Q233" s="6">
        <v>1.0300994000000001E-2</v>
      </c>
      <c r="R233" s="6">
        <v>1277</v>
      </c>
      <c r="S233" s="6">
        <v>1.1920839999999999E-3</v>
      </c>
      <c r="T233" s="6">
        <v>3.9999999979999998</v>
      </c>
      <c r="U233" s="6">
        <v>0.106803857</v>
      </c>
      <c r="V233" s="6">
        <v>1.1161433E-2</v>
      </c>
      <c r="W233" s="6">
        <v>6.2007999999999996E-4</v>
      </c>
      <c r="X233" s="6">
        <v>4.1079000000000002E-4</v>
      </c>
      <c r="Y233" s="6">
        <v>0.123638107</v>
      </c>
      <c r="Z233" s="6">
        <v>1.6537393000000001E-2</v>
      </c>
      <c r="AA233" s="6">
        <v>7.3798315000000003E-2</v>
      </c>
      <c r="AB233" s="6">
        <v>9.0361139999999996E-3</v>
      </c>
      <c r="AC233" s="6">
        <v>5.3611797000000003E-2</v>
      </c>
      <c r="AD233" s="6">
        <v>6.280201E-3</v>
      </c>
      <c r="AE233" s="6">
        <v>8.3163269999999997E-2</v>
      </c>
      <c r="AF233" s="6">
        <v>1.0300994000000001E-2</v>
      </c>
      <c r="AG233" s="6">
        <v>7.2801807700000003</v>
      </c>
      <c r="AH233" s="6">
        <v>0.73500961099999995</v>
      </c>
      <c r="AI233" s="6">
        <v>-9.4136985430000006</v>
      </c>
      <c r="AJ233" s="6">
        <v>0.86995562800000004</v>
      </c>
      <c r="AK233" s="6">
        <v>11.902728412</v>
      </c>
      <c r="AL233" s="6">
        <v>1.113923816</v>
      </c>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row>
    <row r="234" spans="1:84" ht="16" x14ac:dyDescent="0.2">
      <c r="A234" s="4">
        <v>45842</v>
      </c>
      <c r="B234" s="19">
        <v>25185</v>
      </c>
      <c r="C234" s="5" t="s">
        <v>52</v>
      </c>
      <c r="D234" s="5">
        <v>11</v>
      </c>
      <c r="E234" s="53" t="s">
        <v>1283</v>
      </c>
      <c r="F234" s="6">
        <v>-2.2999999999999998</v>
      </c>
      <c r="G234" s="5" t="s">
        <v>2</v>
      </c>
      <c r="H234" s="5" t="s">
        <v>3</v>
      </c>
      <c r="I234" s="5">
        <v>1.3</v>
      </c>
      <c r="J234" s="5">
        <v>41.3</v>
      </c>
      <c r="K234" s="5">
        <v>9.6</v>
      </c>
      <c r="L234" s="5">
        <v>5.85</v>
      </c>
      <c r="M234" s="5" t="s">
        <v>4</v>
      </c>
      <c r="N234" s="15">
        <v>42.449333000000003</v>
      </c>
      <c r="O234" s="6" t="s">
        <v>968</v>
      </c>
      <c r="P234" s="6">
        <v>7.9684117999999998E-2</v>
      </c>
      <c r="Q234" s="6">
        <v>1.4085946E-2</v>
      </c>
      <c r="R234" s="6">
        <v>1277</v>
      </c>
      <c r="S234" s="6">
        <v>1.527062E-3</v>
      </c>
      <c r="T234" s="6">
        <v>2.8284271240000001</v>
      </c>
      <c r="U234" s="6">
        <v>0.11319290899999999</v>
      </c>
      <c r="V234" s="6">
        <v>1.3490790000000001E-2</v>
      </c>
      <c r="W234" s="6">
        <v>7.4948799999999998E-4</v>
      </c>
      <c r="X234" s="6">
        <v>5.0339799999999995E-4</v>
      </c>
      <c r="Y234" s="6">
        <v>0.115312095</v>
      </c>
      <c r="Z234" s="6">
        <v>2.1077793000000001E-2</v>
      </c>
      <c r="AA234" s="6">
        <v>7.1571864999999998E-2</v>
      </c>
      <c r="AB234" s="6">
        <v>1.2473657000000001E-2</v>
      </c>
      <c r="AC234" s="6">
        <v>5.4233082000000002E-2</v>
      </c>
      <c r="AD234" s="6">
        <v>1.0036531E-2</v>
      </c>
      <c r="AE234" s="6">
        <v>7.9684117999999998E-2</v>
      </c>
      <c r="AF234" s="6">
        <v>1.4085946E-2</v>
      </c>
      <c r="AG234" s="6">
        <v>6.6954678059999999</v>
      </c>
      <c r="AH234" s="6">
        <v>0.70364044699999995</v>
      </c>
      <c r="AI234" s="6">
        <v>-8.4298008650000007</v>
      </c>
      <c r="AJ234" s="6">
        <v>0.840433506</v>
      </c>
      <c r="AK234" s="6">
        <v>10.770259553000001</v>
      </c>
      <c r="AL234" s="6">
        <v>1.04579876</v>
      </c>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row>
    <row r="235" spans="1:84" ht="16" x14ac:dyDescent="0.2">
      <c r="A235" s="4">
        <v>45842</v>
      </c>
      <c r="B235" s="19">
        <v>25185</v>
      </c>
      <c r="C235" s="5" t="s">
        <v>52</v>
      </c>
      <c r="D235" s="5">
        <v>12</v>
      </c>
      <c r="E235" s="53" t="s">
        <v>1284</v>
      </c>
      <c r="F235">
        <v>22.6</v>
      </c>
      <c r="G235" s="5" t="s">
        <v>2</v>
      </c>
      <c r="H235" s="5" t="s">
        <v>3</v>
      </c>
      <c r="I235" s="5">
        <v>0.95</v>
      </c>
      <c r="J235" s="5">
        <v>36.9</v>
      </c>
      <c r="K235" s="5">
        <v>9.35</v>
      </c>
      <c r="L235" s="5">
        <v>5.45</v>
      </c>
      <c r="M235" s="5" t="s">
        <v>4</v>
      </c>
      <c r="N235" s="15">
        <v>42.449333000000003</v>
      </c>
      <c r="O235" s="42" t="s">
        <v>969</v>
      </c>
      <c r="P235" s="6">
        <v>7.6785047999999995E-2</v>
      </c>
      <c r="Q235" s="6">
        <v>8.0136800000000005E-3</v>
      </c>
      <c r="R235" s="6">
        <v>1067</v>
      </c>
      <c r="S235" s="6">
        <v>8.9861900000000002E-4</v>
      </c>
      <c r="T235" s="6">
        <v>5.6568542449999999</v>
      </c>
      <c r="U235" s="6">
        <v>0.120504954</v>
      </c>
      <c r="V235" s="6">
        <v>7.4571100000000003E-3</v>
      </c>
      <c r="W235" s="6">
        <v>4.1428400000000001E-4</v>
      </c>
      <c r="X235" s="6">
        <v>3.5387400000000001E-4</v>
      </c>
      <c r="Y235" s="6">
        <v>0.122131718</v>
      </c>
      <c r="Z235" s="6">
        <v>1.4095687000000001E-2</v>
      </c>
      <c r="AA235" s="6">
        <v>6.5117964E-2</v>
      </c>
      <c r="AB235" s="6">
        <v>6.6105290000000004E-3</v>
      </c>
      <c r="AC235" s="6">
        <v>4.6836748999999997E-2</v>
      </c>
      <c r="AD235" s="6">
        <v>5.4386640000000002E-3</v>
      </c>
      <c r="AE235" s="6">
        <v>7.6785047999999995E-2</v>
      </c>
      <c r="AF235" s="6">
        <v>8.0136800000000005E-3</v>
      </c>
      <c r="AG235" s="6">
        <v>8.8677535350000003</v>
      </c>
      <c r="AH235" s="6">
        <v>0.798292632</v>
      </c>
      <c r="AI235" s="6">
        <v>-10.533476745</v>
      </c>
      <c r="AJ235" s="6">
        <v>1.3380872640000001</v>
      </c>
      <c r="AK235" s="6">
        <v>13.773668279000001</v>
      </c>
      <c r="AL235" s="6">
        <v>1.51818341</v>
      </c>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row>
    <row r="236" spans="1:84" ht="16" x14ac:dyDescent="0.2">
      <c r="A236" s="4">
        <v>45842</v>
      </c>
      <c r="B236" s="19">
        <v>25185</v>
      </c>
      <c r="C236" s="5" t="s">
        <v>52</v>
      </c>
      <c r="D236" s="5">
        <v>13</v>
      </c>
      <c r="E236" s="53" t="s">
        <v>1285</v>
      </c>
      <c r="F236">
        <v>24.9</v>
      </c>
      <c r="G236" s="5" t="s">
        <v>2</v>
      </c>
      <c r="H236" s="5" t="s">
        <v>5</v>
      </c>
      <c r="I236" s="5">
        <v>0.7</v>
      </c>
      <c r="J236" s="5">
        <v>36.9</v>
      </c>
      <c r="K236" s="5">
        <v>9.3000000000000007</v>
      </c>
      <c r="L236" s="5">
        <v>5.25</v>
      </c>
      <c r="M236" s="5" t="s">
        <v>4</v>
      </c>
      <c r="N236" s="15">
        <v>42.449333000000003</v>
      </c>
      <c r="O236" s="42" t="s">
        <v>970</v>
      </c>
      <c r="P236" s="6">
        <v>6.4519936999999999E-2</v>
      </c>
      <c r="Q236" s="6">
        <v>1.2430511E-2</v>
      </c>
      <c r="R236" s="6">
        <v>882</v>
      </c>
      <c r="S236" s="6">
        <v>1.4072100000000001E-3</v>
      </c>
      <c r="T236" s="6">
        <v>2.8284271240000001</v>
      </c>
      <c r="U236" s="6">
        <v>0.11062140299999999</v>
      </c>
      <c r="V236" s="6">
        <v>1.2720953E-2</v>
      </c>
      <c r="W236" s="6">
        <v>7.0671999999999998E-4</v>
      </c>
      <c r="X236" s="6">
        <v>4.5346500000000001E-4</v>
      </c>
      <c r="Y236" s="6">
        <v>9.5849891000000007E-2</v>
      </c>
      <c r="Z236" s="6">
        <v>1.9506800000000001E-2</v>
      </c>
      <c r="AA236" s="6">
        <v>5.6739688000000003E-2</v>
      </c>
      <c r="AB236" s="6">
        <v>1.080132E-2</v>
      </c>
      <c r="AC236" s="6">
        <v>4.4868743000000003E-2</v>
      </c>
      <c r="AD236" s="6">
        <v>8.2210270000000005E-3</v>
      </c>
      <c r="AE236" s="6">
        <v>6.4519936999999999E-2</v>
      </c>
      <c r="AF236" s="6">
        <v>1.2430511E-2</v>
      </c>
      <c r="AG236" s="6">
        <v>7.3160304419999997</v>
      </c>
      <c r="AH236" s="6">
        <v>0.94049950500000001</v>
      </c>
      <c r="AI236" s="6">
        <v>-8.0036204949999998</v>
      </c>
      <c r="AJ236" s="6">
        <v>0.98000248400000001</v>
      </c>
      <c r="AK236" s="6">
        <v>10.846230928000001</v>
      </c>
      <c r="AL236" s="6">
        <v>1.3365612630000001</v>
      </c>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row>
    <row r="237" spans="1:84" ht="16" x14ac:dyDescent="0.2">
      <c r="A237" s="4">
        <v>45842</v>
      </c>
      <c r="B237" s="19">
        <v>25185</v>
      </c>
      <c r="C237" s="5" t="s">
        <v>52</v>
      </c>
      <c r="D237" s="5">
        <v>14</v>
      </c>
      <c r="E237" s="53" t="s">
        <v>1286</v>
      </c>
      <c r="F237" s="6">
        <v>16.2</v>
      </c>
      <c r="G237" s="5" t="s">
        <v>2</v>
      </c>
      <c r="H237" s="5" t="s">
        <v>3</v>
      </c>
      <c r="I237" s="5">
        <v>0.8</v>
      </c>
      <c r="J237" s="5">
        <v>36.799999999999997</v>
      </c>
      <c r="K237" s="5">
        <v>9.25</v>
      </c>
      <c r="L237" s="5">
        <v>5.2</v>
      </c>
      <c r="M237" s="5" t="s">
        <v>4</v>
      </c>
      <c r="N237" s="15">
        <v>42.449333000000003</v>
      </c>
      <c r="O237" s="6" t="s">
        <v>971</v>
      </c>
      <c r="P237" s="6">
        <v>7.1755202000000004E-2</v>
      </c>
      <c r="Q237" s="6">
        <v>1.4014011E-2</v>
      </c>
      <c r="R237" s="6">
        <v>820</v>
      </c>
      <c r="S237" s="6">
        <v>1.670862E-3</v>
      </c>
      <c r="T237" s="6">
        <v>5.6568542449999999</v>
      </c>
      <c r="U237" s="6">
        <v>0.12760547699999999</v>
      </c>
      <c r="V237" s="6">
        <v>1.3093966E-2</v>
      </c>
      <c r="W237" s="6">
        <v>7.2744300000000003E-4</v>
      </c>
      <c r="X237" s="6">
        <v>5.5866100000000001E-4</v>
      </c>
      <c r="Y237" s="6">
        <v>0.106570625</v>
      </c>
      <c r="Z237" s="6">
        <v>2.4119543E-2</v>
      </c>
      <c r="AA237" s="6">
        <v>6.3460524000000004E-2</v>
      </c>
      <c r="AB237" s="6">
        <v>1.1294106999999999E-2</v>
      </c>
      <c r="AC237" s="6">
        <v>4.7527499000000001E-2</v>
      </c>
      <c r="AD237" s="6">
        <v>8.2117330000000006E-3</v>
      </c>
      <c r="AE237" s="6">
        <v>7.1755202000000004E-2</v>
      </c>
      <c r="AF237" s="6">
        <v>1.4014011E-2</v>
      </c>
      <c r="AG237" s="6">
        <v>7.16492269</v>
      </c>
      <c r="AH237" s="6">
        <v>1.0165185880000001</v>
      </c>
      <c r="AI237" s="6">
        <v>-8.8450136310000005</v>
      </c>
      <c r="AJ237" s="6">
        <v>0.93605287500000001</v>
      </c>
      <c r="AK237" s="6">
        <v>11.389532132999999</v>
      </c>
      <c r="AL237" s="6">
        <v>1.3259945129999999</v>
      </c>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row>
    <row r="238" spans="1:84" ht="16" x14ac:dyDescent="0.2">
      <c r="A238" s="4">
        <v>45842</v>
      </c>
      <c r="B238" s="19">
        <v>25185</v>
      </c>
      <c r="C238" s="5" t="s">
        <v>52</v>
      </c>
      <c r="D238" s="5">
        <v>15</v>
      </c>
      <c r="E238" s="53" t="s">
        <v>1287</v>
      </c>
      <c r="F238">
        <v>-20.7</v>
      </c>
      <c r="G238" s="5" t="s">
        <v>2</v>
      </c>
      <c r="H238" s="5" t="s">
        <v>3</v>
      </c>
      <c r="I238" s="5">
        <v>0.55000000000000004</v>
      </c>
      <c r="J238" s="5">
        <v>30.9</v>
      </c>
      <c r="K238" s="5">
        <v>8.25</v>
      </c>
      <c r="L238" s="5">
        <v>5</v>
      </c>
      <c r="M238" s="5" t="s">
        <v>9</v>
      </c>
      <c r="N238" s="15">
        <v>42.449333000000003</v>
      </c>
      <c r="O238" s="42" t="s">
        <v>972</v>
      </c>
      <c r="P238" s="6">
        <v>9.3585441000000005E-2</v>
      </c>
      <c r="Q238" s="6">
        <v>1.6116952E-2</v>
      </c>
      <c r="R238" s="6">
        <v>639</v>
      </c>
      <c r="S238" s="6">
        <v>1.51998E-3</v>
      </c>
      <c r="T238" s="6">
        <v>2</v>
      </c>
      <c r="U238" s="6">
        <v>0.11310421399999999</v>
      </c>
      <c r="V238" s="6">
        <v>1.3438754000000001E-2</v>
      </c>
      <c r="W238" s="6">
        <v>7.4659699999999999E-4</v>
      </c>
      <c r="X238" s="6">
        <v>5.5564099999999995E-4</v>
      </c>
      <c r="Y238" s="6">
        <v>0.136531297</v>
      </c>
      <c r="Z238" s="6">
        <v>2.3681758000000001E-2</v>
      </c>
      <c r="AA238" s="6">
        <v>8.5445671000000001E-2</v>
      </c>
      <c r="AB238" s="6">
        <v>1.4947152999999999E-2</v>
      </c>
      <c r="AC238" s="6">
        <v>5.4076929000000003E-2</v>
      </c>
      <c r="AD238" s="6">
        <v>8.9603440000000003E-3</v>
      </c>
      <c r="AE238" s="6">
        <v>9.3585441000000005E-2</v>
      </c>
      <c r="AF238" s="6">
        <v>1.6116952E-2</v>
      </c>
      <c r="AG238" s="6">
        <v>6.6520324750000004</v>
      </c>
      <c r="AH238" s="6">
        <v>0.59088788199999998</v>
      </c>
      <c r="AI238" s="6">
        <v>-11.295080303000001</v>
      </c>
      <c r="AJ238" s="6">
        <v>0.70494456400000005</v>
      </c>
      <c r="AK238" s="6">
        <v>13.112211458999999</v>
      </c>
      <c r="AL238" s="6">
        <v>0.86268290299999995</v>
      </c>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row>
    <row r="239" spans="1:84" ht="16" x14ac:dyDescent="0.2">
      <c r="A239" s="4">
        <v>45842</v>
      </c>
      <c r="B239" s="19">
        <v>25185</v>
      </c>
      <c r="C239" s="5" t="s">
        <v>52</v>
      </c>
      <c r="D239" s="5">
        <v>16</v>
      </c>
      <c r="E239" s="53" t="s">
        <v>1288</v>
      </c>
      <c r="F239">
        <v>24.4</v>
      </c>
      <c r="G239" s="5" t="s">
        <v>2</v>
      </c>
      <c r="H239" s="5" t="s">
        <v>3</v>
      </c>
      <c r="I239" s="5">
        <v>0.75</v>
      </c>
      <c r="J239" s="5">
        <v>33.549999999999997</v>
      </c>
      <c r="K239" s="5">
        <v>8.75</v>
      </c>
      <c r="L239" s="5">
        <v>4.8</v>
      </c>
      <c r="M239" s="5" t="s">
        <v>4</v>
      </c>
      <c r="N239" s="15">
        <v>42.449333000000003</v>
      </c>
      <c r="O239" t="s">
        <v>973</v>
      </c>
      <c r="P239" s="6">
        <v>8.9180971999999997E-2</v>
      </c>
      <c r="Q239" s="6">
        <v>1.410339E-2</v>
      </c>
      <c r="R239" s="6">
        <v>839</v>
      </c>
      <c r="S239" s="6">
        <v>1.4600679999999999E-3</v>
      </c>
      <c r="T239" s="6">
        <v>3.9999999979999998</v>
      </c>
      <c r="U239" s="6">
        <v>0.10707301800000001</v>
      </c>
      <c r="V239" s="6">
        <v>1.3636194000000001E-2</v>
      </c>
      <c r="W239" s="6">
        <v>7.5756599999999999E-4</v>
      </c>
      <c r="X239" s="6">
        <v>5.7074000000000003E-4</v>
      </c>
      <c r="Y239" s="6">
        <v>0.145936657</v>
      </c>
      <c r="Z239" s="6">
        <v>2.3889150000000001E-2</v>
      </c>
      <c r="AA239" s="6">
        <v>7.4527734999999998E-2</v>
      </c>
      <c r="AB239" s="6">
        <v>1.1507046E-2</v>
      </c>
      <c r="AC239" s="6">
        <v>4.9094446E-2</v>
      </c>
      <c r="AD239" s="6">
        <v>7.6952080000000003E-3</v>
      </c>
      <c r="AE239" s="6">
        <v>8.9180971999999997E-2</v>
      </c>
      <c r="AF239" s="6">
        <v>1.410339E-2</v>
      </c>
      <c r="AG239" s="6">
        <v>9.4807164099999994</v>
      </c>
      <c r="AH239" s="6">
        <v>0.374333258</v>
      </c>
      <c r="AI239" s="6">
        <v>-12.299643008</v>
      </c>
      <c r="AJ239" s="6">
        <v>0.67117541300000005</v>
      </c>
      <c r="AK239" s="6">
        <v>15.533052687</v>
      </c>
      <c r="AL239" s="6">
        <v>0.69278108500000002</v>
      </c>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row>
    <row r="240" spans="1:84" ht="16" x14ac:dyDescent="0.2">
      <c r="A240" s="4">
        <v>45842</v>
      </c>
      <c r="B240" s="19">
        <v>25185</v>
      </c>
      <c r="C240" s="5" t="s">
        <v>52</v>
      </c>
      <c r="D240" s="5">
        <v>17</v>
      </c>
      <c r="E240" s="53" t="s">
        <v>1289</v>
      </c>
      <c r="F240">
        <v>12.9</v>
      </c>
      <c r="G240" s="5" t="s">
        <v>2</v>
      </c>
      <c r="H240" s="5" t="s">
        <v>5</v>
      </c>
      <c r="I240" s="5">
        <v>0.65</v>
      </c>
      <c r="J240" s="5">
        <v>33</v>
      </c>
      <c r="K240" s="5">
        <v>8.5</v>
      </c>
      <c r="L240" s="5">
        <v>4.8</v>
      </c>
      <c r="M240" s="5" t="s">
        <v>4</v>
      </c>
      <c r="N240" s="15">
        <v>42.449333000000003</v>
      </c>
      <c r="O240" t="s">
        <v>974</v>
      </c>
      <c r="P240" s="6">
        <v>6.2944462000000007E-2</v>
      </c>
      <c r="Q240" s="6">
        <v>9.5477389999999995E-3</v>
      </c>
      <c r="R240" s="6">
        <v>756</v>
      </c>
      <c r="S240" s="6">
        <v>1.1696650000000001E-3</v>
      </c>
      <c r="T240" s="6">
        <v>3.9999999979999998</v>
      </c>
      <c r="U240" s="6">
        <v>0.12645917300000001</v>
      </c>
      <c r="V240" s="6">
        <v>9.2493490000000005E-3</v>
      </c>
      <c r="W240" s="6">
        <v>5.1385299999999999E-4</v>
      </c>
      <c r="X240" s="6">
        <v>3.7520300000000001E-4</v>
      </c>
      <c r="Y240" s="6">
        <v>9.4492776000000001E-2</v>
      </c>
      <c r="Z240" s="6">
        <v>1.4247665E-2</v>
      </c>
      <c r="AA240" s="6">
        <v>5.5839527E-2</v>
      </c>
      <c r="AB240" s="6">
        <v>8.6774209999999994E-3</v>
      </c>
      <c r="AC240" s="6">
        <v>4.0314664E-2</v>
      </c>
      <c r="AD240" s="6">
        <v>6.4030449999999996E-3</v>
      </c>
      <c r="AE240" s="6">
        <v>6.2944462000000007E-2</v>
      </c>
      <c r="AF240" s="6">
        <v>9.5477389999999995E-3</v>
      </c>
      <c r="AG240" s="6">
        <v>7.4547184690000003</v>
      </c>
      <c r="AH240" s="6">
        <v>0.62816583800000003</v>
      </c>
      <c r="AI240" s="6">
        <v>-9.6359585130000003</v>
      </c>
      <c r="AJ240" s="6">
        <v>0.59355210599999997</v>
      </c>
      <c r="AK240" s="6">
        <v>12.187318088</v>
      </c>
      <c r="AL240" s="6">
        <v>0.80034874199999995</v>
      </c>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row>
    <row r="241" spans="1:84" ht="16" x14ac:dyDescent="0.2">
      <c r="A241" s="4">
        <v>45842</v>
      </c>
      <c r="B241" s="19">
        <v>25185</v>
      </c>
      <c r="C241" s="5" t="s">
        <v>52</v>
      </c>
      <c r="D241" s="25">
        <v>18</v>
      </c>
      <c r="E241" s="53" t="s">
        <v>1290</v>
      </c>
      <c r="F241">
        <v>17.5</v>
      </c>
      <c r="G241" s="5" t="s">
        <v>2</v>
      </c>
      <c r="H241" s="5" t="s">
        <v>3</v>
      </c>
      <c r="I241" s="5">
        <v>0.35</v>
      </c>
      <c r="J241" s="5">
        <v>30.05</v>
      </c>
      <c r="K241" s="5">
        <v>7.8</v>
      </c>
      <c r="L241" s="5">
        <v>4.5</v>
      </c>
      <c r="M241" s="5" t="s">
        <v>9</v>
      </c>
      <c r="N241" s="15">
        <v>42.449333000000003</v>
      </c>
      <c r="O241" t="s">
        <v>648</v>
      </c>
      <c r="P241" s="6">
        <v>8.6721191000000003E-2</v>
      </c>
      <c r="Q241" s="6">
        <v>1.4617705999999999E-2</v>
      </c>
      <c r="R241" s="6">
        <v>674</v>
      </c>
      <c r="S241" s="6">
        <v>1.720919E-3</v>
      </c>
      <c r="T241" s="6">
        <v>3.9999999979999998</v>
      </c>
      <c r="U241" s="6">
        <v>0.13152056500000001</v>
      </c>
      <c r="V241" s="6">
        <v>1.3084787000000001E-2</v>
      </c>
      <c r="W241" s="6">
        <v>7.2693300000000003E-4</v>
      </c>
      <c r="X241" s="6">
        <v>6.0911600000000004E-4</v>
      </c>
      <c r="Y241" s="6">
        <v>0.13105114400000001</v>
      </c>
      <c r="Z241" s="6">
        <v>2.2184062000000001E-2</v>
      </c>
      <c r="AA241" s="6">
        <v>7.6824122999999994E-2</v>
      </c>
      <c r="AB241" s="6">
        <v>1.2825155E-2</v>
      </c>
      <c r="AC241" s="6">
        <v>5.1396955000000001E-2</v>
      </c>
      <c r="AD241" s="6">
        <v>9.0193459999999993E-3</v>
      </c>
      <c r="AE241" s="6">
        <v>8.6721191000000003E-2</v>
      </c>
      <c r="AF241" s="6">
        <v>1.4617705999999999E-2</v>
      </c>
      <c r="AG241" s="6">
        <v>7.5486296749999999</v>
      </c>
      <c r="AH241" s="6">
        <v>0.16617063400000001</v>
      </c>
      <c r="AI241" s="6">
        <v>-10.941529041000001</v>
      </c>
      <c r="AJ241" s="6">
        <v>0.48532818999999999</v>
      </c>
      <c r="AK241" s="6">
        <v>13.295945685</v>
      </c>
      <c r="AL241" s="6">
        <v>0.42394317100000001</v>
      </c>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row>
    <row r="242" spans="1:84" ht="16" x14ac:dyDescent="0.2">
      <c r="A242" s="4">
        <v>45842</v>
      </c>
      <c r="B242" s="19">
        <v>25185</v>
      </c>
      <c r="C242" s="5" t="s">
        <v>52</v>
      </c>
      <c r="D242" s="5">
        <v>19</v>
      </c>
      <c r="E242" s="53" t="s">
        <v>1291</v>
      </c>
      <c r="F242">
        <v>19.8</v>
      </c>
      <c r="G242" s="5" t="s">
        <v>2</v>
      </c>
      <c r="H242" s="5" t="s">
        <v>3</v>
      </c>
      <c r="I242" s="5">
        <v>0.95</v>
      </c>
      <c r="J242" s="5">
        <v>35.5</v>
      </c>
      <c r="K242" s="5">
        <v>8.9</v>
      </c>
      <c r="L242" s="5">
        <v>5.0999999999999996</v>
      </c>
      <c r="M242" s="5" t="s">
        <v>4</v>
      </c>
      <c r="N242" s="15">
        <v>42.449333000000003</v>
      </c>
      <c r="O242" t="s">
        <v>975</v>
      </c>
      <c r="P242" s="6">
        <v>9.7071826999999999E-2</v>
      </c>
      <c r="Q242" s="6">
        <v>9.7877309999999992E-3</v>
      </c>
      <c r="R242" s="6">
        <v>1011</v>
      </c>
      <c r="S242" s="6">
        <v>1.0368809999999999E-3</v>
      </c>
      <c r="T242" s="6">
        <v>3.9999999979999998</v>
      </c>
      <c r="U242" s="6">
        <v>0.113697428</v>
      </c>
      <c r="V242" s="6">
        <v>9.1196560000000003E-3</v>
      </c>
      <c r="W242" s="6">
        <v>5.0664799999999995E-4</v>
      </c>
      <c r="X242" s="6">
        <v>4.4262000000000001E-4</v>
      </c>
      <c r="Y242" s="6">
        <v>0.160426866</v>
      </c>
      <c r="Z242" s="6">
        <v>1.6206940999999999E-2</v>
      </c>
      <c r="AA242" s="6">
        <v>8.1187826000000005E-2</v>
      </c>
      <c r="AB242" s="6">
        <v>8.3327160000000004E-3</v>
      </c>
      <c r="AC242" s="6">
        <v>5.0325773999999997E-2</v>
      </c>
      <c r="AD242" s="6">
        <v>5.5187099999999996E-3</v>
      </c>
      <c r="AE242" s="6">
        <v>9.7071826999999999E-2</v>
      </c>
      <c r="AF242" s="6">
        <v>9.7877309999999992E-3</v>
      </c>
      <c r="AG242" s="6">
        <v>9.6374395029999995</v>
      </c>
      <c r="AH242" s="6">
        <v>0.47132993299999998</v>
      </c>
      <c r="AI242" s="6">
        <v>-13.391847105</v>
      </c>
      <c r="AJ242" s="6">
        <v>0.64819258199999996</v>
      </c>
      <c r="AK242" s="6">
        <v>16.500041646</v>
      </c>
      <c r="AL242" s="6">
        <v>0.78275818600000002</v>
      </c>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row>
    <row r="243" spans="1:84" ht="16" x14ac:dyDescent="0.2">
      <c r="A243" s="4">
        <v>45842</v>
      </c>
      <c r="B243" s="19">
        <v>25185</v>
      </c>
      <c r="C243" s="5" t="s">
        <v>52</v>
      </c>
      <c r="D243" s="5">
        <v>20</v>
      </c>
      <c r="E243" s="53" t="s">
        <v>1292</v>
      </c>
      <c r="F243" s="6">
        <v>12.7</v>
      </c>
      <c r="G243" s="5" t="s">
        <v>2</v>
      </c>
      <c r="H243" s="5" t="s">
        <v>3</v>
      </c>
      <c r="I243" s="5">
        <v>0.45</v>
      </c>
      <c r="J243" s="5">
        <v>32.700000000000003</v>
      </c>
      <c r="K243" s="5">
        <v>8.6</v>
      </c>
      <c r="L243" s="5">
        <v>5.25</v>
      </c>
      <c r="M243" s="5" t="s">
        <v>4</v>
      </c>
      <c r="N243" s="15">
        <v>42.449333000000003</v>
      </c>
      <c r="O243" s="6" t="s">
        <v>976</v>
      </c>
      <c r="P243" s="6">
        <v>6.4127033999999999E-2</v>
      </c>
      <c r="Q243" s="6">
        <v>1.8689122999999998E-2</v>
      </c>
      <c r="R243" s="6">
        <v>618</v>
      </c>
      <c r="S243" s="6">
        <v>2.132391E-3</v>
      </c>
      <c r="T243" s="6">
        <v>2.8284271240000001</v>
      </c>
      <c r="U243" s="6">
        <v>0.129694641</v>
      </c>
      <c r="V243" s="6">
        <v>1.6441631000000002E-2</v>
      </c>
      <c r="W243" s="6">
        <v>9.1342400000000003E-4</v>
      </c>
      <c r="X243" s="6">
        <v>7.2899E-4</v>
      </c>
      <c r="Y243" s="6">
        <v>0.103284037</v>
      </c>
      <c r="Z243" s="6">
        <v>3.09041E-2</v>
      </c>
      <c r="AA243" s="6">
        <v>5.3587317000000002E-2</v>
      </c>
      <c r="AB243" s="6">
        <v>1.5388201000000001E-2</v>
      </c>
      <c r="AC243" s="6">
        <v>3.9510469999999999E-2</v>
      </c>
      <c r="AD243" s="6">
        <v>1.1220373E-2</v>
      </c>
      <c r="AE243" s="6">
        <v>6.4127033999999999E-2</v>
      </c>
      <c r="AF243" s="6">
        <v>1.8689122999999998E-2</v>
      </c>
      <c r="AG243" s="6">
        <v>9.1101641269999991</v>
      </c>
      <c r="AH243" s="6">
        <v>0.80796023800000005</v>
      </c>
      <c r="AI243" s="6">
        <v>-10.167556125999999</v>
      </c>
      <c r="AJ243" s="6">
        <v>0.83512969599999998</v>
      </c>
      <c r="AK243" s="6">
        <v>13.653417016000001</v>
      </c>
      <c r="AL243" s="6">
        <v>1.1439691510000001</v>
      </c>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row>
    <row r="244" spans="1:84" ht="16" x14ac:dyDescent="0.2">
      <c r="A244" s="4">
        <v>45842</v>
      </c>
      <c r="B244" s="19">
        <v>25185</v>
      </c>
      <c r="C244" s="5" t="s">
        <v>52</v>
      </c>
      <c r="D244" s="5">
        <v>21</v>
      </c>
      <c r="E244" s="53" t="s">
        <v>1293</v>
      </c>
      <c r="F244">
        <v>-3</v>
      </c>
      <c r="G244" s="5" t="s">
        <v>2</v>
      </c>
      <c r="H244" s="5" t="s">
        <v>3</v>
      </c>
      <c r="I244" s="5">
        <v>0.45</v>
      </c>
      <c r="J244" s="5">
        <v>31.2</v>
      </c>
      <c r="K244" s="5">
        <v>8</v>
      </c>
      <c r="L244" s="5">
        <v>4.5</v>
      </c>
      <c r="M244" s="5" t="s">
        <v>9</v>
      </c>
      <c r="N244" s="15">
        <v>42.449333000000003</v>
      </c>
      <c r="O244" t="s">
        <v>977</v>
      </c>
      <c r="P244" s="6">
        <v>6.9748949000000005E-2</v>
      </c>
      <c r="Q244" s="6">
        <v>1.6418154000000001E-2</v>
      </c>
      <c r="R244" s="6">
        <v>597</v>
      </c>
      <c r="S244" s="6">
        <v>1.784632E-3</v>
      </c>
      <c r="T244" s="6">
        <v>3.9999999979999998</v>
      </c>
      <c r="U244" s="6">
        <v>0.119488909</v>
      </c>
      <c r="V244" s="6">
        <v>1.4935541E-2</v>
      </c>
      <c r="W244" s="6">
        <v>8.2975200000000001E-4</v>
      </c>
      <c r="X244" s="6">
        <v>6.7178599999999995E-4</v>
      </c>
      <c r="Y244" s="6">
        <v>0.106713224</v>
      </c>
      <c r="Z244" s="6">
        <v>2.5015425000000001E-2</v>
      </c>
      <c r="AA244" s="6">
        <v>6.0406471000000003E-2</v>
      </c>
      <c r="AB244" s="6">
        <v>1.4244388E-2</v>
      </c>
      <c r="AC244" s="6">
        <v>4.5165864E-2</v>
      </c>
      <c r="AD244" s="6">
        <v>1.0876547E-2</v>
      </c>
      <c r="AE244" s="6">
        <v>6.9748949000000005E-2</v>
      </c>
      <c r="AF244" s="6">
        <v>1.6418154000000001E-2</v>
      </c>
      <c r="AG244" s="6">
        <v>8.057729793</v>
      </c>
      <c r="AH244" s="6">
        <v>0.26701972899999998</v>
      </c>
      <c r="AI244" s="6">
        <v>-9.4350359400000006</v>
      </c>
      <c r="AJ244" s="6">
        <v>0.34040500200000001</v>
      </c>
      <c r="AK244" s="6">
        <v>12.408762812000001</v>
      </c>
      <c r="AL244" s="6">
        <v>0.39577941999999999</v>
      </c>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row>
    <row r="245" spans="1:84" ht="16" x14ac:dyDescent="0.2">
      <c r="A245" s="4">
        <v>45845</v>
      </c>
      <c r="B245" s="19">
        <v>25188</v>
      </c>
      <c r="C245" s="5" t="s">
        <v>35</v>
      </c>
      <c r="D245" s="5">
        <v>9</v>
      </c>
      <c r="E245" s="53" t="s">
        <v>1294</v>
      </c>
      <c r="F245" s="6">
        <v>0</v>
      </c>
      <c r="G245" s="5" t="s">
        <v>2</v>
      </c>
      <c r="H245" s="5" t="s">
        <v>5</v>
      </c>
      <c r="I245" s="5">
        <v>1.2</v>
      </c>
      <c r="J245" s="5">
        <v>39</v>
      </c>
      <c r="K245" s="5">
        <v>9.6999999999999993</v>
      </c>
      <c r="L245" s="5">
        <v>5.95</v>
      </c>
      <c r="M245" s="5" t="s">
        <v>4</v>
      </c>
      <c r="N245" s="15">
        <v>42.591736111099998</v>
      </c>
      <c r="O245" t="s">
        <v>978</v>
      </c>
      <c r="P245" s="6">
        <v>9.7478269000000006E-2</v>
      </c>
      <c r="Q245" s="6">
        <v>7.7104180000000001E-3</v>
      </c>
      <c r="R245" s="6">
        <v>1346</v>
      </c>
      <c r="S245" s="6">
        <v>1.0204820000000001E-3</v>
      </c>
      <c r="T245" s="6">
        <v>5.6568542449999999</v>
      </c>
      <c r="U245" s="6">
        <v>0.12911730799999999</v>
      </c>
      <c r="V245" s="6">
        <v>7.9035230000000008E-3</v>
      </c>
      <c r="W245" s="6">
        <v>4.3908499999999997E-4</v>
      </c>
      <c r="X245" s="6">
        <v>3.46151E-4</v>
      </c>
      <c r="Y245" s="6">
        <v>0.15496078599999999</v>
      </c>
      <c r="Z245" s="6">
        <v>1.4028554E-2</v>
      </c>
      <c r="AA245" s="6">
        <v>8.2866405000000004E-2</v>
      </c>
      <c r="AB245" s="6">
        <v>6.399058E-3</v>
      </c>
      <c r="AC245" s="6">
        <v>5.6963371999999998E-2</v>
      </c>
      <c r="AD245" s="6">
        <v>4.9947180000000004E-3</v>
      </c>
      <c r="AE245" s="6">
        <v>9.7478269000000006E-2</v>
      </c>
      <c r="AF245" s="6">
        <v>7.7104180000000001E-3</v>
      </c>
      <c r="AG245" s="6">
        <v>8.8370245470000004</v>
      </c>
      <c r="AH245" s="6">
        <v>0.73193589299999995</v>
      </c>
      <c r="AI245" s="6">
        <v>-11.241524988</v>
      </c>
      <c r="AJ245" s="6">
        <v>0.840588589</v>
      </c>
      <c r="AK245" s="6">
        <v>14.302261417</v>
      </c>
      <c r="AL245" s="6">
        <v>1.0735260900000001</v>
      </c>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row>
    <row r="246" spans="1:84" ht="16" x14ac:dyDescent="0.2">
      <c r="A246" s="4">
        <v>45845</v>
      </c>
      <c r="B246" s="19">
        <v>25188</v>
      </c>
      <c r="C246" s="5" t="s">
        <v>35</v>
      </c>
      <c r="D246" s="5">
        <v>10</v>
      </c>
      <c r="E246" s="53" t="s">
        <v>1295</v>
      </c>
      <c r="F246">
        <v>22.3</v>
      </c>
      <c r="G246" s="5" t="s">
        <v>2</v>
      </c>
      <c r="H246" s="5" t="s">
        <v>5</v>
      </c>
      <c r="I246" s="5">
        <v>0.65</v>
      </c>
      <c r="J246" s="5">
        <v>31.8</v>
      </c>
      <c r="K246" s="5">
        <v>8</v>
      </c>
      <c r="L246" s="5">
        <v>5</v>
      </c>
      <c r="M246" s="5" t="s">
        <v>4</v>
      </c>
      <c r="N246" s="15">
        <v>42.591736111099998</v>
      </c>
      <c r="O246" t="s">
        <v>979</v>
      </c>
      <c r="P246" s="6">
        <v>8.5983709000000005E-2</v>
      </c>
      <c r="Q246" s="6">
        <v>1.7856790000000001E-2</v>
      </c>
      <c r="R246" s="6">
        <v>715</v>
      </c>
      <c r="S246" s="6">
        <v>2.0167459999999998E-3</v>
      </c>
      <c r="T246" s="6">
        <v>3.9999999979999998</v>
      </c>
      <c r="U246" s="6">
        <v>0.111590284</v>
      </c>
      <c r="V246" s="6">
        <v>1.8072774E-2</v>
      </c>
      <c r="W246" s="6">
        <v>1.004043E-3</v>
      </c>
      <c r="X246" s="6">
        <v>6.4000999999999999E-4</v>
      </c>
      <c r="Y246" s="6">
        <v>0.13015950900000001</v>
      </c>
      <c r="Z246" s="6">
        <v>3.0023890000000001E-2</v>
      </c>
      <c r="AA246" s="6">
        <v>7.6285464999999997E-2</v>
      </c>
      <c r="AB246" s="6">
        <v>1.5008422E-2</v>
      </c>
      <c r="AC246" s="6">
        <v>4.9856648000000003E-2</v>
      </c>
      <c r="AD246" s="6">
        <v>9.4531809999999997E-3</v>
      </c>
      <c r="AE246" s="6">
        <v>8.5983709000000005E-2</v>
      </c>
      <c r="AF246" s="6">
        <v>1.7856790000000001E-2</v>
      </c>
      <c r="AG246" s="6">
        <v>7.4359754200000001</v>
      </c>
      <c r="AH246" s="6">
        <v>0.89828387700000001</v>
      </c>
      <c r="AI246" s="6">
        <v>-11.227913746</v>
      </c>
      <c r="AJ246" s="6">
        <v>1.3071380939999999</v>
      </c>
      <c r="AK246" s="6">
        <v>13.469664474</v>
      </c>
      <c r="AL246" s="6">
        <v>1.5631185489999999</v>
      </c>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row>
    <row r="247" spans="1:84" ht="16" x14ac:dyDescent="0.2">
      <c r="A247" s="4">
        <v>45845</v>
      </c>
      <c r="B247" s="19">
        <v>25188</v>
      </c>
      <c r="C247" s="5" t="s">
        <v>35</v>
      </c>
      <c r="D247" s="28">
        <v>11</v>
      </c>
      <c r="E247" s="53" t="s">
        <v>1296</v>
      </c>
      <c r="F247" s="6">
        <v>2.5</v>
      </c>
      <c r="G247" s="5" t="s">
        <v>2</v>
      </c>
      <c r="H247" s="5" t="s">
        <v>3</v>
      </c>
      <c r="I247" s="5">
        <v>0.35</v>
      </c>
      <c r="J247" s="5">
        <v>32.6</v>
      </c>
      <c r="K247" s="5">
        <v>8.25</v>
      </c>
      <c r="L247" s="5">
        <v>4.6500000000000004</v>
      </c>
      <c r="M247" s="5" t="s">
        <v>4</v>
      </c>
      <c r="N247" s="15">
        <v>42.591736111099998</v>
      </c>
      <c r="O247" t="s">
        <v>651</v>
      </c>
      <c r="P247" s="6">
        <v>4.0185184999999998E-2</v>
      </c>
      <c r="Q247" s="6">
        <v>1.4774581E-2</v>
      </c>
      <c r="R247" s="6">
        <v>507</v>
      </c>
      <c r="S247" s="6">
        <v>1.710458E-3</v>
      </c>
      <c r="T247" s="6">
        <v>2.8284271240000001</v>
      </c>
      <c r="U247" s="6">
        <v>0.13003527400000001</v>
      </c>
      <c r="V247" s="6">
        <v>1.3153803E-2</v>
      </c>
      <c r="W247" s="6">
        <v>7.3076700000000001E-4</v>
      </c>
      <c r="X247" s="6">
        <v>5.7516200000000005E-4</v>
      </c>
      <c r="Y247" s="6">
        <v>5.8694825999999999E-2</v>
      </c>
      <c r="Z247" s="6">
        <v>2.3407464999999999E-2</v>
      </c>
      <c r="AA247" s="6">
        <v>3.5901975000000003E-2</v>
      </c>
      <c r="AB247" s="6">
        <v>1.2759514E-2</v>
      </c>
      <c r="AC247" s="6">
        <v>2.7560210000000002E-2</v>
      </c>
      <c r="AD247" s="6">
        <v>9.3930130000000004E-3</v>
      </c>
      <c r="AE247" s="6">
        <v>4.0185184999999998E-2</v>
      </c>
      <c r="AF247" s="6">
        <v>1.4774581E-2</v>
      </c>
      <c r="AG247" s="6">
        <v>6.5884203680000004</v>
      </c>
      <c r="AH247" s="6">
        <v>1.4074547150000001</v>
      </c>
      <c r="AI247" s="6">
        <v>-8.0475474279999997</v>
      </c>
      <c r="AJ247" s="6">
        <v>2.2283411219999998</v>
      </c>
      <c r="AK247" s="6">
        <v>10.412944764000001</v>
      </c>
      <c r="AL247" s="6">
        <v>2.5858855159999998</v>
      </c>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row>
    <row r="248" spans="1:84" ht="16" x14ac:dyDescent="0.2">
      <c r="A248" s="4">
        <v>45845</v>
      </c>
      <c r="B248" s="19">
        <v>25188</v>
      </c>
      <c r="C248" s="5" t="s">
        <v>35</v>
      </c>
      <c r="D248" s="25">
        <v>12</v>
      </c>
      <c r="E248" s="53" t="s">
        <v>1297</v>
      </c>
      <c r="F248">
        <v>9.4</v>
      </c>
      <c r="G248" s="5" t="s">
        <v>2</v>
      </c>
      <c r="H248" s="5" t="s">
        <v>3</v>
      </c>
      <c r="I248" s="5">
        <v>1.7</v>
      </c>
      <c r="J248" s="5">
        <v>46.25</v>
      </c>
      <c r="K248" s="5">
        <v>10.4</v>
      </c>
      <c r="L248" s="5">
        <v>6.4</v>
      </c>
      <c r="M248" s="5" t="s">
        <v>4</v>
      </c>
      <c r="N248" s="15">
        <v>42.591736111099998</v>
      </c>
      <c r="O248" t="s">
        <v>652</v>
      </c>
      <c r="P248" s="6">
        <v>5.6262495000000003E-2</v>
      </c>
      <c r="Q248" s="6">
        <v>3.5100579999999999E-3</v>
      </c>
      <c r="R248" s="6">
        <v>1735</v>
      </c>
      <c r="S248" s="6">
        <v>4.6171299999999999E-4</v>
      </c>
      <c r="T248" s="6">
        <v>5.6568542449999999</v>
      </c>
      <c r="U248" s="6">
        <v>0.11849259299999999</v>
      </c>
      <c r="V248" s="6">
        <v>3.8965580000000001E-3</v>
      </c>
      <c r="W248" s="6">
        <v>2.1647499999999999E-4</v>
      </c>
      <c r="X248" s="6">
        <v>1.65608E-4</v>
      </c>
      <c r="Y248" s="6">
        <v>7.4072110999999996E-2</v>
      </c>
      <c r="Z248" s="6">
        <v>7.096382E-3</v>
      </c>
      <c r="AA248" s="6">
        <v>5.3337699000000002E-2</v>
      </c>
      <c r="AB248" s="6">
        <v>3.5669510000000001E-3</v>
      </c>
      <c r="AC248" s="6">
        <v>4.4716437999999997E-2</v>
      </c>
      <c r="AD248" s="6">
        <v>5.4918689999999999E-3</v>
      </c>
      <c r="AE248" s="6">
        <v>5.6262495000000003E-2</v>
      </c>
      <c r="AF248" s="6">
        <v>3.5100579999999999E-3</v>
      </c>
      <c r="AG248" s="6">
        <v>4.6116468169999996</v>
      </c>
      <c r="AH248" s="6">
        <v>1.382805378</v>
      </c>
      <c r="AI248" s="6">
        <v>-5.6318559580000001</v>
      </c>
      <c r="AJ248" s="6">
        <v>2.1069184879999998</v>
      </c>
      <c r="AK248" s="6">
        <v>7.2925400260000002</v>
      </c>
      <c r="AL248" s="6">
        <v>2.4809455929999999</v>
      </c>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row>
    <row r="249" spans="1:84" ht="16" x14ac:dyDescent="0.2">
      <c r="A249" s="4">
        <v>45845</v>
      </c>
      <c r="B249" s="19">
        <v>25188</v>
      </c>
      <c r="C249" s="5" t="s">
        <v>35</v>
      </c>
      <c r="D249" s="5">
        <v>13</v>
      </c>
      <c r="E249" s="53" t="s">
        <v>1298</v>
      </c>
      <c r="F249" s="6">
        <v>-13.8</v>
      </c>
      <c r="G249" s="5" t="s">
        <v>2</v>
      </c>
      <c r="H249" s="5" t="s">
        <v>3</v>
      </c>
      <c r="I249" s="5">
        <v>0.45</v>
      </c>
      <c r="J249" s="5">
        <v>29.6</v>
      </c>
      <c r="K249" s="5" t="s">
        <v>8</v>
      </c>
      <c r="L249" s="5" t="s">
        <v>8</v>
      </c>
      <c r="M249" s="5" t="s">
        <v>9</v>
      </c>
      <c r="N249" s="15">
        <v>42.591736111099998</v>
      </c>
      <c r="O249" t="s">
        <v>980</v>
      </c>
      <c r="P249" s="6">
        <v>8.6439976000000002E-2</v>
      </c>
      <c r="Q249" s="6">
        <v>1.2995179000000001E-2</v>
      </c>
      <c r="R249" s="6">
        <v>608</v>
      </c>
      <c r="S249" s="6">
        <v>1.490892E-3</v>
      </c>
      <c r="T249" s="6">
        <v>3.9999999979999998</v>
      </c>
      <c r="U249" s="6">
        <v>0.13412307400000001</v>
      </c>
      <c r="V249" s="6">
        <v>1.1115849000000001E-2</v>
      </c>
      <c r="W249" s="6">
        <v>6.1754699999999997E-4</v>
      </c>
      <c r="X249" s="6">
        <v>5.7286999999999995E-4</v>
      </c>
      <c r="Y249" s="6">
        <v>0.12769430600000001</v>
      </c>
      <c r="Z249" s="6">
        <v>1.8956074E-2</v>
      </c>
      <c r="AA249" s="6">
        <v>7.6789244000000006E-2</v>
      </c>
      <c r="AB249" s="6">
        <v>1.1810199E-2</v>
      </c>
      <c r="AC249" s="6">
        <v>5.5309368999999997E-2</v>
      </c>
      <c r="AD249" s="6">
        <v>8.215066E-3</v>
      </c>
      <c r="AE249" s="6">
        <v>8.6439976000000002E-2</v>
      </c>
      <c r="AF249" s="6">
        <v>1.2995179000000001E-2</v>
      </c>
      <c r="AG249" s="6">
        <v>7.2119533760000003</v>
      </c>
      <c r="AH249" s="6">
        <v>0.42903577199999998</v>
      </c>
      <c r="AI249" s="6">
        <v>-9.5007729859999994</v>
      </c>
      <c r="AJ249" s="6">
        <v>0.41020576399999997</v>
      </c>
      <c r="AK249" s="6">
        <v>11.930129185</v>
      </c>
      <c r="AL249" s="6">
        <v>0.54884717699999996</v>
      </c>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row>
    <row r="250" spans="1:84" ht="16" x14ac:dyDescent="0.2">
      <c r="A250" s="4">
        <v>45845</v>
      </c>
      <c r="B250" s="19">
        <v>25188</v>
      </c>
      <c r="C250" s="5" t="s">
        <v>35</v>
      </c>
      <c r="D250" s="5">
        <v>14</v>
      </c>
      <c r="E250" s="53" t="s">
        <v>1299</v>
      </c>
      <c r="F250">
        <v>-27.5</v>
      </c>
      <c r="G250" s="5" t="s">
        <v>2</v>
      </c>
      <c r="H250" s="5" t="s">
        <v>6</v>
      </c>
      <c r="I250" s="5">
        <v>0.25</v>
      </c>
      <c r="J250" s="5">
        <v>22.4</v>
      </c>
      <c r="K250" s="5" t="s">
        <v>8</v>
      </c>
      <c r="L250" s="5" t="s">
        <v>8</v>
      </c>
      <c r="M250" s="5" t="s">
        <v>9</v>
      </c>
      <c r="N250" s="15">
        <v>42.591736111099998</v>
      </c>
      <c r="O250" t="s">
        <v>981</v>
      </c>
      <c r="P250" s="6">
        <v>6.2414844999999997E-2</v>
      </c>
      <c r="Q250" s="6">
        <v>1.7742897000000001E-2</v>
      </c>
      <c r="R250" s="6">
        <v>374</v>
      </c>
      <c r="S250" s="6">
        <v>1.9075229999999999E-3</v>
      </c>
      <c r="T250" s="6">
        <v>31.999999932000001</v>
      </c>
      <c r="U250" s="6">
        <v>0.117330317</v>
      </c>
      <c r="V250" s="6">
        <v>1.6257713E-2</v>
      </c>
      <c r="W250" s="6">
        <v>9.0320600000000004E-4</v>
      </c>
      <c r="X250" s="6">
        <v>7.3644699999999999E-4</v>
      </c>
      <c r="Y250" s="6">
        <v>9.4166950999999999E-2</v>
      </c>
      <c r="Z250" s="6">
        <v>2.6807153E-2</v>
      </c>
      <c r="AA250" s="6">
        <v>5.6021169000000003E-2</v>
      </c>
      <c r="AB250" s="6">
        <v>1.5890643999999999E-2</v>
      </c>
      <c r="AC250" s="6">
        <v>3.4371807999999997E-2</v>
      </c>
      <c r="AD250" s="6">
        <v>9.8678329999999995E-3</v>
      </c>
      <c r="AE250" s="6">
        <v>6.2414844999999997E-2</v>
      </c>
      <c r="AF250" s="6">
        <v>1.7742897000000001E-2</v>
      </c>
      <c r="AG250" s="6">
        <v>7.3304103899999999</v>
      </c>
      <c r="AH250" s="6">
        <v>0.248721572</v>
      </c>
      <c r="AI250" s="6">
        <v>-12.217876215</v>
      </c>
      <c r="AJ250" s="6">
        <v>0.391533305</v>
      </c>
      <c r="AK250" s="6">
        <v>14.250147074999999</v>
      </c>
      <c r="AL250" s="6">
        <v>0.39967217999999999</v>
      </c>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row>
    <row r="251" spans="1:84" ht="16" x14ac:dyDescent="0.2">
      <c r="A251" s="4">
        <v>45845</v>
      </c>
      <c r="B251" s="19">
        <v>25188</v>
      </c>
      <c r="C251" s="5" t="s">
        <v>35</v>
      </c>
      <c r="D251" s="5">
        <v>15</v>
      </c>
      <c r="E251" s="53" t="s">
        <v>1300</v>
      </c>
      <c r="F251" s="6">
        <v>-8.1999999999999993</v>
      </c>
      <c r="G251" s="5" t="s">
        <v>2</v>
      </c>
      <c r="H251" s="5" t="s">
        <v>3</v>
      </c>
      <c r="I251" s="5">
        <v>0.95</v>
      </c>
      <c r="J251" s="5">
        <v>39.6</v>
      </c>
      <c r="K251" s="5">
        <v>9.6</v>
      </c>
      <c r="L251" s="5">
        <v>5.5</v>
      </c>
      <c r="M251" s="5" t="s">
        <v>4</v>
      </c>
      <c r="N251" s="15">
        <v>42.591736111099998</v>
      </c>
      <c r="O251" t="s">
        <v>982</v>
      </c>
      <c r="P251" s="6">
        <v>7.4448048000000003E-2</v>
      </c>
      <c r="Q251" s="6">
        <v>9.7138069999999997E-3</v>
      </c>
      <c r="R251" s="6">
        <v>1068</v>
      </c>
      <c r="S251" s="6">
        <v>1.100951E-3</v>
      </c>
      <c r="T251" s="6">
        <v>3.9999999979999998</v>
      </c>
      <c r="U251" s="6">
        <v>0.121889623</v>
      </c>
      <c r="V251" s="6">
        <v>9.0323590000000002E-3</v>
      </c>
      <c r="W251" s="6">
        <v>5.0179800000000002E-4</v>
      </c>
      <c r="X251" s="6">
        <v>3.8580400000000001E-4</v>
      </c>
      <c r="Y251" s="6">
        <v>0.109226818</v>
      </c>
      <c r="Z251" s="6">
        <v>1.5272449E-2</v>
      </c>
      <c r="AA251" s="6">
        <v>6.6035564000000005E-2</v>
      </c>
      <c r="AB251" s="6">
        <v>8.4382699999999995E-3</v>
      </c>
      <c r="AC251" s="6">
        <v>5.1360357000000002E-2</v>
      </c>
      <c r="AD251" s="6">
        <v>6.7802100000000001E-3</v>
      </c>
      <c r="AE251" s="6">
        <v>7.4448048000000003E-2</v>
      </c>
      <c r="AF251" s="6">
        <v>9.7138069999999997E-3</v>
      </c>
      <c r="AG251" s="6">
        <v>7.0835974769999996</v>
      </c>
      <c r="AH251" s="6">
        <v>0.73385530899999996</v>
      </c>
      <c r="AI251" s="6">
        <v>-8.2018280610000005</v>
      </c>
      <c r="AJ251" s="6">
        <v>0.681875652</v>
      </c>
      <c r="AK251" s="6">
        <v>10.839327567</v>
      </c>
      <c r="AL251" s="6">
        <v>0.97967939199999998</v>
      </c>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row>
    <row r="252" spans="1:84" ht="16" x14ac:dyDescent="0.2">
      <c r="A252" s="4">
        <v>45845</v>
      </c>
      <c r="B252" s="19">
        <v>25188</v>
      </c>
      <c r="C252" s="5" t="s">
        <v>35</v>
      </c>
      <c r="D252" s="5">
        <v>16</v>
      </c>
      <c r="E252" s="53" t="s">
        <v>1301</v>
      </c>
      <c r="F252">
        <v>5.6</v>
      </c>
      <c r="G252" s="5" t="s">
        <v>2</v>
      </c>
      <c r="H252" s="5" t="s">
        <v>3</v>
      </c>
      <c r="I252" s="5">
        <v>0.8</v>
      </c>
      <c r="J252" s="5">
        <v>35.65</v>
      </c>
      <c r="K252" s="5">
        <v>8.4</v>
      </c>
      <c r="L252" s="5">
        <v>5.0999999999999996</v>
      </c>
      <c r="M252" s="5" t="s">
        <v>4</v>
      </c>
      <c r="N252" s="15">
        <v>42.591736111099998</v>
      </c>
      <c r="O252" t="s">
        <v>983</v>
      </c>
      <c r="P252" s="6">
        <v>9.0409250999999996E-2</v>
      </c>
      <c r="Q252" s="6">
        <v>1.4657728E-2</v>
      </c>
      <c r="R252" s="6">
        <v>841</v>
      </c>
      <c r="S252" s="6">
        <v>1.5158280000000001E-3</v>
      </c>
      <c r="T252" s="6">
        <v>3.9999999979999998</v>
      </c>
      <c r="U252" s="6">
        <v>9.7409239999999994E-2</v>
      </c>
      <c r="V252" s="6">
        <v>1.5561439E-2</v>
      </c>
      <c r="W252" s="6">
        <v>8.6452399999999998E-4</v>
      </c>
      <c r="X252" s="6">
        <v>5.3412900000000005E-4</v>
      </c>
      <c r="Y252" s="6">
        <v>0.12866232</v>
      </c>
      <c r="Z252" s="6">
        <v>2.1263590999999998E-2</v>
      </c>
      <c r="AA252" s="6">
        <v>8.2378745000000003E-2</v>
      </c>
      <c r="AB252" s="6">
        <v>1.3385792000000001E-2</v>
      </c>
      <c r="AC252" s="6">
        <v>5.9037323000000003E-2</v>
      </c>
      <c r="AD252" s="6">
        <v>9.9625149999999999E-3</v>
      </c>
      <c r="AE252" s="6">
        <v>9.0409250999999996E-2</v>
      </c>
      <c r="AF252" s="6">
        <v>1.4657728E-2</v>
      </c>
      <c r="AG252" s="6">
        <v>6.3072122610000001</v>
      </c>
      <c r="AH252" s="6">
        <v>0.63135540400000001</v>
      </c>
      <c r="AI252" s="6">
        <v>-9.101922278</v>
      </c>
      <c r="AJ252" s="6">
        <v>0.96807197599999995</v>
      </c>
      <c r="AK252" s="6">
        <v>11.075631802</v>
      </c>
      <c r="AL252" s="6">
        <v>1.136669326</v>
      </c>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row>
    <row r="253" spans="1:84" ht="16" x14ac:dyDescent="0.2">
      <c r="A253" s="4">
        <v>45845</v>
      </c>
      <c r="B253" s="19">
        <v>25188</v>
      </c>
      <c r="C253" s="5" t="s">
        <v>35</v>
      </c>
      <c r="D253" s="5">
        <v>17</v>
      </c>
      <c r="E253" s="53" t="s">
        <v>1302</v>
      </c>
      <c r="F253" s="6">
        <v>24.2</v>
      </c>
      <c r="G253" s="5" t="s">
        <v>2</v>
      </c>
      <c r="H253" s="5" t="s">
        <v>3</v>
      </c>
      <c r="I253" s="5">
        <v>0.65</v>
      </c>
      <c r="J253" s="5">
        <v>34.049999999999997</v>
      </c>
      <c r="K253" s="5">
        <v>8</v>
      </c>
      <c r="L253" s="5">
        <v>5.0999999999999996</v>
      </c>
      <c r="M253" s="5" t="s">
        <v>4</v>
      </c>
      <c r="N253" s="15">
        <v>42.591736111099998</v>
      </c>
      <c r="O253" s="6" t="s">
        <v>984</v>
      </c>
      <c r="P253" s="6">
        <v>8.5166144999999999E-2</v>
      </c>
      <c r="Q253" s="6">
        <v>2.1016648999999998E-2</v>
      </c>
      <c r="R253" s="6">
        <v>807</v>
      </c>
      <c r="S253" s="6">
        <v>2.1277639999999999E-3</v>
      </c>
      <c r="T253" s="6">
        <v>3.9999999979999998</v>
      </c>
      <c r="U253" s="6">
        <v>0.103048529</v>
      </c>
      <c r="V253" s="6">
        <v>2.0648176000000001E-2</v>
      </c>
      <c r="W253" s="6">
        <v>1.1471210000000001E-3</v>
      </c>
      <c r="X253" s="6">
        <v>7.6474099999999999E-4</v>
      </c>
      <c r="Y253" s="6">
        <v>0.13135346000000001</v>
      </c>
      <c r="Z253" s="6">
        <v>3.2360314000000001E-2</v>
      </c>
      <c r="AA253" s="6">
        <v>7.3564605000000005E-2</v>
      </c>
      <c r="AB253" s="6">
        <v>1.8130945999999998E-2</v>
      </c>
      <c r="AC253" s="6">
        <v>5.2422300999999998E-2</v>
      </c>
      <c r="AD253" s="6">
        <v>1.3356819000000001E-2</v>
      </c>
      <c r="AE253" s="6">
        <v>8.5166144999999999E-2</v>
      </c>
      <c r="AF253" s="6">
        <v>2.1016648999999998E-2</v>
      </c>
      <c r="AG253" s="6">
        <v>8.2063371249999992</v>
      </c>
      <c r="AH253" s="6">
        <v>0.26230102300000002</v>
      </c>
      <c r="AI253" s="6">
        <v>-10.326406581000001</v>
      </c>
      <c r="AJ253" s="6">
        <v>0.40037364199999997</v>
      </c>
      <c r="AK253" s="6">
        <v>13.194242565</v>
      </c>
      <c r="AL253" s="6">
        <v>0.34579011999999998</v>
      </c>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row>
    <row r="254" spans="1:84" ht="16" x14ac:dyDescent="0.2">
      <c r="A254" s="4">
        <v>45845</v>
      </c>
      <c r="B254" s="19">
        <v>25188</v>
      </c>
      <c r="C254" s="5" t="s">
        <v>35</v>
      </c>
      <c r="D254" s="5">
        <v>18</v>
      </c>
      <c r="E254" s="53" t="s">
        <v>1303</v>
      </c>
      <c r="F254">
        <v>14</v>
      </c>
      <c r="G254" s="5" t="s">
        <v>2</v>
      </c>
      <c r="H254" s="5" t="s">
        <v>3</v>
      </c>
      <c r="I254" s="5">
        <v>0.65</v>
      </c>
      <c r="J254" s="5">
        <v>32.6</v>
      </c>
      <c r="K254" s="5">
        <v>8.9</v>
      </c>
      <c r="L254" s="5">
        <v>5</v>
      </c>
      <c r="M254" s="5" t="s">
        <v>4</v>
      </c>
      <c r="N254" s="15">
        <v>42.591736111099998</v>
      </c>
      <c r="O254" t="s">
        <v>985</v>
      </c>
      <c r="P254" s="6">
        <v>9.4637911000000005E-2</v>
      </c>
      <c r="Q254" s="6">
        <v>9.1782159999999995E-3</v>
      </c>
      <c r="R254" s="6">
        <v>908</v>
      </c>
      <c r="S254" s="6">
        <v>9.9742899999999998E-4</v>
      </c>
      <c r="T254" s="6">
        <v>3.9999999979999998</v>
      </c>
      <c r="U254" s="6">
        <v>0.116740185</v>
      </c>
      <c r="V254" s="6">
        <v>8.5440039999999991E-3</v>
      </c>
      <c r="W254" s="6">
        <v>4.7466700000000001E-4</v>
      </c>
      <c r="X254" s="6">
        <v>3.9064500000000001E-4</v>
      </c>
      <c r="Y254" s="6">
        <v>0.14230300400000001</v>
      </c>
      <c r="Z254" s="6">
        <v>1.38248E-2</v>
      </c>
      <c r="AA254" s="6">
        <v>8.3500669999999999E-2</v>
      </c>
      <c r="AB254" s="6">
        <v>8.2272460000000006E-3</v>
      </c>
      <c r="AC254" s="6">
        <v>5.8603414E-2</v>
      </c>
      <c r="AD254" s="6">
        <v>6.1622070000000003E-3</v>
      </c>
      <c r="AE254" s="6">
        <v>9.4637911000000005E-2</v>
      </c>
      <c r="AF254" s="6">
        <v>9.1782159999999995E-3</v>
      </c>
      <c r="AG254" s="6">
        <v>7.5416229399999999</v>
      </c>
      <c r="AH254" s="6">
        <v>0.486395666</v>
      </c>
      <c r="AI254" s="6">
        <v>-10.149587276</v>
      </c>
      <c r="AJ254" s="6">
        <v>0.49180762500000003</v>
      </c>
      <c r="AK254" s="6">
        <v>12.648221982000001</v>
      </c>
      <c r="AL254" s="6">
        <v>0.62533080399999996</v>
      </c>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row>
    <row r="255" spans="1:84" ht="16" x14ac:dyDescent="0.2">
      <c r="A255" s="4">
        <v>45845</v>
      </c>
      <c r="B255" s="19">
        <v>25188</v>
      </c>
      <c r="C255" s="5" t="s">
        <v>35</v>
      </c>
      <c r="D255" s="5">
        <v>19</v>
      </c>
      <c r="E255" s="53" t="s">
        <v>1304</v>
      </c>
      <c r="F255" s="6">
        <v>6.2</v>
      </c>
      <c r="G255" s="5" t="s">
        <v>2</v>
      </c>
      <c r="H255" s="5" t="s">
        <v>6</v>
      </c>
      <c r="I255" s="5">
        <v>0.2</v>
      </c>
      <c r="J255" s="5">
        <v>19.190000000000001</v>
      </c>
      <c r="K255" s="5" t="s">
        <v>8</v>
      </c>
      <c r="L255" s="5" t="s">
        <v>8</v>
      </c>
      <c r="M255" s="5" t="s">
        <v>9</v>
      </c>
      <c r="N255" s="15">
        <v>42.591736111099998</v>
      </c>
      <c r="O255" t="s">
        <v>986</v>
      </c>
      <c r="P255" s="6">
        <v>5.3450433999999998E-2</v>
      </c>
      <c r="Q255" s="6">
        <v>1.4975407E-2</v>
      </c>
      <c r="R255" s="6">
        <v>295</v>
      </c>
      <c r="S255" s="6">
        <v>1.6160160000000001E-3</v>
      </c>
      <c r="T255" s="6">
        <v>2.8284271240000001</v>
      </c>
      <c r="U255" s="6">
        <v>0.12473825199999999</v>
      </c>
      <c r="V255" s="6">
        <v>1.2955257E-2</v>
      </c>
      <c r="W255" s="6">
        <v>7.1973700000000002E-4</v>
      </c>
      <c r="X255" s="6">
        <v>6.0772899999999999E-4</v>
      </c>
      <c r="Y255" s="6">
        <v>8.1776189999999999E-2</v>
      </c>
      <c r="Z255" s="6">
        <v>2.3251590999999999E-2</v>
      </c>
      <c r="AA255" s="6">
        <v>4.7421847000000003E-2</v>
      </c>
      <c r="AB255" s="6">
        <v>1.3228065000000001E-2</v>
      </c>
      <c r="AC255" s="6">
        <v>2.8853745E-2</v>
      </c>
      <c r="AD255" s="6">
        <v>7.6934969999999997E-3</v>
      </c>
      <c r="AE255" s="6">
        <v>5.3450433999999998E-2</v>
      </c>
      <c r="AF255" s="6">
        <v>1.4975407E-2</v>
      </c>
      <c r="AG255" s="6">
        <v>7.6735358429999998</v>
      </c>
      <c r="AH255" s="6">
        <v>0.17247954900000001</v>
      </c>
      <c r="AI255" s="6">
        <v>-12.445390394</v>
      </c>
      <c r="AJ255" s="6">
        <v>0.63054218799999995</v>
      </c>
      <c r="AK255" s="6">
        <v>14.623430465</v>
      </c>
      <c r="AL255" s="6">
        <v>0.594354669</v>
      </c>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row>
    <row r="256" spans="1:84" ht="16" x14ac:dyDescent="0.2">
      <c r="A256" s="4">
        <v>45845</v>
      </c>
      <c r="B256" s="19">
        <v>25188</v>
      </c>
      <c r="C256" s="5" t="s">
        <v>35</v>
      </c>
      <c r="D256" s="5">
        <v>20</v>
      </c>
      <c r="E256" s="53" t="s">
        <v>1305</v>
      </c>
      <c r="F256">
        <v>-3</v>
      </c>
      <c r="G256" s="5" t="s">
        <v>2</v>
      </c>
      <c r="H256" s="5" t="s">
        <v>3</v>
      </c>
      <c r="I256" s="5">
        <v>0.65</v>
      </c>
      <c r="J256" s="5">
        <v>32.6</v>
      </c>
      <c r="K256" s="5">
        <v>8.8000000000000007</v>
      </c>
      <c r="L256" s="5">
        <v>5</v>
      </c>
      <c r="M256" s="5" t="s">
        <v>4</v>
      </c>
      <c r="N256" s="15">
        <v>42.591736111099998</v>
      </c>
      <c r="O256" t="s">
        <v>987</v>
      </c>
      <c r="P256" s="6">
        <v>7.7340417999999994E-2</v>
      </c>
      <c r="Q256" s="6">
        <v>1.2350949E-2</v>
      </c>
      <c r="R256" s="6">
        <v>826</v>
      </c>
      <c r="S256" s="6">
        <v>1.577202E-3</v>
      </c>
      <c r="T256" s="6">
        <v>7.9999999920000002</v>
      </c>
      <c r="U256" s="6">
        <v>0.115330036</v>
      </c>
      <c r="V256" s="6">
        <v>1.3675557E-2</v>
      </c>
      <c r="W256" s="6">
        <v>7.5975299999999995E-4</v>
      </c>
      <c r="X256" s="6">
        <v>5.0692700000000001E-4</v>
      </c>
      <c r="Y256" s="6">
        <v>0.115056189</v>
      </c>
      <c r="Z256" s="6">
        <v>1.9812994E-2</v>
      </c>
      <c r="AA256" s="6">
        <v>6.7951256000000002E-2</v>
      </c>
      <c r="AB256" s="6">
        <v>1.0585349000000001E-2</v>
      </c>
      <c r="AC256" s="6">
        <v>5.2103985999999998E-2</v>
      </c>
      <c r="AD256" s="6">
        <v>7.9147100000000001E-3</v>
      </c>
      <c r="AE256" s="6">
        <v>7.7340417999999994E-2</v>
      </c>
      <c r="AF256" s="6">
        <v>1.2350949E-2</v>
      </c>
      <c r="AG256" s="6">
        <v>7.3975771930000001</v>
      </c>
      <c r="AH256" s="6">
        <v>0.76435940400000002</v>
      </c>
      <c r="AI256" s="6">
        <v>-8.5931450330000008</v>
      </c>
      <c r="AJ256" s="6">
        <v>1.0650553890000001</v>
      </c>
      <c r="AK256" s="6">
        <v>11.340242371</v>
      </c>
      <c r="AL256" s="6">
        <v>1.297589433</v>
      </c>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row>
    <row r="257" spans="1:84" ht="16" x14ac:dyDescent="0.2">
      <c r="A257" s="4">
        <v>45845</v>
      </c>
      <c r="B257" s="19">
        <v>25188</v>
      </c>
      <c r="C257" s="5" t="s">
        <v>35</v>
      </c>
      <c r="D257" s="5">
        <v>21</v>
      </c>
      <c r="E257" s="53" t="s">
        <v>1306</v>
      </c>
      <c r="F257" s="6">
        <v>28.3</v>
      </c>
      <c r="G257" s="5" t="s">
        <v>2</v>
      </c>
      <c r="H257" s="5" t="s">
        <v>3</v>
      </c>
      <c r="I257" s="5">
        <v>0.7</v>
      </c>
      <c r="J257" s="5">
        <v>35.5</v>
      </c>
      <c r="K257" s="5">
        <v>8.8000000000000007</v>
      </c>
      <c r="L257" s="5">
        <v>5</v>
      </c>
      <c r="M257" s="5" t="s">
        <v>4</v>
      </c>
      <c r="N257" s="15">
        <v>42.591736111099998</v>
      </c>
      <c r="O257" t="s">
        <v>988</v>
      </c>
      <c r="P257" s="6">
        <v>0.103368444</v>
      </c>
      <c r="Q257" s="6">
        <v>1.5114878999999999E-2</v>
      </c>
      <c r="R257" s="6">
        <v>850</v>
      </c>
      <c r="S257" s="6">
        <v>1.6134949999999999E-3</v>
      </c>
      <c r="T257" s="6">
        <v>3.9999999979999998</v>
      </c>
      <c r="U257" s="6">
        <v>0.11613617900000001</v>
      </c>
      <c r="V257" s="6">
        <v>1.3893126E-2</v>
      </c>
      <c r="W257" s="6">
        <v>7.7183999999999998E-4</v>
      </c>
      <c r="X257" s="6">
        <v>5.8736400000000005E-4</v>
      </c>
      <c r="Y257" s="6">
        <v>0.15470337300000001</v>
      </c>
      <c r="Z257" s="6">
        <v>2.2349497999999999E-2</v>
      </c>
      <c r="AA257" s="6">
        <v>9.1830173000000001E-2</v>
      </c>
      <c r="AB257" s="6">
        <v>1.3702068E-2</v>
      </c>
      <c r="AC257" s="6">
        <v>6.1910590000000001E-2</v>
      </c>
      <c r="AD257" s="6">
        <v>8.6720110000000003E-3</v>
      </c>
      <c r="AE257" s="6">
        <v>0.103368444</v>
      </c>
      <c r="AF257" s="6">
        <v>1.5114878999999999E-2</v>
      </c>
      <c r="AG257" s="6">
        <v>7.3908085769999996</v>
      </c>
      <c r="AH257" s="6">
        <v>0.27450431400000003</v>
      </c>
      <c r="AI257" s="6">
        <v>-10.676546746</v>
      </c>
      <c r="AJ257" s="6">
        <v>0.36933590700000002</v>
      </c>
      <c r="AK257" s="6">
        <v>12.987192293</v>
      </c>
      <c r="AL257" s="6">
        <v>0.39652916199999999</v>
      </c>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row>
    <row r="258" spans="1:84" ht="16" x14ac:dyDescent="0.2">
      <c r="A258" s="4">
        <v>45845</v>
      </c>
      <c r="B258" s="19">
        <v>25188</v>
      </c>
      <c r="C258" s="5" t="s">
        <v>35</v>
      </c>
      <c r="D258" s="5">
        <v>22</v>
      </c>
      <c r="E258" s="53" t="s">
        <v>1307</v>
      </c>
      <c r="F258">
        <v>20.2</v>
      </c>
      <c r="G258" s="5" t="s">
        <v>2</v>
      </c>
      <c r="H258" s="5" t="s">
        <v>3</v>
      </c>
      <c r="I258" s="5">
        <v>1.1499999999999999</v>
      </c>
      <c r="J258" s="5">
        <v>36.799999999999997</v>
      </c>
      <c r="K258" s="5">
        <v>9.6999999999999993</v>
      </c>
      <c r="L258" s="5">
        <v>5.7</v>
      </c>
      <c r="M258" s="5" t="s">
        <v>4</v>
      </c>
      <c r="N258" s="15">
        <v>42.591736111099998</v>
      </c>
      <c r="O258" t="s">
        <v>989</v>
      </c>
      <c r="P258" s="6">
        <v>9.3135127999999998E-2</v>
      </c>
      <c r="Q258" s="6">
        <v>1.1133594E-2</v>
      </c>
      <c r="R258" s="6">
        <v>1067</v>
      </c>
      <c r="S258" s="6">
        <v>1.308944E-3</v>
      </c>
      <c r="T258" s="6">
        <v>3.9999999979999998</v>
      </c>
      <c r="U258" s="6">
        <v>0.112233659</v>
      </c>
      <c r="V258" s="6">
        <v>1.1662666E-2</v>
      </c>
      <c r="W258" s="6">
        <v>6.4792599999999995E-4</v>
      </c>
      <c r="X258" s="6">
        <v>4.2290200000000001E-4</v>
      </c>
      <c r="Y258" s="6">
        <v>0.133510356</v>
      </c>
      <c r="Z258" s="6">
        <v>1.7390903999999999E-2</v>
      </c>
      <c r="AA258" s="6">
        <v>8.5044892999999996E-2</v>
      </c>
      <c r="AB258" s="6">
        <v>9.9592810000000004E-3</v>
      </c>
      <c r="AC258" s="6">
        <v>5.9109777000000002E-2</v>
      </c>
      <c r="AD258" s="6">
        <v>6.8432969999999999E-3</v>
      </c>
      <c r="AE258" s="6">
        <v>9.3135127999999998E-2</v>
      </c>
      <c r="AF258" s="6">
        <v>1.1133594E-2</v>
      </c>
      <c r="AG258" s="6">
        <v>6.3540680930000004</v>
      </c>
      <c r="AH258" s="6">
        <v>0.489813518</v>
      </c>
      <c r="AI258" s="6">
        <v>-9.6039341910000005</v>
      </c>
      <c r="AJ258" s="6">
        <v>1.209355143</v>
      </c>
      <c r="AK258" s="6">
        <v>11.521956009</v>
      </c>
      <c r="AL258" s="6">
        <v>1.2476311899999999</v>
      </c>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row>
    <row r="259" spans="1:84" ht="16" x14ac:dyDescent="0.2">
      <c r="A259" s="4">
        <v>45845</v>
      </c>
      <c r="B259" s="19">
        <v>25188</v>
      </c>
      <c r="C259" s="5" t="s">
        <v>35</v>
      </c>
      <c r="D259" s="5">
        <v>23</v>
      </c>
      <c r="E259" s="53" t="s">
        <v>1308</v>
      </c>
      <c r="F259" s="6">
        <v>2.8</v>
      </c>
      <c r="G259" s="5" t="s">
        <v>2</v>
      </c>
      <c r="H259" s="5" t="s">
        <v>3</v>
      </c>
      <c r="I259" s="5">
        <v>0.65</v>
      </c>
      <c r="J259" s="5">
        <v>31.8</v>
      </c>
      <c r="K259" s="5">
        <v>8</v>
      </c>
      <c r="L259" s="5">
        <v>4.6500000000000004</v>
      </c>
      <c r="M259" s="5" t="s">
        <v>4</v>
      </c>
      <c r="N259" s="15">
        <v>42.591736111099998</v>
      </c>
      <c r="O259" s="9" t="s">
        <v>990</v>
      </c>
      <c r="P259" s="6">
        <v>7.5692700000000002E-2</v>
      </c>
      <c r="Q259" s="6">
        <v>2.0421430000000001E-2</v>
      </c>
      <c r="R259" s="6">
        <v>675</v>
      </c>
      <c r="S259" s="6">
        <v>2.2829679999999998E-3</v>
      </c>
      <c r="T259" s="6">
        <v>3.9999999979999998</v>
      </c>
      <c r="U259" s="6">
        <v>0.10997420300000001</v>
      </c>
      <c r="V259" s="6">
        <v>2.0759118999999999E-2</v>
      </c>
      <c r="W259" s="6">
        <v>1.1532840000000001E-3</v>
      </c>
      <c r="X259" s="6">
        <v>7.3324399999999997E-4</v>
      </c>
      <c r="Y259" s="6">
        <v>0.11309783900000001</v>
      </c>
      <c r="Z259" s="6">
        <v>3.0891549000000001E-2</v>
      </c>
      <c r="AA259" s="6">
        <v>6.6981258000000002E-2</v>
      </c>
      <c r="AB259" s="6">
        <v>1.8043722000000002E-2</v>
      </c>
      <c r="AC259" s="6">
        <v>4.7438666999999997E-2</v>
      </c>
      <c r="AD259" s="6">
        <v>1.2826127E-2</v>
      </c>
      <c r="AE259" s="6">
        <v>7.5692700000000002E-2</v>
      </c>
      <c r="AF259" s="6">
        <v>2.0421430000000001E-2</v>
      </c>
      <c r="AG259" s="6">
        <v>7.4173402660000001</v>
      </c>
      <c r="AH259" s="6">
        <v>0.55347132399999999</v>
      </c>
      <c r="AI259" s="6">
        <v>-9.9140554569999999</v>
      </c>
      <c r="AJ259" s="6">
        <v>0.79719660999999997</v>
      </c>
      <c r="AK259" s="6">
        <v>12.38387015</v>
      </c>
      <c r="AL259" s="6">
        <v>0.94178721700000001</v>
      </c>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row>
    <row r="260" spans="1:84" ht="16" x14ac:dyDescent="0.2">
      <c r="A260" s="4">
        <v>45846</v>
      </c>
      <c r="B260" s="19">
        <v>25189</v>
      </c>
      <c r="C260" s="37" t="s">
        <v>53</v>
      </c>
      <c r="D260" s="5">
        <v>1</v>
      </c>
      <c r="E260" s="53" t="s">
        <v>1309</v>
      </c>
      <c r="F260">
        <v>-2.8</v>
      </c>
      <c r="G260" s="5" t="s">
        <v>2</v>
      </c>
      <c r="H260" s="5" t="s">
        <v>3</v>
      </c>
      <c r="I260" s="5">
        <v>0.95</v>
      </c>
      <c r="J260" s="5">
        <v>35.6</v>
      </c>
      <c r="K260" s="5">
        <v>8.4</v>
      </c>
      <c r="L260" s="5">
        <v>5</v>
      </c>
      <c r="M260" s="5" t="s">
        <v>4</v>
      </c>
      <c r="N260" s="6">
        <v>42.756517000000002</v>
      </c>
      <c r="O260" t="s">
        <v>991</v>
      </c>
      <c r="P260" s="6">
        <v>7.6815907000000003E-2</v>
      </c>
      <c r="Q260" s="6">
        <v>1.3247749E-2</v>
      </c>
      <c r="R260" s="6">
        <v>726</v>
      </c>
      <c r="S260" s="6">
        <v>1.304964E-3</v>
      </c>
      <c r="T260" s="6">
        <v>2.8284271240000001</v>
      </c>
      <c r="U260" s="6">
        <v>9.9395443999999999E-2</v>
      </c>
      <c r="V260" s="6">
        <v>1.3129014E-2</v>
      </c>
      <c r="W260" s="6">
        <v>7.2939000000000001E-4</v>
      </c>
      <c r="X260" s="6">
        <v>4.7322800000000002E-4</v>
      </c>
      <c r="Y260" s="6">
        <v>0.11749213</v>
      </c>
      <c r="Z260" s="6">
        <v>2.1782883999999999E-2</v>
      </c>
      <c r="AA260" s="6">
        <v>6.7710540999999999E-2</v>
      </c>
      <c r="AB260" s="6">
        <v>1.1269889999999999E-2</v>
      </c>
      <c r="AC260" s="6">
        <v>4.5197965999999999E-2</v>
      </c>
      <c r="AD260" s="6">
        <v>7.1611210000000003E-3</v>
      </c>
      <c r="AE260" s="6">
        <v>7.6815907000000003E-2</v>
      </c>
      <c r="AF260" s="6">
        <v>1.3247749E-2</v>
      </c>
      <c r="AG260" s="6">
        <v>7.7058215560000001</v>
      </c>
      <c r="AH260" s="6">
        <v>0.73620183800000005</v>
      </c>
      <c r="AI260" s="6">
        <v>-11.004565775</v>
      </c>
      <c r="AJ260" s="6">
        <v>0.88844659599999998</v>
      </c>
      <c r="AK260" s="6">
        <v>13.436771172</v>
      </c>
      <c r="AL260" s="6">
        <v>1.124532316</v>
      </c>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row>
    <row r="261" spans="1:84" ht="16" x14ac:dyDescent="0.2">
      <c r="A261" s="4">
        <v>45846</v>
      </c>
      <c r="B261" s="19">
        <v>25189</v>
      </c>
      <c r="C261" s="37" t="s">
        <v>53</v>
      </c>
      <c r="D261" s="5">
        <v>2</v>
      </c>
      <c r="E261" s="53" t="s">
        <v>1310</v>
      </c>
      <c r="F261" s="6">
        <v>25</v>
      </c>
      <c r="G261" s="5" t="s">
        <v>2</v>
      </c>
      <c r="H261" s="5" t="s">
        <v>3</v>
      </c>
      <c r="I261" s="5">
        <v>0.8</v>
      </c>
      <c r="J261" s="5">
        <v>33.299999999999997</v>
      </c>
      <c r="K261" s="5">
        <v>8.9</v>
      </c>
      <c r="L261" s="5">
        <v>5</v>
      </c>
      <c r="M261" s="5" t="s">
        <v>4</v>
      </c>
      <c r="N261" s="6">
        <v>42.756517000000002</v>
      </c>
      <c r="O261" t="s">
        <v>992</v>
      </c>
      <c r="P261" s="6">
        <v>7.4664910000000001E-2</v>
      </c>
      <c r="Q261" s="6">
        <v>1.4334120000000001E-2</v>
      </c>
      <c r="R261" s="6">
        <v>717</v>
      </c>
      <c r="S261" s="6">
        <v>1.548745E-3</v>
      </c>
      <c r="T261" s="6">
        <v>2.8284271240000001</v>
      </c>
      <c r="U261" s="6">
        <v>0.10729249</v>
      </c>
      <c r="V261" s="6">
        <v>1.4434795E-2</v>
      </c>
      <c r="W261" s="6">
        <v>8.0193300000000001E-4</v>
      </c>
      <c r="X261" s="6">
        <v>5.11423E-4</v>
      </c>
      <c r="Y261" s="6">
        <v>0.113513638</v>
      </c>
      <c r="Z261" s="6">
        <v>2.3064652000000001E-2</v>
      </c>
      <c r="AA261">
        <v>6.5083432999999996E-2</v>
      </c>
      <c r="AB261" s="6">
        <v>1.1915917999999999E-2</v>
      </c>
      <c r="AC261" s="6">
        <v>4.8163765999999997E-2</v>
      </c>
      <c r="AD261" s="6">
        <v>9.1676420000000002E-3</v>
      </c>
      <c r="AE261" s="6">
        <v>7.4664910000000001E-2</v>
      </c>
      <c r="AF261" s="6">
        <v>1.4334120000000001E-2</v>
      </c>
      <c r="AG261" s="6">
        <v>7.7666610829999998</v>
      </c>
      <c r="AH261" s="6">
        <v>0.58355380599999995</v>
      </c>
      <c r="AI261" s="6">
        <v>-9.4214890800000006</v>
      </c>
      <c r="AJ261" s="6">
        <v>0.40266845800000001</v>
      </c>
      <c r="AK261" s="6">
        <v>12.217777531999999</v>
      </c>
      <c r="AL261" s="6">
        <v>0.56018426600000004</v>
      </c>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row>
    <row r="262" spans="1:84" ht="16" x14ac:dyDescent="0.2">
      <c r="A262" s="4">
        <v>45846</v>
      </c>
      <c r="B262" s="19">
        <v>25189</v>
      </c>
      <c r="C262" s="37" t="s">
        <v>53</v>
      </c>
      <c r="D262" s="5">
        <v>3</v>
      </c>
      <c r="E262" s="53" t="s">
        <v>1311</v>
      </c>
      <c r="F262" s="6">
        <v>-11.7</v>
      </c>
      <c r="G262" s="5" t="s">
        <v>2</v>
      </c>
      <c r="H262" s="5" t="s">
        <v>5</v>
      </c>
      <c r="I262" s="5">
        <v>0.65</v>
      </c>
      <c r="J262" s="5">
        <v>34.799999999999997</v>
      </c>
      <c r="K262" s="5">
        <v>8.9</v>
      </c>
      <c r="L262" s="5">
        <v>4.95</v>
      </c>
      <c r="M262" s="5" t="s">
        <v>4</v>
      </c>
      <c r="N262" s="6">
        <v>42.756517000000002</v>
      </c>
      <c r="O262" t="s">
        <v>993</v>
      </c>
      <c r="P262" s="6">
        <v>9.0396818000000004E-2</v>
      </c>
      <c r="Q262" s="6">
        <v>1.7373596000000002E-2</v>
      </c>
      <c r="R262" s="6">
        <v>863</v>
      </c>
      <c r="S262" s="6">
        <v>1.625743E-3</v>
      </c>
      <c r="T262" s="6">
        <v>2.8284271240000001</v>
      </c>
      <c r="U262" s="6">
        <v>9.2147478000000005E-2</v>
      </c>
      <c r="V262" s="6">
        <v>1.7642837000000001E-2</v>
      </c>
      <c r="W262" s="6">
        <v>9.8015800000000007E-4</v>
      </c>
      <c r="X262" s="6">
        <v>5.9825500000000001E-4</v>
      </c>
      <c r="Y262" s="6">
        <v>0.13874040100000001</v>
      </c>
      <c r="Z262" s="6">
        <v>2.6994561E-2</v>
      </c>
      <c r="AA262">
        <v>7.8474056E-2</v>
      </c>
      <c r="AB262" s="6">
        <v>1.5052322E-2</v>
      </c>
      <c r="AC262" s="6">
        <v>5.5494975000000002E-2</v>
      </c>
      <c r="AD262" s="6">
        <v>1.0959738E-2</v>
      </c>
      <c r="AE262" s="6">
        <v>9.0396818000000004E-2</v>
      </c>
      <c r="AF262" s="6">
        <v>1.7373596000000002E-2</v>
      </c>
      <c r="AG262" s="6">
        <v>8.0358237270000004</v>
      </c>
      <c r="AH262" s="6">
        <v>0.64909776100000005</v>
      </c>
      <c r="AI262" s="6">
        <v>-10.323724729</v>
      </c>
      <c r="AJ262" s="6">
        <v>0.557447688</v>
      </c>
      <c r="AK262" s="6">
        <v>13.088683244</v>
      </c>
      <c r="AL262" s="6">
        <v>0.75631828300000004</v>
      </c>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row>
    <row r="263" spans="1:84" ht="16" x14ac:dyDescent="0.2">
      <c r="A263" s="4">
        <v>45846</v>
      </c>
      <c r="B263" s="19">
        <v>25189</v>
      </c>
      <c r="C263" s="37" t="s">
        <v>53</v>
      </c>
      <c r="D263" s="28">
        <v>4</v>
      </c>
      <c r="E263" s="53" t="s">
        <v>1312</v>
      </c>
      <c r="F263" s="6">
        <v>0.6</v>
      </c>
      <c r="G263" s="5" t="s">
        <v>2</v>
      </c>
      <c r="H263" s="5" t="s">
        <v>3</v>
      </c>
      <c r="I263" s="5">
        <v>0.7</v>
      </c>
      <c r="J263" s="5">
        <v>35.799999999999997</v>
      </c>
      <c r="K263" s="5">
        <v>8.9499999999999993</v>
      </c>
      <c r="L263" s="5">
        <v>5</v>
      </c>
      <c r="M263" s="5" t="s">
        <v>4</v>
      </c>
      <c r="N263" s="6">
        <v>42.756517000000002</v>
      </c>
      <c r="O263" t="s">
        <v>662</v>
      </c>
      <c r="P263" s="6">
        <v>7.4981808999999996E-2</v>
      </c>
      <c r="Q263" s="6">
        <v>1.0905254E-2</v>
      </c>
      <c r="R263" s="6">
        <v>1105</v>
      </c>
      <c r="S263" s="6">
        <v>1.033735E-3</v>
      </c>
      <c r="T263" s="6">
        <v>3.9999999979999998</v>
      </c>
      <c r="U263" s="6">
        <v>9.6401401999999997E-2</v>
      </c>
      <c r="V263" s="6">
        <v>1.0723233E-2</v>
      </c>
      <c r="W263" s="6">
        <v>5.9573500000000001E-4</v>
      </c>
      <c r="X263" s="6">
        <v>3.9373899999999999E-4</v>
      </c>
      <c r="Y263" s="6">
        <v>0.114102013</v>
      </c>
      <c r="Z263" s="6">
        <v>1.7424816999999999E-2</v>
      </c>
      <c r="AA263" s="6">
        <v>6.5261712999999999E-2</v>
      </c>
      <c r="AB263" s="6">
        <v>9.3460399999999999E-3</v>
      </c>
      <c r="AC263" s="6">
        <v>4.9192083999999997E-2</v>
      </c>
      <c r="AD263" s="6">
        <v>8.3791019999999994E-3</v>
      </c>
      <c r="AE263" s="6">
        <v>7.4981808999999996E-2</v>
      </c>
      <c r="AF263" s="6">
        <v>1.0905254E-2</v>
      </c>
      <c r="AG263" s="6">
        <v>7.8668701680000002</v>
      </c>
      <c r="AH263" s="6">
        <v>0.78918142899999999</v>
      </c>
      <c r="AI263" s="6">
        <v>-9.2339270419999995</v>
      </c>
      <c r="AJ263" s="6">
        <v>1.6360163720000001</v>
      </c>
      <c r="AK263" s="6">
        <v>12.142251565</v>
      </c>
      <c r="AL263" s="6">
        <v>1.7372058109999999</v>
      </c>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row>
    <row r="264" spans="1:84" ht="16" x14ac:dyDescent="0.2">
      <c r="A264" s="4">
        <v>45846</v>
      </c>
      <c r="B264" s="19">
        <v>25189</v>
      </c>
      <c r="C264" s="37" t="s">
        <v>53</v>
      </c>
      <c r="D264" s="5">
        <v>5</v>
      </c>
      <c r="E264" s="53" t="s">
        <v>1313</v>
      </c>
      <c r="F264" s="6">
        <v>24.9</v>
      </c>
      <c r="G264" s="5" t="s">
        <v>2</v>
      </c>
      <c r="H264" s="5" t="s">
        <v>3</v>
      </c>
      <c r="I264" s="5">
        <v>0.7</v>
      </c>
      <c r="J264" s="5">
        <v>32.5</v>
      </c>
      <c r="K264" s="5">
        <v>8.3000000000000007</v>
      </c>
      <c r="L264" s="5">
        <v>4.75</v>
      </c>
      <c r="M264" s="5" t="s">
        <v>4</v>
      </c>
      <c r="N264" s="6">
        <v>42.756517000000002</v>
      </c>
      <c r="O264" t="s">
        <v>994</v>
      </c>
      <c r="P264" s="6">
        <v>7.5950192E-2</v>
      </c>
      <c r="Q264" s="6">
        <v>1.1773383E-2</v>
      </c>
      <c r="R264" s="6">
        <v>881</v>
      </c>
      <c r="S264" s="6">
        <v>1.2985010000000001E-3</v>
      </c>
      <c r="T264" s="6">
        <v>3.9999999979999998</v>
      </c>
      <c r="U264" s="6">
        <v>0.10149799599999999</v>
      </c>
      <c r="V264" s="6">
        <v>1.2793367E-2</v>
      </c>
      <c r="W264" s="6">
        <v>7.1074300000000001E-4</v>
      </c>
      <c r="X264" s="6">
        <v>4.41249E-4</v>
      </c>
      <c r="Y264" s="6">
        <v>0.11492229700000001</v>
      </c>
      <c r="Z264" s="6">
        <v>1.9297564E-2</v>
      </c>
      <c r="AA264">
        <v>6.6298045E-2</v>
      </c>
      <c r="AB264" s="6">
        <v>9.828303E-3</v>
      </c>
      <c r="AC264" s="6">
        <v>4.9516329999999997E-2</v>
      </c>
      <c r="AD264" s="6">
        <v>7.3926599999999997E-3</v>
      </c>
      <c r="AE264" s="6">
        <v>7.5950192E-2</v>
      </c>
      <c r="AF264" s="6">
        <v>1.1773383E-2</v>
      </c>
      <c r="AG264" s="6">
        <v>7.7204495460000002</v>
      </c>
      <c r="AH264" s="6">
        <v>0.69083888299999996</v>
      </c>
      <c r="AI264" s="6">
        <v>-9.2348301129999992</v>
      </c>
      <c r="AJ264" s="6">
        <v>0.918955831</v>
      </c>
      <c r="AK264" s="6">
        <v>12.041915419</v>
      </c>
      <c r="AL264" s="6">
        <v>1.0960395570000001</v>
      </c>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row>
    <row r="265" spans="1:84" ht="16" x14ac:dyDescent="0.2">
      <c r="A265" s="4">
        <v>45846</v>
      </c>
      <c r="B265" s="19">
        <v>25189</v>
      </c>
      <c r="C265" s="37" t="s">
        <v>53</v>
      </c>
      <c r="D265" s="5">
        <v>6</v>
      </c>
      <c r="E265" s="53" t="s">
        <v>1314</v>
      </c>
      <c r="F265" s="6">
        <v>9.8000000000000007</v>
      </c>
      <c r="G265" s="5" t="s">
        <v>2</v>
      </c>
      <c r="H265" s="5" t="s">
        <v>6</v>
      </c>
      <c r="I265" s="5">
        <v>0.35</v>
      </c>
      <c r="J265" s="5">
        <v>25.7</v>
      </c>
      <c r="K265" s="5" t="s">
        <v>8</v>
      </c>
      <c r="L265" s="5" t="s">
        <v>8</v>
      </c>
      <c r="M265" s="17" t="s">
        <v>9</v>
      </c>
      <c r="N265" s="6">
        <v>42.756517000000002</v>
      </c>
      <c r="O265" t="s">
        <v>995</v>
      </c>
      <c r="P265" s="6">
        <v>5.5016851999999998E-2</v>
      </c>
      <c r="Q265" s="6">
        <v>1.5194647E-2</v>
      </c>
      <c r="R265" s="6">
        <v>409</v>
      </c>
      <c r="S265" s="6">
        <v>1.5455029999999999E-3</v>
      </c>
      <c r="T265" s="6">
        <v>3.9999999979999998</v>
      </c>
      <c r="U265" s="6">
        <v>0.113545665</v>
      </c>
      <c r="V265" s="6">
        <v>1.3611286E-2</v>
      </c>
      <c r="W265" s="6">
        <v>7.5618300000000001E-4</v>
      </c>
      <c r="X265" s="6">
        <v>6.1388600000000001E-4</v>
      </c>
      <c r="Y265" s="6">
        <v>8.7064821000000001E-2</v>
      </c>
      <c r="Z265" s="6">
        <v>2.4340124000000001E-2</v>
      </c>
      <c r="AA265">
        <v>4.7050425E-2</v>
      </c>
      <c r="AB265" s="6">
        <v>1.2990712999999999E-2</v>
      </c>
      <c r="AC265" s="6">
        <v>3.1769263999999998E-2</v>
      </c>
      <c r="AD265" s="6">
        <v>8.3970889999999999E-3</v>
      </c>
      <c r="AE265" s="6">
        <v>5.5016851999999998E-2</v>
      </c>
      <c r="AF265" s="6">
        <v>1.5194647E-2</v>
      </c>
      <c r="AG265" s="6">
        <v>8.6881890469999998</v>
      </c>
      <c r="AH265" s="6">
        <v>0.16623221399999999</v>
      </c>
      <c r="AI265" s="6">
        <v>-11.341616346</v>
      </c>
      <c r="AJ265" s="6">
        <v>0.56208238099999996</v>
      </c>
      <c r="AK265" s="6">
        <v>14.289923437000001</v>
      </c>
      <c r="AL265" s="6">
        <v>0.50827189800000006</v>
      </c>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row>
    <row r="266" spans="1:84" ht="16" x14ac:dyDescent="0.2">
      <c r="A266" s="4">
        <v>45846</v>
      </c>
      <c r="B266" s="19">
        <v>25189</v>
      </c>
      <c r="C266" s="37" t="s">
        <v>53</v>
      </c>
      <c r="D266" s="5">
        <v>7</v>
      </c>
      <c r="E266" s="53" t="s">
        <v>1315</v>
      </c>
      <c r="F266" s="6">
        <v>13.3</v>
      </c>
      <c r="G266" s="5" t="s">
        <v>2</v>
      </c>
      <c r="H266" s="5" t="s">
        <v>6</v>
      </c>
      <c r="I266" s="5">
        <v>0.4</v>
      </c>
      <c r="J266" s="5">
        <v>35.950000000000003</v>
      </c>
      <c r="K266" s="5" t="s">
        <v>8</v>
      </c>
      <c r="L266" s="5" t="s">
        <v>8</v>
      </c>
      <c r="M266" s="5" t="s">
        <v>9</v>
      </c>
      <c r="N266" s="6">
        <v>42.756517000000002</v>
      </c>
      <c r="O266" t="s">
        <v>996</v>
      </c>
      <c r="P266" s="6">
        <v>7.5293346999999997E-2</v>
      </c>
      <c r="Q266" s="6">
        <v>1.591685E-2</v>
      </c>
      <c r="R266" s="6">
        <v>551</v>
      </c>
      <c r="S266" s="6">
        <v>1.8451769999999999E-3</v>
      </c>
      <c r="T266" s="6">
        <v>3.9999999979999998</v>
      </c>
      <c r="U266" s="6">
        <v>0.11860881400000001</v>
      </c>
      <c r="V266" s="6">
        <v>1.5556827000000001E-2</v>
      </c>
      <c r="W266" s="6">
        <v>8.6426799999999996E-4</v>
      </c>
      <c r="X266" s="6">
        <v>6.0707199999999995E-4</v>
      </c>
      <c r="Y266" s="6">
        <v>0.116579919</v>
      </c>
      <c r="Z266" s="6">
        <v>2.4905265999999999E-2</v>
      </c>
      <c r="AA266">
        <v>6.6044826000000001E-2</v>
      </c>
      <c r="AB266" s="6">
        <v>1.3845524999999999E-2</v>
      </c>
      <c r="AC266" s="6">
        <v>4.1900202999999997E-2</v>
      </c>
      <c r="AD266" s="6">
        <v>9.0694439999999994E-3</v>
      </c>
      <c r="AE266" s="6">
        <v>7.5293346999999997E-2</v>
      </c>
      <c r="AF266" s="6">
        <v>1.591685E-2</v>
      </c>
      <c r="AG266" s="6">
        <v>8.029143564</v>
      </c>
      <c r="AH266" s="6">
        <v>0.47940481699999998</v>
      </c>
      <c r="AI266" s="6">
        <v>-12.093367137</v>
      </c>
      <c r="AJ266" s="6">
        <v>0.330267692</v>
      </c>
      <c r="AK266" s="6">
        <v>14.522016093</v>
      </c>
      <c r="AL266" s="6">
        <v>0.40781876299999997</v>
      </c>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row>
    <row r="267" spans="1:84" ht="16" x14ac:dyDescent="0.2">
      <c r="A267" s="4">
        <v>45846</v>
      </c>
      <c r="B267" s="19">
        <v>25189</v>
      </c>
      <c r="C267" s="37" t="s">
        <v>53</v>
      </c>
      <c r="D267" s="5">
        <v>8</v>
      </c>
      <c r="E267" s="53" t="s">
        <v>1316</v>
      </c>
      <c r="F267" s="6">
        <v>34.1</v>
      </c>
      <c r="G267" s="5" t="s">
        <v>2</v>
      </c>
      <c r="H267" s="5" t="s">
        <v>6</v>
      </c>
      <c r="I267" s="5">
        <v>0.35</v>
      </c>
      <c r="J267" s="5">
        <v>25.45</v>
      </c>
      <c r="K267" s="5" t="s">
        <v>8</v>
      </c>
      <c r="L267" s="5" t="s">
        <v>8</v>
      </c>
      <c r="M267" s="5" t="s">
        <v>9</v>
      </c>
      <c r="N267" s="6">
        <v>42.756517000000002</v>
      </c>
      <c r="O267" t="s">
        <v>997</v>
      </c>
      <c r="P267" s="6">
        <v>5.3429771000000001E-2</v>
      </c>
      <c r="Q267" s="6">
        <v>1.3666683000000001E-2</v>
      </c>
      <c r="R267" s="6">
        <v>411</v>
      </c>
      <c r="S267" s="6">
        <v>1.3980399999999999E-3</v>
      </c>
      <c r="T267" s="6">
        <v>2.8284271240000001</v>
      </c>
      <c r="U267" s="6">
        <v>0.100414987</v>
      </c>
      <c r="V267" s="6">
        <v>1.3922623E-2</v>
      </c>
      <c r="W267" s="6">
        <v>7.7347899999999999E-4</v>
      </c>
      <c r="X267" s="6">
        <v>4.9998000000000002E-4</v>
      </c>
      <c r="Y267" s="6">
        <v>8.6211305000000002E-2</v>
      </c>
      <c r="Z267" s="6">
        <v>2.2427651E-2</v>
      </c>
      <c r="AA267">
        <v>4.5282413000000001E-2</v>
      </c>
      <c r="AB267" s="6">
        <v>1.1554900999999999E-2</v>
      </c>
      <c r="AC267" s="6">
        <v>2.9576611999999999E-2</v>
      </c>
      <c r="AD267" s="6">
        <v>7.1044580000000001E-3</v>
      </c>
      <c r="AE267" s="6">
        <v>5.3429771000000001E-2</v>
      </c>
      <c r="AF267" s="6">
        <v>1.3666683000000001E-2</v>
      </c>
      <c r="AG267" s="6">
        <v>9.0758283849999994</v>
      </c>
      <c r="AH267" s="6">
        <v>0.35923392999999998</v>
      </c>
      <c r="AI267" s="6">
        <v>-12.098251664999999</v>
      </c>
      <c r="AJ267" s="6">
        <v>0.54105827699999998</v>
      </c>
      <c r="AK267" s="6">
        <v>15.128248417</v>
      </c>
      <c r="AL267" s="6">
        <v>0.54400534099999998</v>
      </c>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row>
    <row r="268" spans="1:84" ht="16" x14ac:dyDescent="0.2">
      <c r="A268" s="4">
        <v>45846</v>
      </c>
      <c r="B268" s="19">
        <v>25189</v>
      </c>
      <c r="C268" s="37" t="s">
        <v>53</v>
      </c>
      <c r="D268" s="5">
        <v>9</v>
      </c>
      <c r="E268" s="53" t="s">
        <v>1317</v>
      </c>
      <c r="F268" s="6">
        <v>-2.5</v>
      </c>
      <c r="G268" s="5" t="s">
        <v>2</v>
      </c>
      <c r="H268" s="5" t="s">
        <v>3</v>
      </c>
      <c r="I268" s="5">
        <v>1.1000000000000001</v>
      </c>
      <c r="J268" s="5">
        <v>36.700000000000003</v>
      </c>
      <c r="K268" s="5">
        <v>10.1</v>
      </c>
      <c r="L268" s="5">
        <v>5.75</v>
      </c>
      <c r="M268" s="5" t="s">
        <v>4</v>
      </c>
      <c r="N268" s="6">
        <v>42.756517000000002</v>
      </c>
      <c r="O268" s="6" t="s">
        <v>998</v>
      </c>
      <c r="P268" s="6">
        <v>6.1125964999999997E-2</v>
      </c>
      <c r="Q268" s="6">
        <v>6.0967670000000003E-3</v>
      </c>
      <c r="R268" s="6">
        <v>1280</v>
      </c>
      <c r="S268" s="6">
        <v>7.6095399999999999E-4</v>
      </c>
      <c r="T268" s="6">
        <v>5.6568542449999999</v>
      </c>
      <c r="U268" s="6">
        <v>0.118806729</v>
      </c>
      <c r="V268" s="6">
        <v>6.4049729999999996E-3</v>
      </c>
      <c r="W268" s="6">
        <v>3.5583199999999999E-4</v>
      </c>
      <c r="X268" s="6">
        <v>2.5281499999999998E-4</v>
      </c>
      <c r="Y268" s="6">
        <v>9.0386023999999995E-2</v>
      </c>
      <c r="Z268" s="6">
        <v>1.0460446999999999E-2</v>
      </c>
      <c r="AA268" s="6">
        <v>5.5762344999999998E-2</v>
      </c>
      <c r="AB268" s="6">
        <v>5.2376300000000001E-3</v>
      </c>
      <c r="AC268" s="6">
        <v>3.7723684E-2</v>
      </c>
      <c r="AD268" s="6">
        <v>2.6336530000000001E-3</v>
      </c>
      <c r="AE268" s="6">
        <v>6.1125964999999997E-2</v>
      </c>
      <c r="AF268" s="6">
        <v>6.0967670000000003E-3</v>
      </c>
      <c r="AG268" s="6">
        <v>6.7979817669999996</v>
      </c>
      <c r="AH268" s="6">
        <v>0.54319175900000005</v>
      </c>
      <c r="AI268" s="6">
        <v>-10.271804863</v>
      </c>
      <c r="AJ268" s="6">
        <v>0.86842351200000001</v>
      </c>
      <c r="AK268" s="6">
        <v>12.32002323</v>
      </c>
      <c r="AL268" s="6">
        <v>0.99434814699999996</v>
      </c>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row>
    <row r="269" spans="1:84" ht="16" x14ac:dyDescent="0.2">
      <c r="A269" s="4">
        <v>45846</v>
      </c>
      <c r="B269" s="19">
        <v>25189</v>
      </c>
      <c r="C269" s="37" t="s">
        <v>53</v>
      </c>
      <c r="D269" s="5">
        <v>10</v>
      </c>
      <c r="E269" s="53" t="s">
        <v>1318</v>
      </c>
      <c r="F269" s="6">
        <v>-0.8</v>
      </c>
      <c r="G269" s="5" t="s">
        <v>2</v>
      </c>
      <c r="H269" s="5" t="s">
        <v>3</v>
      </c>
      <c r="I269" s="5">
        <v>1</v>
      </c>
      <c r="J269" s="5">
        <v>36.1</v>
      </c>
      <c r="K269" s="5">
        <v>9</v>
      </c>
      <c r="L269" s="5">
        <v>5.5</v>
      </c>
      <c r="M269" s="5" t="s">
        <v>4</v>
      </c>
      <c r="N269" s="6">
        <v>42.76885</v>
      </c>
      <c r="O269" t="s">
        <v>999</v>
      </c>
      <c r="P269" s="6">
        <v>8.1084567999999996E-2</v>
      </c>
      <c r="Q269" s="6">
        <v>1.3670684000000001E-2</v>
      </c>
      <c r="R269" s="6">
        <v>947</v>
      </c>
      <c r="S269" s="6">
        <v>1.3108690000000001E-3</v>
      </c>
      <c r="T269" s="6">
        <v>3.9999999979999998</v>
      </c>
      <c r="U269" s="6">
        <v>9.4843053999999996E-2</v>
      </c>
      <c r="V269" s="6">
        <v>1.3821451E-2</v>
      </c>
      <c r="W269" s="6">
        <v>7.6785799999999995E-4</v>
      </c>
      <c r="X269" s="6">
        <v>4.66692E-4</v>
      </c>
      <c r="Y269" s="6">
        <v>0.118753471</v>
      </c>
      <c r="Z269" s="6">
        <v>2.2141022E-2</v>
      </c>
      <c r="AA269">
        <v>7.2185737E-2</v>
      </c>
      <c r="AB269" s="6">
        <v>1.1513502E-2</v>
      </c>
      <c r="AC269" s="6">
        <v>5.4413889E-2</v>
      </c>
      <c r="AD269" s="6">
        <v>8.9769589999999996E-3</v>
      </c>
      <c r="AE269" s="6">
        <v>8.1084567999999996E-2</v>
      </c>
      <c r="AF269" s="6">
        <v>1.3670684000000001E-2</v>
      </c>
      <c r="AG269" s="6">
        <v>6.9569044099999999</v>
      </c>
      <c r="AH269" s="6">
        <v>0.82412753000000005</v>
      </c>
      <c r="AI269" s="6">
        <v>-8.6543240570000002</v>
      </c>
      <c r="AJ269" s="6">
        <v>1.0002597550000001</v>
      </c>
      <c r="AK269" s="6">
        <v>11.110551695</v>
      </c>
      <c r="AL269" s="6">
        <v>1.2373494759999999</v>
      </c>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row>
    <row r="270" spans="1:84" ht="16" x14ac:dyDescent="0.2">
      <c r="A270" s="4">
        <v>45846</v>
      </c>
      <c r="B270" s="19">
        <v>25189</v>
      </c>
      <c r="C270" s="37" t="s">
        <v>53</v>
      </c>
      <c r="D270" s="5">
        <v>11</v>
      </c>
      <c r="E270" s="53" t="s">
        <v>1319</v>
      </c>
      <c r="F270" s="6">
        <v>-31.6</v>
      </c>
      <c r="G270" s="5" t="s">
        <v>2</v>
      </c>
      <c r="H270" s="5" t="s">
        <v>6</v>
      </c>
      <c r="I270" s="5">
        <v>0.25</v>
      </c>
      <c r="J270" s="5">
        <v>21.5</v>
      </c>
      <c r="K270" s="5" t="s">
        <v>8</v>
      </c>
      <c r="L270" s="5" t="s">
        <v>8</v>
      </c>
      <c r="M270" s="5" t="s">
        <v>9</v>
      </c>
      <c r="N270" s="6">
        <v>42.76885</v>
      </c>
      <c r="O270" s="9" t="s">
        <v>1000</v>
      </c>
      <c r="P270" s="6">
        <v>4.7082265999999998E-2</v>
      </c>
      <c r="Q270" s="6">
        <v>1.3803203E-2</v>
      </c>
      <c r="R270" s="6">
        <v>323</v>
      </c>
      <c r="S270" s="6">
        <v>1.7188539999999999E-3</v>
      </c>
      <c r="T270" s="6">
        <v>31.999999932000001</v>
      </c>
      <c r="U270" s="6">
        <v>0.13235063399999999</v>
      </c>
      <c r="V270" s="6">
        <v>1.2987121000000001E-2</v>
      </c>
      <c r="W270" s="6">
        <v>7.2150700000000003E-4</v>
      </c>
      <c r="X270" s="6">
        <v>5.9213400000000002E-4</v>
      </c>
      <c r="Y270" s="6">
        <v>7.5817692000000006E-2</v>
      </c>
      <c r="Z270" s="6">
        <v>2.2024895999999999E-2</v>
      </c>
      <c r="AA270" s="9">
        <v>3.989409E-2</v>
      </c>
      <c r="AB270" s="6">
        <v>1.1735796999999999E-2</v>
      </c>
      <c r="AC270" s="6">
        <v>2.6391523E-2</v>
      </c>
      <c r="AD270" s="6">
        <v>8.0930789999999996E-3</v>
      </c>
      <c r="AE270" s="6">
        <v>4.7082265999999998E-2</v>
      </c>
      <c r="AF270" s="6">
        <v>1.3803203E-2</v>
      </c>
      <c r="AG270" s="6">
        <v>9.1028435559999998</v>
      </c>
      <c r="AH270" s="6">
        <v>0.31193260699999997</v>
      </c>
      <c r="AI270" s="6">
        <v>-12.069997914</v>
      </c>
      <c r="AJ270" s="6">
        <v>0.80049517599999997</v>
      </c>
      <c r="AK270" s="6">
        <v>15.119899437000001</v>
      </c>
      <c r="AL270" s="6">
        <v>0.82045488</v>
      </c>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row>
    <row r="271" spans="1:84" ht="16" x14ac:dyDescent="0.2">
      <c r="A271" s="4">
        <v>45846</v>
      </c>
      <c r="B271" s="19">
        <v>25189</v>
      </c>
      <c r="C271" s="37" t="s">
        <v>53</v>
      </c>
      <c r="D271" s="5">
        <v>12</v>
      </c>
      <c r="E271" s="53" t="s">
        <v>1320</v>
      </c>
      <c r="F271" s="6">
        <v>11.2</v>
      </c>
      <c r="G271" s="5" t="s">
        <v>2</v>
      </c>
      <c r="H271" s="5" t="s">
        <v>6</v>
      </c>
      <c r="I271" s="5">
        <v>0.3</v>
      </c>
      <c r="J271" s="5">
        <v>24.1</v>
      </c>
      <c r="K271" s="5" t="s">
        <v>8</v>
      </c>
      <c r="L271" s="5" t="s">
        <v>8</v>
      </c>
      <c r="M271" s="5" t="s">
        <v>9</v>
      </c>
      <c r="N271" s="6">
        <v>42.76885</v>
      </c>
      <c r="O271" t="s">
        <v>1001</v>
      </c>
      <c r="P271" s="6">
        <v>5.7101467000000003E-2</v>
      </c>
      <c r="Q271" s="6">
        <v>1.7536166999999998E-2</v>
      </c>
      <c r="R271" s="6">
        <v>376</v>
      </c>
      <c r="S271" s="6">
        <v>1.8864280000000001E-3</v>
      </c>
      <c r="T271" s="6">
        <v>11.313708483999999</v>
      </c>
      <c r="U271" s="6">
        <v>0.11794215800000001</v>
      </c>
      <c r="V271" s="6">
        <v>1.5994518999999999E-2</v>
      </c>
      <c r="W271" s="6">
        <v>8.8858399999999999E-4</v>
      </c>
      <c r="X271" s="6">
        <v>7.6929799999999997E-4</v>
      </c>
      <c r="Y271" s="6">
        <v>8.7851929999999995E-2</v>
      </c>
      <c r="Z271" s="6">
        <v>2.7038718E-2</v>
      </c>
      <c r="AA271">
        <v>4.9873381000000001E-2</v>
      </c>
      <c r="AB271" s="6">
        <v>1.5335415999999999E-2</v>
      </c>
      <c r="AC271" s="6">
        <v>3.3414498000000001E-2</v>
      </c>
      <c r="AD271" s="6">
        <v>1.0178034000000001E-2</v>
      </c>
      <c r="AE271" s="6">
        <v>5.7101467000000003E-2</v>
      </c>
      <c r="AF271" s="6">
        <v>1.7536166999999998E-2</v>
      </c>
      <c r="AG271" s="6">
        <v>8.013564981</v>
      </c>
      <c r="AH271" s="6">
        <v>0.32528770600000001</v>
      </c>
      <c r="AI271" s="6">
        <v>-11.143616851000001</v>
      </c>
      <c r="AJ271" s="6">
        <v>0.40234540499999999</v>
      </c>
      <c r="AK271" s="6">
        <v>13.726598514000001</v>
      </c>
      <c r="AL271" s="6">
        <v>0.49552825</v>
      </c>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row>
    <row r="272" spans="1:84" ht="16" x14ac:dyDescent="0.2">
      <c r="A272" s="4">
        <v>45847</v>
      </c>
      <c r="B272" s="19">
        <v>25190</v>
      </c>
      <c r="C272" s="37" t="s">
        <v>37</v>
      </c>
      <c r="D272" s="5">
        <v>4</v>
      </c>
      <c r="E272" s="53" t="s">
        <v>1321</v>
      </c>
      <c r="F272" s="6">
        <v>37.9</v>
      </c>
      <c r="G272" s="5" t="s">
        <v>2</v>
      </c>
      <c r="H272" s="5" t="s">
        <v>3</v>
      </c>
      <c r="I272" s="5">
        <v>1.05</v>
      </c>
      <c r="J272" s="5">
        <v>37.4</v>
      </c>
      <c r="K272" s="5">
        <v>9.15</v>
      </c>
      <c r="L272" s="5">
        <v>5.0999999999999996</v>
      </c>
      <c r="M272" s="5" t="s">
        <v>4</v>
      </c>
      <c r="N272" s="15">
        <v>42.749852777800001</v>
      </c>
      <c r="O272" t="s">
        <v>1002</v>
      </c>
      <c r="P272" s="6">
        <v>8.0239569999999996E-2</v>
      </c>
      <c r="Q272" s="6">
        <v>2.1432751999999999E-2</v>
      </c>
      <c r="R272" s="6">
        <v>908</v>
      </c>
      <c r="S272" s="6">
        <v>2.0202029999999999E-3</v>
      </c>
      <c r="T272" s="6">
        <v>2</v>
      </c>
      <c r="U272" s="6">
        <v>0.100908867</v>
      </c>
      <c r="V272" s="6">
        <v>2.0020070000000001E-2</v>
      </c>
      <c r="W272" s="6">
        <v>1.112226E-3</v>
      </c>
      <c r="X272" s="6">
        <v>7.0895799999999998E-4</v>
      </c>
      <c r="Y272" s="6">
        <v>0.11552003399999999</v>
      </c>
      <c r="Z272" s="6">
        <v>3.2072577999999997E-2</v>
      </c>
      <c r="AA272">
        <v>7.2002925999999995E-2</v>
      </c>
      <c r="AB272" s="6">
        <v>1.8946055E-2</v>
      </c>
      <c r="AC272" s="6">
        <v>5.4878549999999998E-2</v>
      </c>
      <c r="AD272" s="6">
        <v>1.4129299999999999E-2</v>
      </c>
      <c r="AE272" s="6">
        <v>8.0239569999999996E-2</v>
      </c>
      <c r="AF272" s="6">
        <v>2.1432751999999999E-2</v>
      </c>
      <c r="AG272" s="6">
        <v>6.5575475860000001</v>
      </c>
      <c r="AH272" s="6">
        <v>0.73632966799999999</v>
      </c>
      <c r="AI272" s="6">
        <v>-8.1550782460000004</v>
      </c>
      <c r="AJ272" s="6">
        <v>0.82390309500000003</v>
      </c>
      <c r="AK272" s="6">
        <v>10.467763939999999</v>
      </c>
      <c r="AL272" s="6">
        <v>1.074045044</v>
      </c>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row>
    <row r="273" spans="1:84" ht="16" x14ac:dyDescent="0.2">
      <c r="A273" s="4">
        <v>45847</v>
      </c>
      <c r="B273" s="19">
        <v>25190</v>
      </c>
      <c r="C273" s="37" t="s">
        <v>37</v>
      </c>
      <c r="D273" s="5">
        <v>5</v>
      </c>
      <c r="E273" s="53" t="s">
        <v>1322</v>
      </c>
      <c r="F273">
        <v>-44.2</v>
      </c>
      <c r="G273" s="5" t="s">
        <v>2</v>
      </c>
      <c r="H273" s="5" t="s">
        <v>6</v>
      </c>
      <c r="I273" s="5">
        <v>0.35</v>
      </c>
      <c r="J273" s="5">
        <v>27</v>
      </c>
      <c r="K273" s="5" t="s">
        <v>8</v>
      </c>
      <c r="L273" s="5" t="s">
        <v>8</v>
      </c>
      <c r="M273" s="5" t="s">
        <v>9</v>
      </c>
      <c r="N273" s="15">
        <v>42.749852777800001</v>
      </c>
      <c r="O273" t="s">
        <v>1003</v>
      </c>
      <c r="P273" s="6">
        <v>7.0913230999999993E-2</v>
      </c>
      <c r="Q273" s="6">
        <v>1.8161009999999998E-2</v>
      </c>
      <c r="R273" s="6">
        <v>512</v>
      </c>
      <c r="S273" s="6">
        <v>2.034129E-3</v>
      </c>
      <c r="T273" s="6">
        <v>3.9999999979999998</v>
      </c>
      <c r="U273" s="6">
        <v>0.117154166</v>
      </c>
      <c r="V273" s="6">
        <v>1.7362842999999999E-2</v>
      </c>
      <c r="W273" s="6">
        <v>9.6460199999999995E-4</v>
      </c>
      <c r="X273" s="6">
        <v>6.7834500000000001E-4</v>
      </c>
      <c r="Y273" s="6">
        <v>0.10737717300000001</v>
      </c>
      <c r="Z273" s="6">
        <v>2.7491728E-2</v>
      </c>
      <c r="AA273">
        <v>6.3510036000000006E-2</v>
      </c>
      <c r="AB273" s="6">
        <v>1.6313675E-2</v>
      </c>
      <c r="AC273" s="6">
        <v>3.9156861000000001E-2</v>
      </c>
      <c r="AD273" s="6">
        <v>1.0156653E-2</v>
      </c>
      <c r="AE273" s="6">
        <v>7.0913230999999993E-2</v>
      </c>
      <c r="AF273" s="6">
        <v>1.8161009999999998E-2</v>
      </c>
      <c r="AG273" s="6">
        <v>7.4336880399999998</v>
      </c>
      <c r="AH273" s="6">
        <v>0.25239767600000002</v>
      </c>
      <c r="AI273" s="6">
        <v>-12.209140508000001</v>
      </c>
      <c r="AJ273" s="6">
        <v>0.53940161799999997</v>
      </c>
      <c r="AK273" s="6">
        <v>14.295077892</v>
      </c>
      <c r="AL273" s="6">
        <v>0.57287513899999998</v>
      </c>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row>
    <row r="274" spans="1:84" ht="16" x14ac:dyDescent="0.2">
      <c r="A274" s="4">
        <v>45847</v>
      </c>
      <c r="B274" s="19">
        <v>25190</v>
      </c>
      <c r="C274" s="37" t="s">
        <v>37</v>
      </c>
      <c r="D274" s="5">
        <v>6</v>
      </c>
      <c r="E274" s="53" t="s">
        <v>1323</v>
      </c>
      <c r="F274" s="6">
        <v>9.1999999999999993</v>
      </c>
      <c r="G274" s="5" t="s">
        <v>2</v>
      </c>
      <c r="H274" s="5" t="s">
        <v>6</v>
      </c>
      <c r="I274" s="5">
        <v>0.25</v>
      </c>
      <c r="J274" s="5">
        <v>25.8</v>
      </c>
      <c r="K274" s="5" t="s">
        <v>8</v>
      </c>
      <c r="L274" s="5" t="s">
        <v>8</v>
      </c>
      <c r="M274" s="5" t="s">
        <v>9</v>
      </c>
      <c r="N274" s="15">
        <v>42.749852777800001</v>
      </c>
      <c r="O274" t="s">
        <v>1004</v>
      </c>
      <c r="P274" s="6">
        <v>6.0848404000000002E-2</v>
      </c>
      <c r="Q274" s="6">
        <v>1.4824198E-2</v>
      </c>
      <c r="R274" s="6">
        <v>444</v>
      </c>
      <c r="S274" s="6">
        <v>1.5633629999999999E-3</v>
      </c>
      <c r="T274" s="6">
        <v>3.9999999979999998</v>
      </c>
      <c r="U274" s="6">
        <v>0.111679181</v>
      </c>
      <c r="V274" s="6">
        <v>1.3998693E-2</v>
      </c>
      <c r="W274" s="6">
        <v>7.7770499999999995E-4</v>
      </c>
      <c r="X274" s="6">
        <v>5.3731799999999995E-4</v>
      </c>
      <c r="Y274" s="6">
        <v>8.7910153000000005E-2</v>
      </c>
      <c r="Z274" s="6">
        <v>2.1903667000000002E-2</v>
      </c>
      <c r="AA274">
        <v>5.5545112000000001E-2</v>
      </c>
      <c r="AB274" s="6">
        <v>1.3558618E-2</v>
      </c>
      <c r="AC274" s="6">
        <v>3.7678546E-2</v>
      </c>
      <c r="AD274" s="6">
        <v>8.4999269999999991E-3</v>
      </c>
      <c r="AE274" s="6">
        <v>6.0848404000000002E-2</v>
      </c>
      <c r="AF274" s="6">
        <v>1.4824198E-2</v>
      </c>
      <c r="AG274" s="6">
        <v>6.4821854459999999</v>
      </c>
      <c r="AH274" s="6">
        <v>0.475133841</v>
      </c>
      <c r="AI274" s="6">
        <v>-10.00379272</v>
      </c>
      <c r="AJ274" s="6">
        <v>0.89854071400000002</v>
      </c>
      <c r="AK274" s="6">
        <v>11.924147069</v>
      </c>
      <c r="AL274" s="6">
        <v>0.97068830800000006</v>
      </c>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row>
    <row r="275" spans="1:84" ht="16" x14ac:dyDescent="0.2">
      <c r="A275" s="4">
        <v>45847</v>
      </c>
      <c r="B275" s="19">
        <v>25190</v>
      </c>
      <c r="C275" s="37" t="s">
        <v>37</v>
      </c>
      <c r="D275" s="5">
        <v>7</v>
      </c>
      <c r="E275" s="53" t="s">
        <v>1324</v>
      </c>
      <c r="F275" s="6">
        <v>-8.1</v>
      </c>
      <c r="G275" s="5" t="s">
        <v>2</v>
      </c>
      <c r="H275" s="5" t="s">
        <v>3</v>
      </c>
      <c r="I275" s="5">
        <v>0.75</v>
      </c>
      <c r="J275" s="5">
        <v>36.25</v>
      </c>
      <c r="K275" s="5">
        <v>8.4499999999999993</v>
      </c>
      <c r="L275" s="5">
        <v>5.0999999999999996</v>
      </c>
      <c r="M275" s="5" t="s">
        <v>4</v>
      </c>
      <c r="N275" s="15">
        <v>42.749852777800001</v>
      </c>
      <c r="O275" s="6" t="s">
        <v>1005</v>
      </c>
      <c r="P275" s="6">
        <v>8.3368300000000006E-2</v>
      </c>
      <c r="Q275" s="6">
        <v>1.1166082000000001E-2</v>
      </c>
      <c r="R275" s="6">
        <v>909</v>
      </c>
      <c r="S275" s="6">
        <v>1.271019E-3</v>
      </c>
      <c r="T275" s="6">
        <v>7.9999999920000002</v>
      </c>
      <c r="U275" s="6">
        <v>0.102734505</v>
      </c>
      <c r="V275" s="6">
        <v>1.2371876E-2</v>
      </c>
      <c r="W275" s="6">
        <v>6.8732600000000004E-4</v>
      </c>
      <c r="X275" s="6">
        <v>4.1836299999999999E-4</v>
      </c>
      <c r="Y275" s="6">
        <v>0.112571876</v>
      </c>
      <c r="Z275" s="6">
        <v>1.5938549999999999E-2</v>
      </c>
      <c r="AA275" s="6">
        <v>7.7715630999999993E-2</v>
      </c>
      <c r="AB275" s="6">
        <v>1.0448859E-2</v>
      </c>
      <c r="AC275" s="6">
        <v>5.9714725000000003E-2</v>
      </c>
      <c r="AD275" s="6">
        <v>7.8920850000000001E-3</v>
      </c>
      <c r="AE275" s="6">
        <v>8.3368300000000006E-2</v>
      </c>
      <c r="AF275" s="6">
        <v>1.1166082000000001E-2</v>
      </c>
      <c r="AG275" s="6">
        <v>5.2287820250000001</v>
      </c>
      <c r="AH275" s="6">
        <v>0.61724083399999996</v>
      </c>
      <c r="AI275" s="6">
        <v>-7.318710287</v>
      </c>
      <c r="AJ275" s="6">
        <v>1.0123898220000001</v>
      </c>
      <c r="AK275" s="6">
        <v>8.9962677880000008</v>
      </c>
      <c r="AL275" s="6">
        <v>1.173343408</v>
      </c>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row>
    <row r="276" spans="1:84" ht="16" x14ac:dyDescent="0.2">
      <c r="A276" s="4">
        <v>45847</v>
      </c>
      <c r="B276" s="19">
        <v>25190</v>
      </c>
      <c r="C276" s="37" t="s">
        <v>37</v>
      </c>
      <c r="D276" s="5">
        <v>8</v>
      </c>
      <c r="E276" s="53" t="s">
        <v>1325</v>
      </c>
      <c r="F276" s="6">
        <v>10.199999999999999</v>
      </c>
      <c r="G276" s="5" t="s">
        <v>2</v>
      </c>
      <c r="H276" s="5" t="s">
        <v>3</v>
      </c>
      <c r="I276" s="5">
        <v>0.7</v>
      </c>
      <c r="J276" s="5">
        <v>34.5</v>
      </c>
      <c r="K276" s="5">
        <v>8.6</v>
      </c>
      <c r="L276" s="5">
        <v>4.9000000000000004</v>
      </c>
      <c r="M276" s="5" t="s">
        <v>4</v>
      </c>
      <c r="N276" s="15">
        <v>42.749852777800001</v>
      </c>
      <c r="O276" s="6" t="s">
        <v>1006</v>
      </c>
      <c r="P276" s="6">
        <v>9.5013381999999993E-2</v>
      </c>
      <c r="Q276" s="6">
        <v>1.7347534000000001E-2</v>
      </c>
      <c r="R276" s="6">
        <v>924</v>
      </c>
      <c r="S276" s="6">
        <v>2.0774309999999998E-3</v>
      </c>
      <c r="T276" s="6">
        <v>3.9999999979999998</v>
      </c>
      <c r="U276" s="6">
        <v>0.125173601</v>
      </c>
      <c r="V276" s="6">
        <v>1.6596402E-2</v>
      </c>
      <c r="W276" s="6">
        <v>9.2202199999999999E-4</v>
      </c>
      <c r="X276" s="6">
        <v>6.8305700000000004E-4</v>
      </c>
      <c r="Y276" s="6">
        <v>0.135787146</v>
      </c>
      <c r="Z276" s="6">
        <v>2.5388969000000001E-2</v>
      </c>
      <c r="AA276" s="6">
        <v>8.6649652999999993E-2</v>
      </c>
      <c r="AB276" s="6">
        <v>1.5839749E-2</v>
      </c>
      <c r="AC276" s="6">
        <v>6.0818622000000003E-2</v>
      </c>
      <c r="AD276" s="6">
        <v>1.0670384999999999E-2</v>
      </c>
      <c r="AE276" s="6">
        <v>9.5013381999999993E-2</v>
      </c>
      <c r="AF276" s="6">
        <v>1.7347534000000001E-2</v>
      </c>
      <c r="AG276" s="6">
        <v>6.3379575969999999</v>
      </c>
      <c r="AH276" s="6">
        <v>0.31983021900000003</v>
      </c>
      <c r="AI276" s="6">
        <v>-9.3963265969999998</v>
      </c>
      <c r="AJ276" s="6">
        <v>1.022529716</v>
      </c>
      <c r="AK276" s="6">
        <v>11.341885851000001</v>
      </c>
      <c r="AL276" s="6">
        <v>0.98486100799999998</v>
      </c>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row>
    <row r="277" spans="1:84" ht="16" x14ac:dyDescent="0.2">
      <c r="A277" s="4">
        <v>45847</v>
      </c>
      <c r="B277" s="19">
        <v>25190</v>
      </c>
      <c r="C277" s="37" t="s">
        <v>37</v>
      </c>
      <c r="D277" s="5">
        <v>9</v>
      </c>
      <c r="E277" s="53" t="s">
        <v>1326</v>
      </c>
      <c r="F277" s="6">
        <v>-25.5</v>
      </c>
      <c r="G277" s="5" t="s">
        <v>2</v>
      </c>
      <c r="H277" s="5" t="s">
        <v>6</v>
      </c>
      <c r="I277" s="5">
        <v>0.25</v>
      </c>
      <c r="J277" s="5">
        <v>25.3</v>
      </c>
      <c r="K277" s="5" t="s">
        <v>8</v>
      </c>
      <c r="L277" s="5" t="s">
        <v>8</v>
      </c>
      <c r="M277" s="5" t="s">
        <v>9</v>
      </c>
      <c r="N277" s="15">
        <v>42.749852777800001</v>
      </c>
      <c r="O277" t="s">
        <v>1007</v>
      </c>
      <c r="P277" s="6">
        <v>6.2145865000000002E-2</v>
      </c>
      <c r="Q277" s="6">
        <v>1.6976926E-2</v>
      </c>
      <c r="R277" s="6">
        <v>480</v>
      </c>
      <c r="S277" s="6">
        <v>2.0127719999999999E-3</v>
      </c>
      <c r="T277" s="6">
        <v>3.9999999979999998</v>
      </c>
      <c r="U277" s="6">
        <v>0.128903987</v>
      </c>
      <c r="V277" s="6">
        <v>1.5614509E-2</v>
      </c>
      <c r="W277" s="6">
        <v>8.6747300000000001E-4</v>
      </c>
      <c r="X277" s="6">
        <v>7.3502500000000004E-4</v>
      </c>
      <c r="Y277" s="6">
        <v>9.0219793000000006E-2</v>
      </c>
      <c r="Z277" s="6">
        <v>2.4543685999999999E-2</v>
      </c>
      <c r="AA277">
        <v>5.6648434999999997E-2</v>
      </c>
      <c r="AB277" s="6">
        <v>1.5525147E-2</v>
      </c>
      <c r="AC277" s="6">
        <v>3.8556618000000001E-2</v>
      </c>
      <c r="AD277" s="6">
        <v>1.0633134000000001E-2</v>
      </c>
      <c r="AE277" s="6">
        <v>6.2145865000000002E-2</v>
      </c>
      <c r="AF277" s="6">
        <v>1.6976926E-2</v>
      </c>
      <c r="AG277" s="6">
        <v>6.5977513310000004</v>
      </c>
      <c r="AH277" s="6">
        <v>0.13799361600000001</v>
      </c>
      <c r="AI277" s="6">
        <v>-10.064410335</v>
      </c>
      <c r="AJ277" s="6">
        <v>0.380024733</v>
      </c>
      <c r="AK277" s="6">
        <v>12.037768259</v>
      </c>
      <c r="AL277" s="6">
        <v>0.279456971</v>
      </c>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row>
    <row r="278" spans="1:84" ht="16" x14ac:dyDescent="0.2">
      <c r="A278" s="4">
        <v>45847</v>
      </c>
      <c r="B278" s="19">
        <v>25190</v>
      </c>
      <c r="C278" s="37" t="s">
        <v>37</v>
      </c>
      <c r="D278" s="5">
        <v>10</v>
      </c>
      <c r="E278" s="53" t="s">
        <v>1327</v>
      </c>
      <c r="F278" s="6">
        <v>21.9</v>
      </c>
      <c r="G278" s="5" t="s">
        <v>2</v>
      </c>
      <c r="H278" s="5" t="s">
        <v>5</v>
      </c>
      <c r="I278" s="5">
        <v>1.05</v>
      </c>
      <c r="J278" s="5">
        <v>34.9</v>
      </c>
      <c r="K278" s="5">
        <v>9.6999999999999993</v>
      </c>
      <c r="L278" s="5">
        <v>5.25</v>
      </c>
      <c r="M278" s="5" t="s">
        <v>4</v>
      </c>
      <c r="N278" s="15">
        <v>42.749852777800001</v>
      </c>
      <c r="O278" s="6" t="s">
        <v>1008</v>
      </c>
      <c r="P278" s="6">
        <v>7.6479209000000006E-2</v>
      </c>
      <c r="Q278" s="6">
        <v>1.2016137E-2</v>
      </c>
      <c r="R278" s="6">
        <v>1119</v>
      </c>
      <c r="S278" s="6">
        <v>1.5423349999999999E-3</v>
      </c>
      <c r="T278" s="6">
        <v>3.9999999979999998</v>
      </c>
      <c r="U278" s="6">
        <v>0.13431243000000001</v>
      </c>
      <c r="V278" s="6">
        <v>1.1483191E-2</v>
      </c>
      <c r="W278" s="6">
        <v>6.3795500000000005E-4</v>
      </c>
      <c r="X278" s="6">
        <v>5.1152700000000001E-4</v>
      </c>
      <c r="Y278" s="6">
        <v>0.114723406</v>
      </c>
      <c r="Z278" s="6">
        <v>1.8663161000000001E-2</v>
      </c>
      <c r="AA278" s="6">
        <v>6.8660616999999993E-2</v>
      </c>
      <c r="AB278" s="6">
        <v>1.0772675000000001E-2</v>
      </c>
      <c r="AC278" s="6">
        <v>4.5285601000000002E-2</v>
      </c>
      <c r="AD278" s="6">
        <v>7.2863429999999998E-3</v>
      </c>
      <c r="AE278" s="6">
        <v>7.6479209000000006E-2</v>
      </c>
      <c r="AF278" s="6">
        <v>1.2016137E-2</v>
      </c>
      <c r="AG278" s="6">
        <v>7.2491496179999997</v>
      </c>
      <c r="AH278" s="6">
        <v>0.58927914000000003</v>
      </c>
      <c r="AI278" s="6">
        <v>-10.979938193000001</v>
      </c>
      <c r="AJ278" s="6">
        <v>1.071883978</v>
      </c>
      <c r="AK278" s="6">
        <v>13.161068888000001</v>
      </c>
      <c r="AL278" s="6">
        <v>1.179648612</v>
      </c>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row>
    <row r="279" spans="1:84" ht="16" x14ac:dyDescent="0.2">
      <c r="A279" s="4">
        <v>45847</v>
      </c>
      <c r="B279" s="19">
        <v>25190</v>
      </c>
      <c r="C279" s="37" t="s">
        <v>37</v>
      </c>
      <c r="D279" s="5">
        <v>11</v>
      </c>
      <c r="E279" s="53" t="s">
        <v>1328</v>
      </c>
      <c r="F279" s="6">
        <v>20.8</v>
      </c>
      <c r="G279" s="5" t="s">
        <v>2</v>
      </c>
      <c r="H279" s="5" t="s">
        <v>5</v>
      </c>
      <c r="I279" s="5">
        <v>1.05</v>
      </c>
      <c r="J279" s="5">
        <v>37.75</v>
      </c>
      <c r="K279" s="5">
        <v>9.5</v>
      </c>
      <c r="L279" s="5">
        <v>5.45</v>
      </c>
      <c r="M279" s="5" t="s">
        <v>4</v>
      </c>
      <c r="N279" s="15">
        <v>42.749852777800001</v>
      </c>
      <c r="O279" t="s">
        <v>1009</v>
      </c>
      <c r="P279" s="6">
        <v>6.3243583000000006E-2</v>
      </c>
      <c r="Q279" s="6">
        <v>7.76561E-3</v>
      </c>
      <c r="R279" s="6">
        <v>1175</v>
      </c>
      <c r="S279" s="6">
        <v>8.4415499999999997E-4</v>
      </c>
      <c r="T279" s="6">
        <v>3.9999999979999998</v>
      </c>
      <c r="U279" s="6">
        <v>0.10893579</v>
      </c>
      <c r="V279" s="6">
        <v>7.7491050000000001E-3</v>
      </c>
      <c r="W279" s="6">
        <v>4.3050599999999999E-4</v>
      </c>
      <c r="X279" s="6">
        <v>2.8632899999999999E-4</v>
      </c>
      <c r="Y279" s="6">
        <v>8.7032172000000005E-2</v>
      </c>
      <c r="Z279" s="6">
        <v>1.1857443E-2</v>
      </c>
      <c r="AA279">
        <v>5.8351673999999999E-2</v>
      </c>
      <c r="AB279" s="6">
        <v>6.8643209999999996E-3</v>
      </c>
      <c r="AC279" s="6">
        <v>4.7470490999999997E-2</v>
      </c>
      <c r="AD279" s="6">
        <v>5.5243100000000002E-3</v>
      </c>
      <c r="AE279" s="6">
        <v>6.3243583000000006E-2</v>
      </c>
      <c r="AF279" s="6">
        <v>7.76561E-3</v>
      </c>
      <c r="AG279" s="6">
        <v>5.620085553</v>
      </c>
      <c r="AH279" s="6">
        <v>0.54700090400000001</v>
      </c>
      <c r="AI279" s="6">
        <v>-6.6115981860000002</v>
      </c>
      <c r="AJ279" s="6">
        <v>0.662466687</v>
      </c>
      <c r="AK279" s="6">
        <v>8.6799518080000002</v>
      </c>
      <c r="AL279" s="6">
        <v>0.83370519099999996</v>
      </c>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row>
    <row r="280" spans="1:84" ht="16" x14ac:dyDescent="0.2">
      <c r="A280" s="4">
        <v>45847</v>
      </c>
      <c r="B280" s="19">
        <v>25190</v>
      </c>
      <c r="C280" s="37" t="s">
        <v>37</v>
      </c>
      <c r="D280" s="5">
        <v>12</v>
      </c>
      <c r="E280" s="53" t="s">
        <v>1329</v>
      </c>
      <c r="F280" s="6">
        <v>-10.5</v>
      </c>
      <c r="G280" s="5" t="s">
        <v>2</v>
      </c>
      <c r="H280" s="5" t="s">
        <v>6</v>
      </c>
      <c r="I280" s="5">
        <v>0.25</v>
      </c>
      <c r="J280" s="5">
        <v>27</v>
      </c>
      <c r="K280" s="5" t="s">
        <v>8</v>
      </c>
      <c r="L280" s="5" t="s">
        <v>8</v>
      </c>
      <c r="M280" s="5" t="s">
        <v>9</v>
      </c>
      <c r="N280" s="15">
        <v>42.749852777800001</v>
      </c>
      <c r="O280" t="s">
        <v>1010</v>
      </c>
      <c r="P280" s="6">
        <v>6.8573216000000006E-2</v>
      </c>
      <c r="Q280" s="6">
        <v>1.2091279999999999E-2</v>
      </c>
      <c r="R280" s="6">
        <v>513</v>
      </c>
      <c r="S280" s="6">
        <v>1.250536E-3</v>
      </c>
      <c r="T280" s="6">
        <v>7.9999999920000002</v>
      </c>
      <c r="U280" s="6">
        <v>0.10185967999999999</v>
      </c>
      <c r="V280" s="6">
        <v>1.2277049999999999E-2</v>
      </c>
      <c r="W280" s="6">
        <v>6.8205800000000003E-4</v>
      </c>
      <c r="X280" s="6">
        <v>4.5114900000000003E-4</v>
      </c>
      <c r="Y280" s="6">
        <v>0.101967851</v>
      </c>
      <c r="Z280" s="6">
        <v>1.7382041000000001E-2</v>
      </c>
      <c r="AA280" s="6">
        <v>6.1745812999999997E-2</v>
      </c>
      <c r="AB280" s="6">
        <v>1.1088727E-2</v>
      </c>
      <c r="AC280" s="6">
        <v>4.0505924999999998E-2</v>
      </c>
      <c r="AD280" s="6">
        <v>7.7109880000000002E-3</v>
      </c>
      <c r="AE280" s="6">
        <v>6.8573216000000006E-2</v>
      </c>
      <c r="AF280" s="6">
        <v>1.2091279999999999E-2</v>
      </c>
      <c r="AG280" s="6">
        <v>7.1291688860000004</v>
      </c>
      <c r="AH280" s="6">
        <v>0.32526504899999997</v>
      </c>
      <c r="AI280" s="6">
        <v>-11.054668224</v>
      </c>
      <c r="AJ280" s="6">
        <v>0.532683397</v>
      </c>
      <c r="AK280" s="6">
        <v>13.15744263</v>
      </c>
      <c r="AL280" s="6">
        <v>0.54938121299999998</v>
      </c>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row>
    <row r="281" spans="1:84" ht="16" x14ac:dyDescent="0.2">
      <c r="A281" s="4">
        <v>45847</v>
      </c>
      <c r="B281" s="19">
        <v>25190</v>
      </c>
      <c r="C281" s="37" t="s">
        <v>37</v>
      </c>
      <c r="D281" s="26">
        <v>13</v>
      </c>
      <c r="E281" s="53" t="s">
        <v>1330</v>
      </c>
      <c r="G281" s="5"/>
      <c r="H281" s="5"/>
      <c r="I281" s="5"/>
      <c r="J281" s="5"/>
      <c r="K281" s="5"/>
      <c r="L281" s="5"/>
      <c r="M281" s="5"/>
      <c r="N281" s="15"/>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row>
    <row r="282" spans="1:84" ht="16" x14ac:dyDescent="0.2">
      <c r="A282" s="4">
        <v>45847</v>
      </c>
      <c r="B282" s="19">
        <v>25190</v>
      </c>
      <c r="C282" s="37" t="s">
        <v>37</v>
      </c>
      <c r="D282" s="28">
        <v>14</v>
      </c>
      <c r="E282" s="53" t="s">
        <v>1331</v>
      </c>
      <c r="F282" s="6">
        <v>-29</v>
      </c>
      <c r="G282" s="5" t="s">
        <v>2</v>
      </c>
      <c r="H282" s="5" t="s">
        <v>6</v>
      </c>
      <c r="I282" s="5">
        <v>0.25</v>
      </c>
      <c r="J282" s="5">
        <v>28.5</v>
      </c>
      <c r="K282" s="5" t="s">
        <v>8</v>
      </c>
      <c r="L282" s="5" t="s">
        <v>8</v>
      </c>
      <c r="M282" s="5" t="s">
        <v>9</v>
      </c>
      <c r="N282" s="15">
        <v>42.749852777800001</v>
      </c>
      <c r="O282" t="s">
        <v>667</v>
      </c>
      <c r="P282" s="6">
        <v>7.8303486000000005E-2</v>
      </c>
      <c r="Q282" s="6">
        <v>1.3005163E-2</v>
      </c>
      <c r="R282" s="6">
        <v>542</v>
      </c>
      <c r="S282" s="6">
        <v>1.500379E-3</v>
      </c>
      <c r="T282" s="6">
        <v>3.9999999979999998</v>
      </c>
      <c r="U282" s="6">
        <v>0.127520836</v>
      </c>
      <c r="V282" s="6">
        <v>1.1765757999999999E-2</v>
      </c>
      <c r="W282" s="6">
        <v>6.5365300000000002E-4</v>
      </c>
      <c r="X282" s="6">
        <v>5.0553900000000005E-4</v>
      </c>
      <c r="Y282" s="6">
        <v>0.11262161699999999</v>
      </c>
      <c r="Z282" s="6">
        <v>1.9041026999999999E-2</v>
      </c>
      <c r="AA282" s="6">
        <v>7.2689774999999998E-2</v>
      </c>
      <c r="AB282" s="6">
        <v>1.2310929E-2</v>
      </c>
      <c r="AC282" s="6">
        <v>4.4227220999999997E-2</v>
      </c>
      <c r="AD282" s="6">
        <v>6.7952639999999996E-3</v>
      </c>
      <c r="AE282" s="6">
        <v>7.8303486000000005E-2</v>
      </c>
      <c r="AF282" s="6">
        <v>1.3005163E-2</v>
      </c>
      <c r="AG282" s="6">
        <v>6.1991096280000004</v>
      </c>
      <c r="AH282" s="6">
        <v>0.39468977199999999</v>
      </c>
      <c r="AI282" s="6">
        <v>-11.644964933000001</v>
      </c>
      <c r="AJ282" s="6">
        <v>1.193202323</v>
      </c>
      <c r="AK282" s="6">
        <v>13.196879714</v>
      </c>
      <c r="AL282" s="6">
        <v>1.2065725810000001</v>
      </c>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row>
    <row r="283" spans="1:84" ht="16" x14ac:dyDescent="0.2">
      <c r="A283" s="4">
        <v>45847</v>
      </c>
      <c r="B283" s="19">
        <v>25190</v>
      </c>
      <c r="C283" s="37" t="s">
        <v>37</v>
      </c>
      <c r="D283" s="5">
        <v>15</v>
      </c>
      <c r="E283" s="53" t="s">
        <v>1332</v>
      </c>
      <c r="F283" s="6">
        <v>10.199999999999999</v>
      </c>
      <c r="G283" s="5" t="s">
        <v>2</v>
      </c>
      <c r="H283" s="5" t="s">
        <v>3</v>
      </c>
      <c r="I283" s="5">
        <v>0.7</v>
      </c>
      <c r="J283" s="5">
        <v>32.9</v>
      </c>
      <c r="K283" s="5">
        <v>8.4499999999999993</v>
      </c>
      <c r="L283" s="5">
        <v>4.8499999999999996</v>
      </c>
      <c r="M283" s="5" t="s">
        <v>4</v>
      </c>
      <c r="N283" s="15">
        <v>42.749852777800001</v>
      </c>
      <c r="O283" t="s">
        <v>1011</v>
      </c>
      <c r="P283" s="6">
        <v>9.8456520000000006E-2</v>
      </c>
      <c r="Q283" s="6">
        <v>1.8625699999999999E-2</v>
      </c>
      <c r="R283" s="6">
        <v>898</v>
      </c>
      <c r="S283" s="6">
        <v>1.8839009999999999E-3</v>
      </c>
      <c r="T283" s="6">
        <v>63.999999830999997</v>
      </c>
      <c r="U283" s="6">
        <v>9.6446748999999998E-2</v>
      </c>
      <c r="V283" s="6">
        <v>1.9533069E-2</v>
      </c>
      <c r="W283" s="6">
        <v>1.085171E-3</v>
      </c>
      <c r="X283" s="6">
        <v>6.6313899999999998E-4</v>
      </c>
      <c r="Y283" s="6">
        <v>0.15056309600000001</v>
      </c>
      <c r="Z283" s="6">
        <v>3.0236829E-2</v>
      </c>
      <c r="AA283" s="6">
        <v>8.6800888000000007E-2</v>
      </c>
      <c r="AB283" s="6">
        <v>1.5838874999999999E-2</v>
      </c>
      <c r="AC283" s="6">
        <v>5.5959705999999998E-2</v>
      </c>
      <c r="AD283" s="6">
        <v>1.0417305E-2</v>
      </c>
      <c r="AE283" s="6">
        <v>9.8456520000000006E-2</v>
      </c>
      <c r="AF283" s="6">
        <v>1.8625699999999999E-2</v>
      </c>
      <c r="AG283" s="6">
        <v>7.7096946119999998</v>
      </c>
      <c r="AH283" s="6">
        <v>0.65845878599999996</v>
      </c>
      <c r="AI283" s="6">
        <v>-11.645261111</v>
      </c>
      <c r="AJ283" s="6">
        <v>0.86590322200000003</v>
      </c>
      <c r="AK283" s="6">
        <v>13.972021451</v>
      </c>
      <c r="AL283" s="6">
        <v>1.0086059199999999</v>
      </c>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row>
    <row r="284" spans="1:84" ht="16" x14ac:dyDescent="0.2">
      <c r="A284" s="4">
        <v>45847</v>
      </c>
      <c r="B284" s="19">
        <v>25190</v>
      </c>
      <c r="C284" s="37" t="s">
        <v>37</v>
      </c>
      <c r="D284" s="25">
        <v>16</v>
      </c>
      <c r="E284" s="53" t="s">
        <v>1333</v>
      </c>
      <c r="F284" s="6">
        <v>-4.5999999999999996</v>
      </c>
      <c r="G284" s="5" t="s">
        <v>2</v>
      </c>
      <c r="H284" s="5" t="s">
        <v>3</v>
      </c>
      <c r="I284" s="5">
        <v>0.4</v>
      </c>
      <c r="J284" s="5">
        <v>29.7</v>
      </c>
      <c r="K284" s="5" t="s">
        <v>8</v>
      </c>
      <c r="L284" s="5" t="s">
        <v>8</v>
      </c>
      <c r="M284" s="5" t="s">
        <v>9</v>
      </c>
      <c r="N284" s="15">
        <v>42.749852777800001</v>
      </c>
      <c r="O284" t="s">
        <v>669</v>
      </c>
      <c r="P284" s="6">
        <v>9.1083318999999996E-2</v>
      </c>
      <c r="Q284" s="6">
        <v>1.0517462E-2</v>
      </c>
      <c r="R284" s="6">
        <v>698</v>
      </c>
      <c r="S284" s="6">
        <v>1.2478420000000001E-3</v>
      </c>
      <c r="T284" s="6">
        <v>5.6568542449999999</v>
      </c>
      <c r="U284" s="6">
        <v>0.12508918899999999</v>
      </c>
      <c r="V284" s="6">
        <v>9.9756199999999993E-3</v>
      </c>
      <c r="W284" s="6">
        <v>5.5420100000000004E-4</v>
      </c>
      <c r="X284" s="6">
        <v>4.3036600000000001E-4</v>
      </c>
      <c r="Y284" s="6">
        <v>0.12806567299999999</v>
      </c>
      <c r="Z284" s="6">
        <v>1.3550502000000001E-2</v>
      </c>
      <c r="AA284" s="6">
        <v>8.4846780999999996E-2</v>
      </c>
      <c r="AB284" s="6">
        <v>1.0444066E-2</v>
      </c>
      <c r="AC284" s="6">
        <v>5.5767826E-2</v>
      </c>
      <c r="AD284" s="6">
        <v>7.0800009999999998E-3</v>
      </c>
      <c r="AE284" s="6">
        <v>9.1083318999999996E-2</v>
      </c>
      <c r="AF284" s="6">
        <v>1.0517462E-2</v>
      </c>
      <c r="AG284" s="6">
        <v>5.8599701639999999</v>
      </c>
      <c r="AH284" s="6">
        <v>0.53036742100000001</v>
      </c>
      <c r="AI284" s="6">
        <v>-10.242737476</v>
      </c>
      <c r="AJ284" s="6">
        <v>0.45968918800000003</v>
      </c>
      <c r="AK284" s="6">
        <v>11.805972968000001</v>
      </c>
      <c r="AL284" s="6">
        <v>0.60360896500000005</v>
      </c>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row>
    <row r="285" spans="1:84" ht="16" x14ac:dyDescent="0.2">
      <c r="A285" s="4">
        <v>45847</v>
      </c>
      <c r="B285" s="19">
        <v>25190</v>
      </c>
      <c r="C285" s="37" t="s">
        <v>37</v>
      </c>
      <c r="D285" s="5">
        <v>17</v>
      </c>
      <c r="E285" s="53" t="s">
        <v>1334</v>
      </c>
      <c r="F285" s="6">
        <v>-23.4</v>
      </c>
      <c r="G285" s="5" t="s">
        <v>2</v>
      </c>
      <c r="H285" s="5" t="s">
        <v>6</v>
      </c>
      <c r="I285" s="5">
        <v>0.2</v>
      </c>
      <c r="J285" s="5">
        <v>27.5</v>
      </c>
      <c r="K285" s="5" t="s">
        <v>8</v>
      </c>
      <c r="L285" s="5" t="s">
        <v>8</v>
      </c>
      <c r="M285" s="5" t="s">
        <v>9</v>
      </c>
      <c r="N285" s="15">
        <v>42.749852777800001</v>
      </c>
      <c r="O285" t="s">
        <v>1012</v>
      </c>
      <c r="P285" s="6">
        <v>5.2369011E-2</v>
      </c>
      <c r="Q285" s="6">
        <v>1.0293119999999999E-2</v>
      </c>
      <c r="R285" s="6">
        <v>461</v>
      </c>
      <c r="S285" s="6">
        <v>1.111005E-3</v>
      </c>
      <c r="T285" s="6">
        <v>3.9999999979999998</v>
      </c>
      <c r="U285" s="6">
        <v>0.114404904</v>
      </c>
      <c r="V285" s="6">
        <v>9.7111650000000008E-3</v>
      </c>
      <c r="W285" s="6">
        <v>5.3950899999999997E-4</v>
      </c>
      <c r="X285" s="6">
        <v>4.1250400000000001E-4</v>
      </c>
      <c r="Y285" s="6">
        <v>8.4490522999999998E-2</v>
      </c>
      <c r="Z285" s="6">
        <v>1.6252125999999999E-2</v>
      </c>
      <c r="AA285" s="6">
        <v>4.4577916000000002E-2</v>
      </c>
      <c r="AB285" s="6">
        <v>8.9533660000000008E-3</v>
      </c>
      <c r="AC285" s="6">
        <v>2.8922393000000001E-2</v>
      </c>
      <c r="AD285" s="6">
        <v>5.8128329999999999E-3</v>
      </c>
      <c r="AE285" s="6">
        <v>5.2369011E-2</v>
      </c>
      <c r="AF285" s="6">
        <v>1.0293119999999999E-2</v>
      </c>
      <c r="AG285" s="6">
        <v>9.0817739629999998</v>
      </c>
      <c r="AH285" s="6">
        <v>0.24592141100000001</v>
      </c>
      <c r="AI285" s="6">
        <v>-12.316941259</v>
      </c>
      <c r="AJ285" s="6">
        <v>0.82191616499999998</v>
      </c>
      <c r="AK285" s="6">
        <v>15.311365748</v>
      </c>
      <c r="AL285" s="6">
        <v>0.69513619000000004</v>
      </c>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row>
    <row r="286" spans="1:84" ht="16" x14ac:dyDescent="0.2">
      <c r="A286" s="4">
        <v>45847</v>
      </c>
      <c r="B286" s="19">
        <v>25190</v>
      </c>
      <c r="C286" s="37" t="s">
        <v>37</v>
      </c>
      <c r="D286" s="5">
        <v>18</v>
      </c>
      <c r="E286" s="53" t="s">
        <v>1335</v>
      </c>
      <c r="F286" s="6">
        <v>2.2000000000000002</v>
      </c>
      <c r="G286" s="5" t="s">
        <v>2</v>
      </c>
      <c r="H286" s="5" t="s">
        <v>5</v>
      </c>
      <c r="I286" s="5">
        <v>1.45</v>
      </c>
      <c r="J286" s="5">
        <v>45.6</v>
      </c>
      <c r="K286" s="5">
        <v>10.3</v>
      </c>
      <c r="L286" s="5">
        <v>6</v>
      </c>
      <c r="M286" s="5" t="s">
        <v>4</v>
      </c>
      <c r="N286" s="15">
        <v>42.749852777800001</v>
      </c>
      <c r="O286" t="s">
        <v>1013</v>
      </c>
      <c r="P286" s="6">
        <v>7.1182604999999996E-2</v>
      </c>
      <c r="Q286" s="6">
        <v>7.5268219999999999E-3</v>
      </c>
      <c r="R286" s="6">
        <v>1505</v>
      </c>
      <c r="S286" s="6">
        <v>8.9289100000000004E-4</v>
      </c>
      <c r="T286" s="6">
        <v>3.9999999979999998</v>
      </c>
      <c r="U286" s="6">
        <v>0.112735615</v>
      </c>
      <c r="V286" s="6">
        <v>7.9202179999999997E-3</v>
      </c>
      <c r="W286" s="6">
        <v>4.4001199999999999E-4</v>
      </c>
      <c r="X286" s="6">
        <v>3.20432E-4</v>
      </c>
      <c r="Y286" s="6">
        <v>9.8441825999999996E-2</v>
      </c>
      <c r="Z286" s="6">
        <v>9.9449039999999992E-3</v>
      </c>
      <c r="AA286" s="6">
        <v>6.5881153999999997E-2</v>
      </c>
      <c r="AB286" s="6">
        <v>7.386409E-3</v>
      </c>
      <c r="AC286" s="6">
        <v>5.0824577000000003E-2</v>
      </c>
      <c r="AD286" s="6">
        <v>7.1717150000000004E-3</v>
      </c>
      <c r="AE286" s="6">
        <v>7.1182604999999996E-2</v>
      </c>
      <c r="AF286" s="6">
        <v>7.5268219999999999E-3</v>
      </c>
      <c r="AG286" s="6">
        <v>5.7001631369999997</v>
      </c>
      <c r="AH286" s="6">
        <v>0.90067811099999995</v>
      </c>
      <c r="AI286" s="6">
        <v>-7.6051513799999997</v>
      </c>
      <c r="AJ286" s="6">
        <v>1.20208754</v>
      </c>
      <c r="AK286" s="6">
        <v>9.5099539130000004</v>
      </c>
      <c r="AL286" s="6">
        <v>1.465307806</v>
      </c>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row>
    <row r="287" spans="1:84" ht="16" x14ac:dyDescent="0.2">
      <c r="A287" s="4">
        <v>45847</v>
      </c>
      <c r="B287" s="19">
        <v>25190</v>
      </c>
      <c r="C287" s="37" t="s">
        <v>37</v>
      </c>
      <c r="D287" s="5">
        <v>19</v>
      </c>
      <c r="E287" s="53" t="s">
        <v>1336</v>
      </c>
      <c r="F287" s="6">
        <v>16</v>
      </c>
      <c r="G287" s="5" t="s">
        <v>2</v>
      </c>
      <c r="H287" s="5" t="s">
        <v>5</v>
      </c>
      <c r="I287" s="5">
        <v>0.85</v>
      </c>
      <c r="J287" s="5">
        <v>36.6</v>
      </c>
      <c r="K287" s="5">
        <v>9.8000000000000007</v>
      </c>
      <c r="L287" s="5">
        <v>5.35</v>
      </c>
      <c r="M287" s="5" t="s">
        <v>4</v>
      </c>
      <c r="N287" s="15">
        <v>42.749852777800001</v>
      </c>
      <c r="O287" t="s">
        <v>1014</v>
      </c>
      <c r="P287" s="6">
        <v>8.4760521000000005E-2</v>
      </c>
      <c r="Q287" s="6">
        <v>8.842239E-3</v>
      </c>
      <c r="R287" s="6">
        <v>1106</v>
      </c>
      <c r="S287" s="6">
        <v>9.4215800000000001E-4</v>
      </c>
      <c r="T287" s="6">
        <v>5.6568542449999999</v>
      </c>
      <c r="U287" s="6">
        <v>0.10295082</v>
      </c>
      <c r="V287" s="6">
        <v>9.1515329999999999E-3</v>
      </c>
      <c r="W287" s="6">
        <v>5.0841799999999996E-4</v>
      </c>
      <c r="X287" s="6">
        <v>3.3895600000000001E-4</v>
      </c>
      <c r="Y287" s="6">
        <v>0.13374267200000001</v>
      </c>
      <c r="Z287" s="6">
        <v>1.3461285E-2</v>
      </c>
      <c r="AA287" s="6">
        <v>7.3434161999999997E-2</v>
      </c>
      <c r="AB287" s="6">
        <v>7.9389909999999994E-3</v>
      </c>
      <c r="AC287" s="6">
        <v>4.7225221999999997E-2</v>
      </c>
      <c r="AD287" s="6">
        <v>5.1988670000000002E-3</v>
      </c>
      <c r="AE287" s="6">
        <v>8.4760521000000005E-2</v>
      </c>
      <c r="AF287" s="6">
        <v>8.842239E-3</v>
      </c>
      <c r="AG287" s="6">
        <v>8.4918350549999992</v>
      </c>
      <c r="AH287" s="6">
        <v>0.37884542599999999</v>
      </c>
      <c r="AI287" s="6">
        <v>-12.115427303000001</v>
      </c>
      <c r="AJ287" s="6">
        <v>0.40558502000000002</v>
      </c>
      <c r="AK287" s="6">
        <v>14.796207867</v>
      </c>
      <c r="AL287" s="6">
        <v>0.52446898900000005</v>
      </c>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row>
    <row r="288" spans="1:84" ht="16" x14ac:dyDescent="0.2">
      <c r="A288" s="4">
        <v>45848</v>
      </c>
      <c r="B288" s="19">
        <v>25191</v>
      </c>
      <c r="C288" s="5" t="s">
        <v>38</v>
      </c>
      <c r="D288" s="5">
        <v>2</v>
      </c>
      <c r="E288" s="53" t="s">
        <v>1337</v>
      </c>
      <c r="F288" s="6">
        <v>-36.1</v>
      </c>
      <c r="G288" s="5" t="s">
        <v>2</v>
      </c>
      <c r="H288" s="5" t="s">
        <v>6</v>
      </c>
      <c r="I288" s="5">
        <v>0.35</v>
      </c>
      <c r="J288" s="5">
        <v>25.85</v>
      </c>
      <c r="K288" s="5" t="s">
        <v>8</v>
      </c>
      <c r="L288" s="5" t="s">
        <v>8</v>
      </c>
      <c r="M288" s="5" t="s">
        <v>9</v>
      </c>
      <c r="N288" s="15">
        <v>42.780894444399998</v>
      </c>
      <c r="O288" s="9" t="s">
        <v>1015</v>
      </c>
      <c r="P288" s="6">
        <v>5.7088739999999999E-2</v>
      </c>
      <c r="Q288" s="6">
        <v>1.4854877000000001E-2</v>
      </c>
      <c r="R288" s="6">
        <v>412</v>
      </c>
      <c r="S288" s="6">
        <v>1.4168099999999999E-3</v>
      </c>
      <c r="T288" s="6">
        <v>2</v>
      </c>
      <c r="U288" s="6">
        <v>0.139252137</v>
      </c>
      <c r="V288" s="6">
        <v>1.0174422000000001E-2</v>
      </c>
      <c r="W288" s="6">
        <v>5.6524600000000004E-4</v>
      </c>
      <c r="X288" s="6">
        <v>4.9920499999999996E-4</v>
      </c>
      <c r="Y288" s="6">
        <v>8.5938423E-2</v>
      </c>
      <c r="Z288" s="6">
        <v>2.2180997000000001E-2</v>
      </c>
      <c r="AA288" s="6">
        <v>5.0402669999999997E-2</v>
      </c>
      <c r="AB288" s="6">
        <v>1.3167441E-2</v>
      </c>
      <c r="AC288" s="6">
        <v>3.5656817E-2</v>
      </c>
      <c r="AD288" s="6">
        <v>9.5802730000000003E-3</v>
      </c>
      <c r="AE288" s="6">
        <v>5.7088739999999999E-2</v>
      </c>
      <c r="AF288" s="6">
        <v>1.4854877000000001E-2</v>
      </c>
      <c r="AG288" s="6">
        <v>7.5626756750000004</v>
      </c>
      <c r="AH288" s="6">
        <v>0.36717080499999999</v>
      </c>
      <c r="AI288" s="6">
        <v>-10.099168139</v>
      </c>
      <c r="AJ288" s="6">
        <v>0.896227255</v>
      </c>
      <c r="AK288" s="6">
        <v>12.624683401</v>
      </c>
      <c r="AL288" s="6">
        <v>0.86150500299999999</v>
      </c>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row>
    <row r="289" spans="1:84" ht="16" x14ac:dyDescent="0.2">
      <c r="A289" s="4">
        <v>45848</v>
      </c>
      <c r="B289" s="19">
        <v>25191</v>
      </c>
      <c r="C289" s="5" t="s">
        <v>38</v>
      </c>
      <c r="D289" s="5">
        <v>3</v>
      </c>
      <c r="E289" s="53" t="s">
        <v>1338</v>
      </c>
      <c r="F289" s="6">
        <v>6.7</v>
      </c>
      <c r="G289" s="5" t="s">
        <v>2</v>
      </c>
      <c r="H289" s="5" t="s">
        <v>3</v>
      </c>
      <c r="I289" s="5">
        <v>0.85</v>
      </c>
      <c r="J289" s="5">
        <v>33.6</v>
      </c>
      <c r="K289" s="5">
        <v>8.5</v>
      </c>
      <c r="L289" s="5">
        <v>5</v>
      </c>
      <c r="M289" s="5" t="s">
        <v>4</v>
      </c>
      <c r="N289" s="15">
        <v>42.780894444399998</v>
      </c>
      <c r="O289" t="s">
        <v>1016</v>
      </c>
      <c r="P289" s="6">
        <v>9.1568881000000005E-2</v>
      </c>
      <c r="Q289" s="6">
        <v>1.0694403999999999E-2</v>
      </c>
      <c r="R289" s="6">
        <v>808</v>
      </c>
      <c r="S289" s="6">
        <v>1.106384E-3</v>
      </c>
      <c r="T289" s="6">
        <v>5.6568542449999999</v>
      </c>
      <c r="U289" s="6">
        <v>0.109993774</v>
      </c>
      <c r="V289" s="6">
        <v>1.0058602999999999E-2</v>
      </c>
      <c r="W289" s="6">
        <v>5.5881099999999999E-4</v>
      </c>
      <c r="X289" s="6">
        <v>4.2206200000000001E-4</v>
      </c>
      <c r="Y289" s="6">
        <v>0.14232794300000001</v>
      </c>
      <c r="Z289" s="6">
        <v>1.6569003999999998E-2</v>
      </c>
      <c r="AA289" s="6">
        <v>7.8834034999999997E-2</v>
      </c>
      <c r="AB289" s="6">
        <v>9.3361950000000003E-3</v>
      </c>
      <c r="AC289" s="6">
        <v>5.5380209999999999E-2</v>
      </c>
      <c r="AD289" s="6">
        <v>6.3654920000000004E-3</v>
      </c>
      <c r="AE289" s="6">
        <v>9.1568881000000005E-2</v>
      </c>
      <c r="AF289" s="6">
        <v>1.0694403999999999E-2</v>
      </c>
      <c r="AG289" s="6">
        <v>8.3600115160000001</v>
      </c>
      <c r="AH289" s="6">
        <v>0.16935766199999999</v>
      </c>
      <c r="AI289" s="6">
        <v>-10.584966775</v>
      </c>
      <c r="AJ289" s="6">
        <v>0.60882646799999995</v>
      </c>
      <c r="AK289" s="6">
        <v>13.492462492</v>
      </c>
      <c r="AL289" s="6">
        <v>0.53289704599999999</v>
      </c>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row>
    <row r="290" spans="1:84" ht="16" x14ac:dyDescent="0.2">
      <c r="A290" s="4">
        <v>45848</v>
      </c>
      <c r="B290" s="19">
        <v>25191</v>
      </c>
      <c r="C290" s="5" t="s">
        <v>38</v>
      </c>
      <c r="D290" s="5">
        <v>4</v>
      </c>
      <c r="E290" s="53" t="s">
        <v>1339</v>
      </c>
      <c r="F290" s="6">
        <v>48.3</v>
      </c>
      <c r="G290" s="5" t="s">
        <v>2</v>
      </c>
      <c r="H290" s="5" t="s">
        <v>6</v>
      </c>
      <c r="I290" s="5">
        <v>0.25</v>
      </c>
      <c r="J290" s="5">
        <v>23.9</v>
      </c>
      <c r="K290" s="5" t="s">
        <v>8</v>
      </c>
      <c r="L290" s="5" t="s">
        <v>8</v>
      </c>
      <c r="M290" s="5" t="s">
        <v>9</v>
      </c>
      <c r="N290" s="15">
        <v>42.780894444399998</v>
      </c>
      <c r="O290" t="s">
        <v>1017</v>
      </c>
      <c r="P290" s="6">
        <v>5.4185478000000002E-2</v>
      </c>
      <c r="Q290" s="6">
        <v>1.8323681000000001E-2</v>
      </c>
      <c r="R290" s="6">
        <v>373</v>
      </c>
      <c r="S290" s="6">
        <v>1.721368E-3</v>
      </c>
      <c r="T290" s="6">
        <v>45.254833888</v>
      </c>
      <c r="U290" s="6">
        <v>0.10051030499999999</v>
      </c>
      <c r="V290" s="6">
        <v>1.7126283999999999E-2</v>
      </c>
      <c r="W290" s="6">
        <v>9.5146E-4</v>
      </c>
      <c r="X290" s="6">
        <v>7.08966E-4</v>
      </c>
      <c r="Y290" s="6">
        <v>8.0739490999999997E-2</v>
      </c>
      <c r="Z290" s="6">
        <v>2.7978835000000001E-2</v>
      </c>
      <c r="AA290" s="6">
        <v>4.8570703999999999E-2</v>
      </c>
      <c r="AB290" s="6">
        <v>1.6291857E-2</v>
      </c>
      <c r="AC290" s="6">
        <v>3.2338401000000003E-2</v>
      </c>
      <c r="AD290" s="6">
        <v>1.0263827999999999E-2</v>
      </c>
      <c r="AE290" s="6">
        <v>5.4185478000000002E-2</v>
      </c>
      <c r="AF290" s="6">
        <v>1.8323681000000001E-2</v>
      </c>
      <c r="AG290" s="6">
        <v>7.1490613400000003</v>
      </c>
      <c r="AH290" s="6">
        <v>0.44745711999999999</v>
      </c>
      <c r="AI290" s="6">
        <v>-10.640072742999999</v>
      </c>
      <c r="AJ290" s="6">
        <v>0.63117985700000001</v>
      </c>
      <c r="AK290" s="6">
        <v>12.820662082</v>
      </c>
      <c r="AL290" s="6">
        <v>0.74116313899999997</v>
      </c>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row>
    <row r="291" spans="1:84" ht="16" x14ac:dyDescent="0.2">
      <c r="A291" s="4">
        <v>45848</v>
      </c>
      <c r="B291" s="19">
        <v>25191</v>
      </c>
      <c r="C291" s="5" t="s">
        <v>38</v>
      </c>
      <c r="D291" s="5">
        <v>5</v>
      </c>
      <c r="E291" s="53" t="s">
        <v>1340</v>
      </c>
      <c r="F291" s="6">
        <v>-1.6</v>
      </c>
      <c r="G291" s="5" t="s">
        <v>2</v>
      </c>
      <c r="H291" s="5" t="s">
        <v>5</v>
      </c>
      <c r="I291" s="5">
        <v>1</v>
      </c>
      <c r="J291" s="5">
        <v>36.65</v>
      </c>
      <c r="K291" s="5">
        <v>9</v>
      </c>
      <c r="L291" s="5">
        <v>5.0999999999999996</v>
      </c>
      <c r="M291" s="5" t="s">
        <v>4</v>
      </c>
      <c r="N291" s="15">
        <v>42.780894444399998</v>
      </c>
      <c r="O291" t="s">
        <v>1018</v>
      </c>
      <c r="P291" s="6">
        <v>9.9963033000000007E-2</v>
      </c>
      <c r="Q291" s="6">
        <v>9.1941569999999997E-3</v>
      </c>
      <c r="R291" s="6">
        <v>1091</v>
      </c>
      <c r="S291" s="6">
        <v>1.0176499999999999E-3</v>
      </c>
      <c r="T291" s="6">
        <v>3.9999999979999998</v>
      </c>
      <c r="U291" s="6">
        <v>0.117068903</v>
      </c>
      <c r="V291" s="6">
        <v>8.6927459999999995E-3</v>
      </c>
      <c r="W291" s="6">
        <v>4.8293000000000001E-4</v>
      </c>
      <c r="X291" s="6">
        <v>3.5252599999999998E-4</v>
      </c>
      <c r="Y291" s="6">
        <v>0.14658162499999999</v>
      </c>
      <c r="Z291" s="6">
        <v>1.3519954000000001E-2</v>
      </c>
      <c r="AA291" s="6">
        <v>8.9118395000000003E-2</v>
      </c>
      <c r="AB291" s="6">
        <v>8.1987669999999992E-3</v>
      </c>
      <c r="AC291" s="6">
        <v>6.4881639000000005E-2</v>
      </c>
      <c r="AD291" s="6">
        <v>7.2875819999999999E-3</v>
      </c>
      <c r="AE291" s="6">
        <v>9.9963033000000007E-2</v>
      </c>
      <c r="AF291" s="6">
        <v>9.1941569999999997E-3</v>
      </c>
      <c r="AG291" s="6">
        <v>7.0403461910000003</v>
      </c>
      <c r="AH291" s="6">
        <v>0.50668273799999997</v>
      </c>
      <c r="AI291" s="6">
        <v>-9.2898055149999994</v>
      </c>
      <c r="AJ291" s="6">
        <v>0.80333490600000002</v>
      </c>
      <c r="AK291" s="6">
        <v>11.659916162</v>
      </c>
      <c r="AL291" s="6">
        <v>0.90294572399999995</v>
      </c>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row>
    <row r="292" spans="1:84" ht="16" x14ac:dyDescent="0.2">
      <c r="A292" s="4">
        <v>45848</v>
      </c>
      <c r="B292" s="19">
        <v>25191</v>
      </c>
      <c r="C292" s="5" t="s">
        <v>38</v>
      </c>
      <c r="D292" s="5">
        <v>6</v>
      </c>
      <c r="E292" s="53" t="s">
        <v>1341</v>
      </c>
      <c r="F292" s="6">
        <v>27.4</v>
      </c>
      <c r="G292" s="5" t="s">
        <v>2</v>
      </c>
      <c r="H292" s="5" t="s">
        <v>3</v>
      </c>
      <c r="I292" s="5">
        <v>0.45</v>
      </c>
      <c r="J292" s="5">
        <v>28.9</v>
      </c>
      <c r="K292" s="5">
        <v>7.2</v>
      </c>
      <c r="L292" s="5">
        <v>4</v>
      </c>
      <c r="M292" s="5" t="s">
        <v>9</v>
      </c>
      <c r="N292" s="15">
        <v>42.780894444399998</v>
      </c>
      <c r="O292" s="9" t="s">
        <v>1019</v>
      </c>
      <c r="P292" s="6">
        <v>7.2912785999999993E-2</v>
      </c>
      <c r="Q292" s="6">
        <v>2.7429734000000001E-2</v>
      </c>
      <c r="R292" s="6">
        <v>418</v>
      </c>
      <c r="S292" s="6">
        <v>2.853422E-3</v>
      </c>
      <c r="T292" s="6">
        <v>3.9999999979999998</v>
      </c>
      <c r="U292" s="6">
        <v>0.13359648399999999</v>
      </c>
      <c r="V292" s="6">
        <v>2.1358512E-2</v>
      </c>
      <c r="W292" s="6">
        <v>1.1865840000000001E-3</v>
      </c>
      <c r="X292" s="6">
        <v>1.081856E-3</v>
      </c>
      <c r="Y292" s="6">
        <v>0.101061479</v>
      </c>
      <c r="Z292" s="6">
        <v>3.8860950999999998E-2</v>
      </c>
      <c r="AA292" s="6">
        <v>6.9087998999999997E-2</v>
      </c>
      <c r="AB292" s="6">
        <v>2.5916363000000001E-2</v>
      </c>
      <c r="AC292" s="6">
        <v>4.2758897999999997E-2</v>
      </c>
      <c r="AD292" s="6">
        <v>1.5328603E-2</v>
      </c>
      <c r="AE292" s="6">
        <v>7.2912785999999993E-2</v>
      </c>
      <c r="AF292" s="6">
        <v>2.7429734000000001E-2</v>
      </c>
      <c r="AG292" s="6">
        <v>5.3072674549999999</v>
      </c>
      <c r="AH292" s="6">
        <v>0.55090184900000005</v>
      </c>
      <c r="AI292" s="6">
        <v>-10.753963691999999</v>
      </c>
      <c r="AJ292" s="6">
        <v>1.088470238</v>
      </c>
      <c r="AK292" s="6">
        <v>11.993941830000001</v>
      </c>
      <c r="AL292" s="6">
        <v>1.203472656</v>
      </c>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row>
    <row r="293" spans="1:84" ht="16" x14ac:dyDescent="0.2">
      <c r="A293" s="4">
        <v>45848</v>
      </c>
      <c r="B293" s="19">
        <v>25191</v>
      </c>
      <c r="C293" s="5" t="s">
        <v>38</v>
      </c>
      <c r="D293" s="5">
        <v>7</v>
      </c>
      <c r="E293" s="53" t="s">
        <v>1342</v>
      </c>
      <c r="F293" s="6">
        <v>0.7</v>
      </c>
      <c r="G293" s="5" t="s">
        <v>2</v>
      </c>
      <c r="H293" s="5" t="s">
        <v>3</v>
      </c>
      <c r="I293" s="5">
        <v>0.25</v>
      </c>
      <c r="J293" s="5">
        <v>28.2</v>
      </c>
      <c r="K293" s="5">
        <v>7.4</v>
      </c>
      <c r="L293" s="5">
        <v>4.2</v>
      </c>
      <c r="M293" s="5" t="s">
        <v>9</v>
      </c>
      <c r="N293" s="15">
        <v>42.780894444399998</v>
      </c>
      <c r="O293" t="s">
        <v>1020</v>
      </c>
      <c r="P293" s="6">
        <v>6.2259228E-2</v>
      </c>
      <c r="Q293" s="6">
        <v>8.7717230000000004E-3</v>
      </c>
      <c r="R293" s="6">
        <v>559</v>
      </c>
      <c r="S293" s="6">
        <v>9.9485400000000009E-4</v>
      </c>
      <c r="T293" s="6">
        <v>3.9999999979999998</v>
      </c>
      <c r="U293" s="6">
        <v>0.113054353</v>
      </c>
      <c r="V293" s="6">
        <v>8.7997820000000008E-3</v>
      </c>
      <c r="W293" s="6">
        <v>4.8887699999999997E-4</v>
      </c>
      <c r="X293" s="6">
        <v>3.97823E-4</v>
      </c>
      <c r="Y293" s="6">
        <v>9.7344564999999994E-2</v>
      </c>
      <c r="Z293" s="6">
        <v>1.4175605000000001E-2</v>
      </c>
      <c r="AA293" s="6">
        <v>5.434841E-2</v>
      </c>
      <c r="AB293" s="6">
        <v>7.6165299999999998E-3</v>
      </c>
      <c r="AC293" s="6">
        <v>3.5220772999999997E-2</v>
      </c>
      <c r="AD293" s="6">
        <v>4.771567E-3</v>
      </c>
      <c r="AE293" s="6">
        <v>6.2259228E-2</v>
      </c>
      <c r="AF293" s="6">
        <v>8.7717230000000004E-3</v>
      </c>
      <c r="AG293" s="6">
        <v>8.2304608960000003</v>
      </c>
      <c r="AH293" s="6">
        <v>0.46150511100000002</v>
      </c>
      <c r="AI293" s="6">
        <v>-11.822534402</v>
      </c>
      <c r="AJ293" s="6">
        <v>0.57600569499999998</v>
      </c>
      <c r="AK293" s="6">
        <v>14.406813198</v>
      </c>
      <c r="AL293" s="6">
        <v>0.707976889</v>
      </c>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row>
    <row r="294" spans="1:84" ht="16" x14ac:dyDescent="0.2">
      <c r="A294" s="4">
        <v>45848</v>
      </c>
      <c r="B294" s="19">
        <v>25191</v>
      </c>
      <c r="C294" s="5" t="s">
        <v>38</v>
      </c>
      <c r="D294" s="5">
        <v>8</v>
      </c>
      <c r="E294" s="53" t="s">
        <v>1343</v>
      </c>
      <c r="F294" s="6">
        <v>4.0999999999999996</v>
      </c>
      <c r="G294" s="5" t="s">
        <v>2</v>
      </c>
      <c r="H294" s="5" t="s">
        <v>5</v>
      </c>
      <c r="I294" s="5">
        <v>0.7</v>
      </c>
      <c r="J294" s="5">
        <v>35.85</v>
      </c>
      <c r="K294" s="5">
        <v>9.35</v>
      </c>
      <c r="L294" s="5">
        <v>5.5</v>
      </c>
      <c r="M294" s="5" t="s">
        <v>4</v>
      </c>
      <c r="N294" s="15">
        <v>42.780894444399998</v>
      </c>
      <c r="O294" t="s">
        <v>1021</v>
      </c>
      <c r="P294" s="6">
        <v>4.7739592999999997E-2</v>
      </c>
      <c r="Q294" s="6">
        <v>7.7246820000000001E-3</v>
      </c>
      <c r="R294" s="6">
        <v>885</v>
      </c>
      <c r="S294" s="6">
        <v>9.04856E-4</v>
      </c>
      <c r="T294" s="6">
        <v>5.6568542449999999</v>
      </c>
      <c r="U294" s="6">
        <v>0.114089695</v>
      </c>
      <c r="V294" s="6">
        <v>7.9310960000000003E-3</v>
      </c>
      <c r="W294" s="6">
        <v>4.4061600000000001E-4</v>
      </c>
      <c r="X294" s="6">
        <v>2.9414799999999999E-4</v>
      </c>
      <c r="Y294" s="6">
        <v>6.8780006000000005E-2</v>
      </c>
      <c r="Z294" s="6">
        <v>1.3497277E-2</v>
      </c>
      <c r="AA294" s="6">
        <v>4.3212089000000002E-2</v>
      </c>
      <c r="AB294" s="6">
        <v>6.624085E-3</v>
      </c>
      <c r="AC294" s="6">
        <v>3.4592862000000002E-2</v>
      </c>
      <c r="AD294" s="6">
        <v>4.3292979999999997E-3</v>
      </c>
      <c r="AE294" s="6">
        <v>4.7739592999999997E-2</v>
      </c>
      <c r="AF294" s="6">
        <v>7.7246820000000001E-3</v>
      </c>
      <c r="AG294" s="6">
        <v>6.4544727059999998</v>
      </c>
      <c r="AH294" s="6">
        <v>1.0931810319999999</v>
      </c>
      <c r="AI294" s="6">
        <v>-7.2850886450000001</v>
      </c>
      <c r="AJ294" s="6">
        <v>1.7407750630000001</v>
      </c>
      <c r="AK294" s="6">
        <v>9.7482504159999994</v>
      </c>
      <c r="AL294" s="6">
        <v>1.9822603670000001</v>
      </c>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row>
    <row r="295" spans="1:84" ht="16" x14ac:dyDescent="0.2">
      <c r="A295" s="4">
        <v>45848</v>
      </c>
      <c r="B295" s="19">
        <v>25191</v>
      </c>
      <c r="C295" s="5" t="s">
        <v>38</v>
      </c>
      <c r="D295" s="5">
        <v>9</v>
      </c>
      <c r="E295" s="53" t="s">
        <v>1344</v>
      </c>
      <c r="F295" s="6">
        <v>27.7</v>
      </c>
      <c r="G295" s="5" t="s">
        <v>2</v>
      </c>
      <c r="H295" s="5" t="s">
        <v>3</v>
      </c>
      <c r="I295" s="5">
        <v>0.85</v>
      </c>
      <c r="J295" s="5">
        <v>38.700000000000003</v>
      </c>
      <c r="K295" s="5">
        <v>9.4</v>
      </c>
      <c r="L295" s="5">
        <v>5.4</v>
      </c>
      <c r="M295" s="5" t="s">
        <v>4</v>
      </c>
      <c r="N295" s="15">
        <v>42.780894444399998</v>
      </c>
      <c r="O295" s="6" t="s">
        <v>1022</v>
      </c>
      <c r="P295" s="6">
        <v>0.10687553700000001</v>
      </c>
      <c r="Q295" s="6">
        <v>1.373011E-2</v>
      </c>
      <c r="R295" s="6">
        <v>1060</v>
      </c>
      <c r="S295" s="6">
        <v>1.655498E-3</v>
      </c>
      <c r="T295" s="6">
        <v>3.9999999979999998</v>
      </c>
      <c r="U295" s="6">
        <v>0.13200606100000001</v>
      </c>
      <c r="V295" s="6">
        <v>1.2541073E-2</v>
      </c>
      <c r="W295" s="6">
        <v>6.9672600000000005E-4</v>
      </c>
      <c r="X295" s="6">
        <v>5.8924900000000002E-4</v>
      </c>
      <c r="Y295" s="6">
        <v>0.16363696699999999</v>
      </c>
      <c r="Z295" s="6">
        <v>2.2829980999999999E-2</v>
      </c>
      <c r="AA295" s="6">
        <v>9.4217388999999999E-2</v>
      </c>
      <c r="AB295" s="6">
        <v>1.1655729E-2</v>
      </c>
      <c r="AC295" s="6">
        <v>6.0230326000000001E-2</v>
      </c>
      <c r="AD295" s="6">
        <v>6.76985E-3</v>
      </c>
      <c r="AE295" s="6">
        <v>0.10687553700000001</v>
      </c>
      <c r="AF295" s="6">
        <v>1.373011E-2</v>
      </c>
      <c r="AG295" s="6">
        <v>7.7632938149999999</v>
      </c>
      <c r="AH295" s="6">
        <v>0.468489557</v>
      </c>
      <c r="AI295" s="6">
        <v>-11.753336020000001</v>
      </c>
      <c r="AJ295" s="6">
        <v>0.76910225399999999</v>
      </c>
      <c r="AK295" s="6">
        <v>14.087090869000001</v>
      </c>
      <c r="AL295" s="6">
        <v>0.88004257299999999</v>
      </c>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row>
    <row r="296" spans="1:84" ht="16" x14ac:dyDescent="0.2">
      <c r="A296" s="4">
        <v>45848</v>
      </c>
      <c r="B296" s="19">
        <v>25191</v>
      </c>
      <c r="C296" s="5" t="s">
        <v>38</v>
      </c>
      <c r="D296" s="5">
        <v>10</v>
      </c>
      <c r="E296" s="53" t="s">
        <v>1345</v>
      </c>
      <c r="F296" s="6">
        <v>-3.5</v>
      </c>
      <c r="G296" s="5" t="s">
        <v>2</v>
      </c>
      <c r="H296" s="5" t="s">
        <v>3</v>
      </c>
      <c r="I296" s="5">
        <v>1.3</v>
      </c>
      <c r="J296" s="5">
        <v>37.950000000000003</v>
      </c>
      <c r="K296" s="5">
        <v>9.5</v>
      </c>
      <c r="L296" s="5">
        <v>5.9</v>
      </c>
      <c r="M296" s="5" t="s">
        <v>4</v>
      </c>
      <c r="N296" s="15">
        <v>42.780894444399998</v>
      </c>
      <c r="O296" s="6" t="s">
        <v>1023</v>
      </c>
      <c r="P296" s="6">
        <v>8.6481085999999999E-2</v>
      </c>
      <c r="Q296" s="6">
        <v>1.1123228000000001E-2</v>
      </c>
      <c r="R296" s="6">
        <v>1359</v>
      </c>
      <c r="S296" s="6">
        <v>1.4260169999999999E-3</v>
      </c>
      <c r="T296" s="6">
        <v>7.9999999920000002</v>
      </c>
      <c r="U296" s="6">
        <v>0.115911582</v>
      </c>
      <c r="V296" s="6">
        <v>1.2302631E-2</v>
      </c>
      <c r="W296" s="6">
        <v>6.8347999999999998E-4</v>
      </c>
      <c r="X296" s="6">
        <v>4.7712200000000002E-4</v>
      </c>
      <c r="Y296" s="6">
        <v>0.128097291</v>
      </c>
      <c r="Z296" s="6">
        <v>1.7577743999999999E-2</v>
      </c>
      <c r="AA296" s="6">
        <v>7.7290632999999997E-2</v>
      </c>
      <c r="AB296" s="6">
        <v>9.8116880000000007E-3</v>
      </c>
      <c r="AC296" s="6">
        <v>5.4438670000000002E-2</v>
      </c>
      <c r="AD296" s="6">
        <v>6.7734199999999996E-3</v>
      </c>
      <c r="AE296" s="6">
        <v>8.6481085999999999E-2</v>
      </c>
      <c r="AF296" s="6">
        <v>1.1123228000000001E-2</v>
      </c>
      <c r="AG296" s="6">
        <v>7.1224221139999999</v>
      </c>
      <c r="AH296" s="6">
        <v>0.66285377499999998</v>
      </c>
      <c r="AI296" s="6">
        <v>-9.8377829010000006</v>
      </c>
      <c r="AJ296" s="6">
        <v>0.77839292000000004</v>
      </c>
      <c r="AK296" s="6">
        <v>12.15339017</v>
      </c>
      <c r="AL296" s="6">
        <v>0.92255314899999996</v>
      </c>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row>
    <row r="297" spans="1:84" ht="16" x14ac:dyDescent="0.2">
      <c r="A297" s="4">
        <v>45848</v>
      </c>
      <c r="B297" s="19">
        <v>25191</v>
      </c>
      <c r="C297" s="5" t="s">
        <v>38</v>
      </c>
      <c r="D297" s="5">
        <v>11</v>
      </c>
      <c r="E297" s="53" t="s">
        <v>1346</v>
      </c>
      <c r="F297" s="6">
        <v>-28.9</v>
      </c>
      <c r="G297" s="5" t="s">
        <v>2</v>
      </c>
      <c r="H297" s="5" t="s">
        <v>6</v>
      </c>
      <c r="I297" s="5">
        <v>0.15</v>
      </c>
      <c r="J297" s="5">
        <v>20.75</v>
      </c>
      <c r="K297" s="5" t="s">
        <v>8</v>
      </c>
      <c r="L297" s="5" t="s">
        <v>8</v>
      </c>
      <c r="M297" s="5" t="s">
        <v>9</v>
      </c>
      <c r="N297" s="15">
        <v>42.780894444399998</v>
      </c>
      <c r="O297" t="s">
        <v>1024</v>
      </c>
      <c r="P297" s="6">
        <v>2.9664961E-2</v>
      </c>
      <c r="Q297" s="6">
        <v>1.2283102000000001E-2</v>
      </c>
      <c r="R297" s="6">
        <v>230</v>
      </c>
      <c r="S297" s="6">
        <v>1.4232590000000001E-3</v>
      </c>
      <c r="T297" s="6">
        <v>2.8284271240000001</v>
      </c>
      <c r="U297" s="6">
        <v>0.13356573699999999</v>
      </c>
      <c r="V297" s="6">
        <v>1.0655865E-2</v>
      </c>
      <c r="W297" s="6">
        <v>5.9199299999999997E-4</v>
      </c>
      <c r="X297" s="6">
        <v>4.9417799999999996E-4</v>
      </c>
      <c r="Y297" s="6">
        <v>4.4812987999999998E-2</v>
      </c>
      <c r="Z297" s="6">
        <v>1.8804972E-2</v>
      </c>
      <c r="AA297" s="6">
        <v>2.6867002000000001E-2</v>
      </c>
      <c r="AB297" s="6">
        <v>1.1084637E-2</v>
      </c>
      <c r="AC297" s="6">
        <v>1.5050918999999999E-2</v>
      </c>
      <c r="AD297" s="6">
        <v>5.9898130000000001E-3</v>
      </c>
      <c r="AE297" s="6">
        <v>2.9664961E-2</v>
      </c>
      <c r="AF297" s="6">
        <v>1.2283102000000001E-2</v>
      </c>
      <c r="AG297" s="6">
        <v>7.1774090389999996</v>
      </c>
      <c r="AH297" s="6">
        <v>0.20803438899999999</v>
      </c>
      <c r="AI297" s="6">
        <v>-13.417959429</v>
      </c>
      <c r="AJ297" s="6">
        <v>0.81334967499999999</v>
      </c>
      <c r="AK297" s="6">
        <v>15.219797964</v>
      </c>
      <c r="AL297" s="6">
        <v>0.78678376999999999</v>
      </c>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row>
    <row r="298" spans="1:84" ht="16" x14ac:dyDescent="0.2">
      <c r="A298" s="4">
        <v>45848</v>
      </c>
      <c r="B298" s="19">
        <v>25191</v>
      </c>
      <c r="C298" s="5" t="s">
        <v>38</v>
      </c>
      <c r="D298" s="5">
        <v>12</v>
      </c>
      <c r="E298" s="53" t="s">
        <v>1347</v>
      </c>
      <c r="F298" s="6">
        <v>32.6</v>
      </c>
      <c r="G298" s="5" t="s">
        <v>2</v>
      </c>
      <c r="H298" s="5" t="s">
        <v>3</v>
      </c>
      <c r="I298" s="5">
        <v>0.5</v>
      </c>
      <c r="J298" s="5">
        <v>32.75</v>
      </c>
      <c r="K298" s="5">
        <v>8.15</v>
      </c>
      <c r="L298" s="5">
        <v>4.6500000000000004</v>
      </c>
      <c r="M298" s="5" t="s">
        <v>4</v>
      </c>
      <c r="N298" s="15">
        <v>42.780894444399998</v>
      </c>
      <c r="O298" t="s">
        <v>1025</v>
      </c>
      <c r="P298" s="6">
        <v>8.6320758999999997E-2</v>
      </c>
      <c r="Q298" s="6">
        <v>1.1476274999999999E-2</v>
      </c>
      <c r="R298" s="6">
        <v>793</v>
      </c>
      <c r="S298" s="6">
        <v>1.289653E-3</v>
      </c>
      <c r="T298" s="6">
        <v>5.6568542449999999</v>
      </c>
      <c r="U298" s="6">
        <v>0.118952738</v>
      </c>
      <c r="V298" s="6">
        <v>1.0841722999999999E-2</v>
      </c>
      <c r="W298" s="6">
        <v>6.0231800000000002E-4</v>
      </c>
      <c r="X298" s="6">
        <v>4.6722000000000002E-4</v>
      </c>
      <c r="Y298" s="6">
        <v>0.143328072</v>
      </c>
      <c r="Z298" s="6">
        <v>1.9639561E-2</v>
      </c>
      <c r="AA298" s="6">
        <v>7.0958506000000005E-2</v>
      </c>
      <c r="AB298" s="6">
        <v>9.1804829999999997E-3</v>
      </c>
      <c r="AC298" s="6">
        <v>4.8438231999999998E-2</v>
      </c>
      <c r="AD298" s="6">
        <v>6.995261E-3</v>
      </c>
      <c r="AE298" s="6">
        <v>8.6320758999999997E-2</v>
      </c>
      <c r="AF298" s="6">
        <v>1.1476274999999999E-2</v>
      </c>
      <c r="AG298" s="6">
        <v>9.9289006359999998</v>
      </c>
      <c r="AH298" s="6">
        <v>0.40804748200000002</v>
      </c>
      <c r="AI298" s="6">
        <v>-12.011368785</v>
      </c>
      <c r="AJ298" s="6">
        <v>0.78355439999999998</v>
      </c>
      <c r="AK298" s="6">
        <v>15.588729425</v>
      </c>
      <c r="AL298" s="6">
        <v>0.792357702</v>
      </c>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row>
    <row r="299" spans="1:84" ht="16" x14ac:dyDescent="0.2">
      <c r="A299" s="4">
        <v>45848</v>
      </c>
      <c r="B299" s="19">
        <v>25191</v>
      </c>
      <c r="C299" s="5" t="s">
        <v>38</v>
      </c>
      <c r="D299" s="5">
        <v>13</v>
      </c>
      <c r="E299" s="53" t="s">
        <v>1348</v>
      </c>
      <c r="F299" s="6">
        <v>23.4</v>
      </c>
      <c r="G299" s="5" t="s">
        <v>2</v>
      </c>
      <c r="H299" s="5" t="s">
        <v>3</v>
      </c>
      <c r="I299" s="5">
        <v>0.45</v>
      </c>
      <c r="J299" s="5">
        <v>30.5</v>
      </c>
      <c r="K299" s="5">
        <v>8.15</v>
      </c>
      <c r="L299" s="5">
        <v>4.6500000000000004</v>
      </c>
      <c r="M299" s="5" t="s">
        <v>9</v>
      </c>
      <c r="N299" s="15">
        <v>42.780894444399998</v>
      </c>
      <c r="O299" t="s">
        <v>1026</v>
      </c>
      <c r="P299" s="6">
        <v>8.9918596000000003E-2</v>
      </c>
      <c r="Q299" s="6">
        <v>1.0884420000000001E-2</v>
      </c>
      <c r="R299" s="6">
        <v>733</v>
      </c>
      <c r="S299" s="6">
        <v>1.2825530000000001E-3</v>
      </c>
      <c r="T299" s="6">
        <v>45.254833888</v>
      </c>
      <c r="U299" s="6">
        <v>0.106514212</v>
      </c>
      <c r="V299" s="6">
        <v>1.2041146000000001E-2</v>
      </c>
      <c r="W299" s="6">
        <v>6.6895300000000002E-4</v>
      </c>
      <c r="X299" s="6">
        <v>4.3876100000000002E-4</v>
      </c>
      <c r="Y299" s="6">
        <v>0.130353726</v>
      </c>
      <c r="Z299" s="6">
        <v>1.4514182E-2</v>
      </c>
      <c r="AA299" s="6">
        <v>8.1194634000000002E-2</v>
      </c>
      <c r="AB299" s="6">
        <v>1.022061E-2</v>
      </c>
      <c r="AC299" s="6">
        <v>5.723408E-2</v>
      </c>
      <c r="AD299" s="6">
        <v>8.5915820000000004E-3</v>
      </c>
      <c r="AE299" s="6">
        <v>8.9918596000000003E-2</v>
      </c>
      <c r="AF299" s="6">
        <v>1.0884420000000001E-2</v>
      </c>
      <c r="AG299" s="6">
        <v>6.7281275630000001</v>
      </c>
      <c r="AH299" s="6">
        <v>0.49855979</v>
      </c>
      <c r="AI299" s="6">
        <v>-9.6683660860000007</v>
      </c>
      <c r="AJ299" s="6">
        <v>0.88698547000000005</v>
      </c>
      <c r="AK299" s="6">
        <v>11.78156837</v>
      </c>
      <c r="AL299" s="6">
        <v>0.98735626300000001</v>
      </c>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row>
    <row r="300" spans="1:84" ht="16" x14ac:dyDescent="0.2">
      <c r="A300" s="4">
        <v>45848</v>
      </c>
      <c r="B300" s="19">
        <v>25191</v>
      </c>
      <c r="C300" s="5" t="s">
        <v>38</v>
      </c>
      <c r="D300" s="5">
        <v>14</v>
      </c>
      <c r="E300" s="53" t="s">
        <v>1349</v>
      </c>
      <c r="F300" s="6">
        <v>-24</v>
      </c>
      <c r="G300" s="5" t="s">
        <v>2</v>
      </c>
      <c r="H300" s="5" t="s">
        <v>5</v>
      </c>
      <c r="I300" s="5">
        <v>0.5</v>
      </c>
      <c r="J300" s="5">
        <v>29.5</v>
      </c>
      <c r="K300" s="5">
        <v>7.5</v>
      </c>
      <c r="L300" s="5">
        <v>4.5999999999999996</v>
      </c>
      <c r="M300" s="5" t="s">
        <v>9</v>
      </c>
      <c r="N300" s="15">
        <v>42.780894444399998</v>
      </c>
      <c r="O300" t="s">
        <v>1027</v>
      </c>
      <c r="P300" s="6">
        <v>7.1786073000000006E-2</v>
      </c>
      <c r="Q300" s="6">
        <v>2.3901813000000001E-2</v>
      </c>
      <c r="R300" s="6">
        <v>544</v>
      </c>
      <c r="S300" s="6">
        <v>2.5502089999999999E-3</v>
      </c>
      <c r="T300" s="6">
        <v>2.8284271240000001</v>
      </c>
      <c r="U300" s="6">
        <v>0.11432929999999999</v>
      </c>
      <c r="V300" s="6">
        <v>2.2305825000000001E-2</v>
      </c>
      <c r="W300" s="6">
        <v>1.2392130000000001E-3</v>
      </c>
      <c r="X300" s="6">
        <v>8.4026499999999998E-4</v>
      </c>
      <c r="Y300" s="6">
        <v>0.110207373</v>
      </c>
      <c r="Z300" s="6">
        <v>3.7391501000000001E-2</v>
      </c>
      <c r="AA300" s="6">
        <v>6.3849581000000002E-2</v>
      </c>
      <c r="AB300" s="6">
        <v>2.1068843E-2</v>
      </c>
      <c r="AC300" s="6">
        <v>3.8803624000000002E-2</v>
      </c>
      <c r="AD300" s="6">
        <v>1.2547045999999999E-2</v>
      </c>
      <c r="AE300" s="6">
        <v>7.1786073000000006E-2</v>
      </c>
      <c r="AF300" s="6">
        <v>2.3901813000000001E-2</v>
      </c>
      <c r="AG300" s="6">
        <v>7.6133837680000003</v>
      </c>
      <c r="AH300" s="6">
        <v>0.47760775300000002</v>
      </c>
      <c r="AI300" s="6">
        <v>-12.43594789</v>
      </c>
      <c r="AJ300" s="6">
        <v>0.55224801300000004</v>
      </c>
      <c r="AK300" s="6">
        <v>14.582679193000001</v>
      </c>
      <c r="AL300" s="6">
        <v>0.70348889100000001</v>
      </c>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row>
    <row r="301" spans="1:84" ht="16" x14ac:dyDescent="0.2">
      <c r="A301" s="4">
        <v>45848</v>
      </c>
      <c r="B301" s="19">
        <v>25191</v>
      </c>
      <c r="C301" s="5" t="s">
        <v>38</v>
      </c>
      <c r="D301" s="5">
        <v>15</v>
      </c>
      <c r="E301" s="53" t="s">
        <v>1350</v>
      </c>
      <c r="F301" s="6">
        <v>37.5</v>
      </c>
      <c r="G301" s="5" t="s">
        <v>2</v>
      </c>
      <c r="H301" s="5" t="s">
        <v>3</v>
      </c>
      <c r="I301" s="5">
        <v>0.65</v>
      </c>
      <c r="J301" s="5">
        <v>32.1</v>
      </c>
      <c r="K301" s="5">
        <v>8</v>
      </c>
      <c r="L301" s="5">
        <v>4.5999999999999996</v>
      </c>
      <c r="M301" s="5" t="s">
        <v>4</v>
      </c>
      <c r="N301" s="15">
        <v>42.780894444399998</v>
      </c>
      <c r="O301" t="s">
        <v>1028</v>
      </c>
      <c r="P301" s="6">
        <v>8.3845758000000006E-2</v>
      </c>
      <c r="Q301" s="6">
        <v>1.6406877E-2</v>
      </c>
      <c r="R301" s="6">
        <v>754</v>
      </c>
      <c r="S301" s="6">
        <v>1.5757049999999999E-3</v>
      </c>
      <c r="T301" s="6">
        <v>3.9999999979999998</v>
      </c>
      <c r="U301" s="6">
        <v>0.101478785</v>
      </c>
      <c r="V301" s="6">
        <v>1.5527437E-2</v>
      </c>
      <c r="W301" s="6">
        <v>8.6263500000000005E-4</v>
      </c>
      <c r="X301" s="6">
        <v>5.8562600000000001E-4</v>
      </c>
      <c r="Y301" s="6">
        <v>0.12788378</v>
      </c>
      <c r="Z301" s="6">
        <v>2.6720836000000001E-2</v>
      </c>
      <c r="AA301" s="6">
        <v>7.3554034000000004E-2</v>
      </c>
      <c r="AB301" s="6">
        <v>1.3869981999999999E-2</v>
      </c>
      <c r="AC301" s="6">
        <v>5.0437240000000001E-2</v>
      </c>
      <c r="AD301" s="6">
        <v>9.0197369999999999E-3</v>
      </c>
      <c r="AE301" s="6">
        <v>8.3845758000000006E-2</v>
      </c>
      <c r="AF301" s="6">
        <v>1.6406877E-2</v>
      </c>
      <c r="AG301" s="6">
        <v>7.7328578749999997</v>
      </c>
      <c r="AH301" s="6">
        <v>0.65369216799999996</v>
      </c>
      <c r="AI301" s="6">
        <v>-10.571613036</v>
      </c>
      <c r="AJ301" s="6">
        <v>1.0229854030000001</v>
      </c>
      <c r="AK301" s="6">
        <v>13.099139135</v>
      </c>
      <c r="AL301" s="6">
        <v>1.201006902</v>
      </c>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row>
    <row r="302" spans="1:84" ht="16" x14ac:dyDescent="0.2">
      <c r="A302" s="4">
        <v>45859</v>
      </c>
      <c r="B302" s="19">
        <v>25202</v>
      </c>
      <c r="C302" s="26" t="s">
        <v>1</v>
      </c>
      <c r="D302" s="5">
        <v>27</v>
      </c>
      <c r="E302" s="53" t="s">
        <v>1351</v>
      </c>
      <c r="F302" s="6">
        <v>38.1</v>
      </c>
      <c r="G302" s="5" t="s">
        <v>2</v>
      </c>
      <c r="H302" s="5" t="s">
        <v>6</v>
      </c>
      <c r="I302" s="5">
        <v>0.35</v>
      </c>
      <c r="J302" s="5">
        <v>26.75</v>
      </c>
      <c r="K302" s="5" t="s">
        <v>8</v>
      </c>
      <c r="L302" s="5" t="s">
        <v>8</v>
      </c>
      <c r="M302" s="5"/>
      <c r="N302" s="5"/>
      <c r="O302" s="9"/>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row>
    <row r="303" spans="1:84" ht="16" x14ac:dyDescent="0.2">
      <c r="A303" s="4">
        <v>45860</v>
      </c>
      <c r="B303" s="19">
        <v>25203</v>
      </c>
      <c r="C303" s="5" t="s">
        <v>13</v>
      </c>
      <c r="D303" s="5">
        <v>13</v>
      </c>
      <c r="E303" s="53" t="s">
        <v>1352</v>
      </c>
      <c r="F303" s="6">
        <v>24</v>
      </c>
      <c r="G303" s="5" t="s">
        <v>2</v>
      </c>
      <c r="H303" s="5" t="s">
        <v>3</v>
      </c>
      <c r="I303" s="5">
        <v>0.75</v>
      </c>
      <c r="J303" s="5">
        <v>34.6</v>
      </c>
      <c r="K303" s="5">
        <v>8.75</v>
      </c>
      <c r="L303" s="5">
        <v>5.35</v>
      </c>
      <c r="M303" s="5"/>
      <c r="N303" s="5"/>
      <c r="O303" t="s">
        <v>1029</v>
      </c>
      <c r="P303" s="6">
        <v>0.105384934</v>
      </c>
      <c r="Q303" s="6">
        <v>2.0565617000000001E-2</v>
      </c>
      <c r="R303" s="6">
        <v>759</v>
      </c>
      <c r="S303" s="6">
        <v>2.2077210000000002E-3</v>
      </c>
      <c r="T303" s="6">
        <v>5.6568542449999999</v>
      </c>
      <c r="U303" s="6">
        <v>0.115844563</v>
      </c>
      <c r="V303" s="6">
        <v>1.9057612000000002E-2</v>
      </c>
      <c r="W303" s="6">
        <v>1.0587560000000001E-3</v>
      </c>
      <c r="X303" s="6">
        <v>8.2878300000000004E-4</v>
      </c>
      <c r="Y303" s="6">
        <v>0.161795414</v>
      </c>
      <c r="Z303" s="6">
        <v>3.1235097999999999E-2</v>
      </c>
      <c r="AA303" s="6">
        <v>9.2562597999999996E-2</v>
      </c>
      <c r="AB303" s="6">
        <v>1.8233066999999999E-2</v>
      </c>
      <c r="AC303" s="6">
        <v>5.9317429999999997E-2</v>
      </c>
      <c r="AD303" s="6">
        <v>1.1779927000000001E-2</v>
      </c>
      <c r="AE303" s="6">
        <v>0.105384934</v>
      </c>
      <c r="AF303" s="6">
        <v>2.0565617000000001E-2</v>
      </c>
      <c r="AG303" s="6">
        <v>7.9292744920000002</v>
      </c>
      <c r="AH303" s="6">
        <v>0.259897514</v>
      </c>
      <c r="AI303" s="6">
        <v>-11.854382665999999</v>
      </c>
      <c r="AJ303" s="6">
        <v>0.29669581299999997</v>
      </c>
      <c r="AK303" s="6">
        <v>14.263786082999999</v>
      </c>
      <c r="AL303" s="6">
        <v>0.31573737899999998</v>
      </c>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row>
    <row r="304" spans="1:84" ht="16" x14ac:dyDescent="0.2">
      <c r="A304" s="4">
        <v>45860</v>
      </c>
      <c r="B304" s="19">
        <v>25203</v>
      </c>
      <c r="C304" s="5" t="s">
        <v>13</v>
      </c>
      <c r="D304" s="5">
        <v>14</v>
      </c>
      <c r="E304" s="53" t="s">
        <v>1353</v>
      </c>
      <c r="F304" s="6">
        <v>16</v>
      </c>
      <c r="G304" s="5" t="s">
        <v>2</v>
      </c>
      <c r="H304" s="5" t="s">
        <v>6</v>
      </c>
      <c r="I304" s="5">
        <v>0.35</v>
      </c>
      <c r="J304" s="5">
        <v>25.3</v>
      </c>
      <c r="K304" s="5" t="s">
        <v>8</v>
      </c>
      <c r="L304" s="5" t="s">
        <v>8</v>
      </c>
      <c r="M304" s="5"/>
      <c r="N304" s="5"/>
      <c r="O304" t="s">
        <v>1030</v>
      </c>
      <c r="P304" s="6">
        <v>9.1411337999999995E-2</v>
      </c>
      <c r="Q304" s="6">
        <v>1.8743236E-2</v>
      </c>
      <c r="R304" s="6">
        <v>477</v>
      </c>
      <c r="S304" s="6">
        <v>1.8710160000000001E-3</v>
      </c>
      <c r="T304" s="6">
        <v>3.9999999979999998</v>
      </c>
      <c r="U304" s="6">
        <v>0.10480605599999999</v>
      </c>
      <c r="V304" s="6">
        <v>1.7852175000000001E-2</v>
      </c>
      <c r="W304" s="6">
        <v>9.9178700000000005E-4</v>
      </c>
      <c r="X304" s="6">
        <v>6.4984000000000005E-4</v>
      </c>
      <c r="Y304" s="6">
        <v>0.13772479600000001</v>
      </c>
      <c r="Z304" s="6">
        <v>2.8107266999999998E-2</v>
      </c>
      <c r="AA304" s="6">
        <v>8.2048362999999999E-2</v>
      </c>
      <c r="AB304" s="6">
        <v>1.7104828999999998E-2</v>
      </c>
      <c r="AC304" s="6">
        <v>4.9483317999999998E-2</v>
      </c>
      <c r="AD304" s="6">
        <v>9.6885270000000006E-3</v>
      </c>
      <c r="AE304" s="6">
        <v>9.1411337999999995E-2</v>
      </c>
      <c r="AF304" s="6">
        <v>1.8743236E-2</v>
      </c>
      <c r="AG304" s="6">
        <v>7.3442659900000002</v>
      </c>
      <c r="AH304" s="6">
        <v>0.219156246</v>
      </c>
      <c r="AI304" s="6">
        <v>-12.437467865</v>
      </c>
      <c r="AJ304" s="6">
        <v>0.57932278800000003</v>
      </c>
      <c r="AK304" s="6">
        <v>14.446753224</v>
      </c>
      <c r="AL304" s="6">
        <v>0.55104278200000001</v>
      </c>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row>
    <row r="305" spans="1:84" ht="16" x14ac:dyDescent="0.2">
      <c r="A305" s="4">
        <v>45860</v>
      </c>
      <c r="B305" s="19">
        <v>25203</v>
      </c>
      <c r="C305" s="5" t="s">
        <v>13</v>
      </c>
      <c r="D305" s="5">
        <v>15</v>
      </c>
      <c r="E305" s="53" t="s">
        <v>1354</v>
      </c>
      <c r="F305" s="6">
        <v>-28</v>
      </c>
      <c r="G305" s="5" t="s">
        <v>2</v>
      </c>
      <c r="H305" s="5" t="s">
        <v>6</v>
      </c>
      <c r="I305" s="5">
        <v>0.25</v>
      </c>
      <c r="J305" s="5">
        <v>23</v>
      </c>
      <c r="K305" s="5" t="s">
        <v>8</v>
      </c>
      <c r="L305" s="5" t="s">
        <v>8</v>
      </c>
      <c r="M305" s="5"/>
      <c r="N305" s="5"/>
      <c r="O305" t="s">
        <v>1031</v>
      </c>
      <c r="P305" s="6">
        <v>6.0312773E-2</v>
      </c>
      <c r="Q305" s="6">
        <v>2.1729334999999999E-2</v>
      </c>
      <c r="R305" s="6">
        <v>287</v>
      </c>
      <c r="S305" s="6">
        <v>2.2079090000000001E-3</v>
      </c>
      <c r="T305" s="6">
        <v>3.9999999979999998</v>
      </c>
      <c r="U305" s="6">
        <v>0.13157492800000001</v>
      </c>
      <c r="V305" s="6">
        <v>1.6780623000000001E-2</v>
      </c>
      <c r="W305" s="6">
        <v>9.3225700000000003E-4</v>
      </c>
      <c r="X305" s="6">
        <v>9.4735399999999997E-4</v>
      </c>
      <c r="Y305" s="6">
        <v>9.1969660999999994E-2</v>
      </c>
      <c r="Z305" s="6">
        <v>3.2315822000000001E-2</v>
      </c>
      <c r="AA305" s="6">
        <v>5.3530089000000003E-2</v>
      </c>
      <c r="AB305" s="6">
        <v>1.9664141999999999E-2</v>
      </c>
      <c r="AC305" s="6">
        <v>3.2864366999999998E-2</v>
      </c>
      <c r="AD305" s="6">
        <v>1.202482E-2</v>
      </c>
      <c r="AE305" s="6">
        <v>6.0312773E-2</v>
      </c>
      <c r="AF305" s="6">
        <v>2.1729334999999999E-2</v>
      </c>
      <c r="AG305" s="6">
        <v>7.7219885770000003</v>
      </c>
      <c r="AH305" s="6">
        <v>0.47096266399999998</v>
      </c>
      <c r="AI305" s="6">
        <v>-12.423824788999999</v>
      </c>
      <c r="AJ305" s="6">
        <v>0.34575993999999999</v>
      </c>
      <c r="AK305" s="6">
        <v>14.631200279</v>
      </c>
      <c r="AL305" s="6">
        <v>0.49954409</v>
      </c>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row>
    <row r="306" spans="1:84" ht="16" x14ac:dyDescent="0.2">
      <c r="A306" s="4">
        <v>45860</v>
      </c>
      <c r="B306" s="19">
        <v>25203</v>
      </c>
      <c r="C306" s="5" t="s">
        <v>13</v>
      </c>
      <c r="D306" s="28">
        <v>16</v>
      </c>
      <c r="E306" s="53" t="s">
        <v>1355</v>
      </c>
      <c r="F306" s="6">
        <v>6.8</v>
      </c>
      <c r="G306" s="5" t="s">
        <v>2</v>
      </c>
      <c r="H306" s="5" t="s">
        <v>3</v>
      </c>
      <c r="I306" s="5">
        <v>1.35</v>
      </c>
      <c r="J306" s="5">
        <v>43.35</v>
      </c>
      <c r="K306" s="5">
        <v>10.050000000000001</v>
      </c>
      <c r="L306" s="5">
        <v>6</v>
      </c>
      <c r="M306" s="5"/>
      <c r="N306" s="5"/>
      <c r="O306" s="9" t="s">
        <v>705</v>
      </c>
      <c r="P306" s="6">
        <v>8.3636951000000001E-2</v>
      </c>
      <c r="Q306" s="6">
        <v>8.1373330000000001E-3</v>
      </c>
      <c r="R306" s="6">
        <v>1492</v>
      </c>
      <c r="S306" s="6">
        <v>8.8338499999999999E-4</v>
      </c>
      <c r="T306" s="6">
        <v>3.9999999979999998</v>
      </c>
      <c r="U306" s="6">
        <v>0.113118398</v>
      </c>
      <c r="V306" s="6">
        <v>7.8093870000000001E-3</v>
      </c>
      <c r="W306" s="6">
        <v>4.3385500000000003E-4</v>
      </c>
      <c r="X306" s="6">
        <v>3.6297499999999997E-4</v>
      </c>
      <c r="Y306" s="6">
        <v>0.117491954</v>
      </c>
      <c r="Z306" s="6">
        <v>1.1634583E-2</v>
      </c>
      <c r="AA306" s="6">
        <v>7.6555562999999993E-2</v>
      </c>
      <c r="AB306" s="6">
        <v>7.6286360000000003E-3</v>
      </c>
      <c r="AC306" s="6">
        <v>5.7982902000000003E-2</v>
      </c>
      <c r="AD306" s="6">
        <v>6.0814959999999996E-3</v>
      </c>
      <c r="AE306" s="6">
        <v>8.3636951000000001E-2</v>
      </c>
      <c r="AF306" s="6">
        <v>8.1373330000000001E-3</v>
      </c>
      <c r="AG306" s="6">
        <v>6.063292444</v>
      </c>
      <c r="AH306" s="6">
        <v>0.62097675100000005</v>
      </c>
      <c r="AI306" s="6">
        <v>-8.0484164979999999</v>
      </c>
      <c r="AJ306" s="6">
        <v>0.78623562300000005</v>
      </c>
      <c r="AK306" s="6">
        <v>10.077913084</v>
      </c>
      <c r="AL306" s="6">
        <v>0.98992626399999994</v>
      </c>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row>
    <row r="307" spans="1:84" ht="16" x14ac:dyDescent="0.2">
      <c r="A307" s="4">
        <v>45860</v>
      </c>
      <c r="B307" s="19">
        <v>25203</v>
      </c>
      <c r="C307" s="5" t="s">
        <v>13</v>
      </c>
      <c r="D307" s="5">
        <v>17</v>
      </c>
      <c r="E307" s="53" t="s">
        <v>1356</v>
      </c>
      <c r="F307" s="6">
        <v>-25.6</v>
      </c>
      <c r="G307" s="5" t="s">
        <v>2</v>
      </c>
      <c r="H307" s="5" t="s">
        <v>6</v>
      </c>
      <c r="I307" s="5">
        <v>0.4</v>
      </c>
      <c r="J307" s="5">
        <v>25.9</v>
      </c>
      <c r="K307" s="5" t="s">
        <v>8</v>
      </c>
      <c r="L307" s="5" t="s">
        <v>8</v>
      </c>
      <c r="M307" s="5"/>
      <c r="N307" s="5"/>
      <c r="O307" t="s">
        <v>1032</v>
      </c>
      <c r="P307" s="6">
        <v>5.8106340999999999E-2</v>
      </c>
      <c r="Q307" s="6">
        <v>2.3070125E-2</v>
      </c>
      <c r="R307" s="6">
        <v>316</v>
      </c>
      <c r="S307" s="6">
        <v>2.589675E-3</v>
      </c>
      <c r="T307" s="6">
        <v>2.8284271240000001</v>
      </c>
      <c r="U307" s="6">
        <v>0.156195589</v>
      </c>
      <c r="V307" s="6">
        <v>1.6579693E-2</v>
      </c>
      <c r="W307" s="6">
        <v>9.2109400000000001E-4</v>
      </c>
      <c r="X307" s="6">
        <v>9.2602299999999999E-4</v>
      </c>
      <c r="Y307" s="6">
        <v>9.0101840000000002E-2</v>
      </c>
      <c r="Z307" s="6">
        <v>3.6249754000000002E-2</v>
      </c>
      <c r="AA307" s="6">
        <v>5.0999489000000002E-2</v>
      </c>
      <c r="AB307" s="6">
        <v>2.0150843000000002E-2</v>
      </c>
      <c r="AC307" s="6">
        <v>3.1578673000000002E-2</v>
      </c>
      <c r="AD307" s="6">
        <v>1.234158E-2</v>
      </c>
      <c r="AE307" s="6">
        <v>5.8106340999999999E-2</v>
      </c>
      <c r="AF307" s="6">
        <v>2.3070125E-2</v>
      </c>
      <c r="AG307" s="6">
        <v>8.035490673</v>
      </c>
      <c r="AH307" s="6">
        <v>0.50050756600000001</v>
      </c>
      <c r="AI307" s="6">
        <v>-12.391986566</v>
      </c>
      <c r="AJ307" s="6">
        <v>0.74305228999999995</v>
      </c>
      <c r="AK307" s="6">
        <v>14.771207757999999</v>
      </c>
      <c r="AL307" s="6">
        <v>0.86273538100000002</v>
      </c>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row>
    <row r="308" spans="1:84" ht="16" x14ac:dyDescent="0.2">
      <c r="A308" s="4">
        <v>45860</v>
      </c>
      <c r="B308" s="19">
        <v>25203</v>
      </c>
      <c r="C308" s="5" t="s">
        <v>13</v>
      </c>
      <c r="D308" s="5">
        <v>18</v>
      </c>
      <c r="E308" s="53" t="s">
        <v>1357</v>
      </c>
      <c r="F308" s="6">
        <v>-41.8</v>
      </c>
      <c r="G308" s="5" t="s">
        <v>2</v>
      </c>
      <c r="H308" s="5" t="s">
        <v>3</v>
      </c>
      <c r="I308" s="5">
        <v>1.25</v>
      </c>
      <c r="J308" s="5">
        <v>41.3</v>
      </c>
      <c r="K308" s="5">
        <v>9.8000000000000007</v>
      </c>
      <c r="L308" s="5">
        <v>5.7</v>
      </c>
      <c r="M308" s="5"/>
      <c r="N308" s="5"/>
      <c r="O308" t="s">
        <v>1033</v>
      </c>
      <c r="P308" s="6">
        <v>7.8038267999999994E-2</v>
      </c>
      <c r="Q308" s="6">
        <v>5.1997420000000003E-3</v>
      </c>
      <c r="R308" s="6">
        <v>1210</v>
      </c>
      <c r="S308" s="6">
        <v>5.9754299999999997E-4</v>
      </c>
      <c r="T308" s="6">
        <v>3.9999999979999998</v>
      </c>
      <c r="U308" s="6">
        <v>0.121971567</v>
      </c>
      <c r="V308" s="6">
        <v>4.8990359999999998E-3</v>
      </c>
      <c r="W308" s="6">
        <v>2.72169E-4</v>
      </c>
      <c r="X308" s="6">
        <v>2.37679E-4</v>
      </c>
      <c r="Y308" s="6">
        <v>0.111091696</v>
      </c>
      <c r="Z308" s="6">
        <v>7.200461E-3</v>
      </c>
      <c r="AA308" s="6">
        <v>7.1543600999999998E-2</v>
      </c>
      <c r="AB308" s="6">
        <v>4.9808279999999996E-3</v>
      </c>
      <c r="AC308" s="6">
        <v>5.1761346E-2</v>
      </c>
      <c r="AD308" s="6">
        <v>4.3965669999999997E-3</v>
      </c>
      <c r="AE308" s="6">
        <v>7.8038267999999994E-2</v>
      </c>
      <c r="AF308" s="6">
        <v>5.1997420000000003E-3</v>
      </c>
      <c r="AG308" s="6">
        <v>6.2303280540000001</v>
      </c>
      <c r="AH308" s="6">
        <v>0.44189758299999998</v>
      </c>
      <c r="AI308" s="6">
        <v>-8.9052223060000006</v>
      </c>
      <c r="AJ308" s="6">
        <v>0.83579278300000004</v>
      </c>
      <c r="AK308" s="6">
        <v>10.871104761</v>
      </c>
      <c r="AL308" s="6">
        <v>0.91259298899999997</v>
      </c>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row>
    <row r="309" spans="1:84" ht="16" x14ac:dyDescent="0.2">
      <c r="A309" s="4">
        <v>45860</v>
      </c>
      <c r="B309" s="19">
        <v>25203</v>
      </c>
      <c r="C309" s="5" t="s">
        <v>13</v>
      </c>
      <c r="D309" s="25">
        <v>19</v>
      </c>
      <c r="E309" s="53" t="s">
        <v>1358</v>
      </c>
      <c r="F309" s="6">
        <v>25.4</v>
      </c>
      <c r="G309" s="5" t="s">
        <v>2</v>
      </c>
      <c r="H309" s="5" t="s">
        <v>3</v>
      </c>
      <c r="I309" s="5">
        <v>1</v>
      </c>
      <c r="J309" s="5">
        <v>39.049999999999997</v>
      </c>
      <c r="K309" s="5">
        <v>9.1</v>
      </c>
      <c r="L309" s="5">
        <v>5.3</v>
      </c>
      <c r="M309" s="5"/>
      <c r="N309" s="5"/>
      <c r="O309" t="s">
        <v>706</v>
      </c>
      <c r="P309" s="6">
        <v>7.3695506999999993E-2</v>
      </c>
      <c r="Q309" s="6">
        <v>1.3806951E-2</v>
      </c>
      <c r="R309" s="6">
        <v>854</v>
      </c>
      <c r="S309" s="6">
        <v>1.8083699999999999E-3</v>
      </c>
      <c r="T309" s="6">
        <v>7.9999999920000002</v>
      </c>
      <c r="U309" s="6">
        <v>0.13574567000000001</v>
      </c>
      <c r="V309" s="6">
        <v>1.3321751E-2</v>
      </c>
      <c r="W309" s="6">
        <v>7.40097E-4</v>
      </c>
      <c r="X309" s="6">
        <v>6.41856E-4</v>
      </c>
      <c r="Y309" s="6">
        <v>0.10416697599999999</v>
      </c>
      <c r="Z309" s="6">
        <v>1.6338393999999999E-2</v>
      </c>
      <c r="AA309" s="6">
        <v>6.6941947000000002E-2</v>
      </c>
      <c r="AB309" s="6">
        <v>1.3693334999999999E-2</v>
      </c>
      <c r="AC309" s="6">
        <v>5.2290148000000002E-2</v>
      </c>
      <c r="AD309" s="6">
        <v>1.1713724E-2</v>
      </c>
      <c r="AE309" s="6">
        <v>7.3695506999999993E-2</v>
      </c>
      <c r="AF309" s="6">
        <v>1.3806951E-2</v>
      </c>
      <c r="AG309" s="6">
        <v>6.3544652880000001</v>
      </c>
      <c r="AH309" s="6">
        <v>0.93045758300000003</v>
      </c>
      <c r="AI309" s="6">
        <v>-7.7249269309999997</v>
      </c>
      <c r="AJ309" s="6">
        <v>1.4147358370000001</v>
      </c>
      <c r="AK309" s="6">
        <v>10.023835998999999</v>
      </c>
      <c r="AL309" s="6">
        <v>1.563064174</v>
      </c>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row>
    <row r="310" spans="1:84" ht="16" x14ac:dyDescent="0.2">
      <c r="A310" s="4">
        <v>45860</v>
      </c>
      <c r="B310" s="19">
        <v>25203</v>
      </c>
      <c r="C310" s="5" t="s">
        <v>13</v>
      </c>
      <c r="D310" s="5">
        <v>20</v>
      </c>
      <c r="E310" s="53" t="s">
        <v>1359</v>
      </c>
      <c r="F310" s="6">
        <v>-9.4</v>
      </c>
      <c r="G310" s="5" t="s">
        <v>2</v>
      </c>
      <c r="H310" s="5" t="s">
        <v>3</v>
      </c>
      <c r="I310" s="5">
        <v>0.4</v>
      </c>
      <c r="J310" s="5">
        <v>29.25</v>
      </c>
      <c r="K310" s="5">
        <v>7.35</v>
      </c>
      <c r="L310" s="5">
        <v>4.3</v>
      </c>
      <c r="M310" s="5"/>
      <c r="N310" s="5"/>
      <c r="O310" t="s">
        <v>1034</v>
      </c>
      <c r="P310" s="6">
        <v>6.9523702000000007E-2</v>
      </c>
      <c r="Q310" s="6">
        <v>1.0134887E-2</v>
      </c>
      <c r="R310" s="6">
        <v>559</v>
      </c>
      <c r="S310" s="6">
        <v>1.074106E-3</v>
      </c>
      <c r="T310" s="6">
        <v>3.9999999979999998</v>
      </c>
      <c r="U310" s="6">
        <v>0.117792298</v>
      </c>
      <c r="V310" s="6">
        <v>9.1186449999999999E-3</v>
      </c>
      <c r="W310" s="6">
        <v>5.0659100000000003E-4</v>
      </c>
      <c r="X310" s="6">
        <v>4.2643800000000001E-4</v>
      </c>
      <c r="Y310" s="6">
        <v>0.10472253199999999</v>
      </c>
      <c r="Z310" s="6">
        <v>1.480592E-2</v>
      </c>
      <c r="AA310" s="6">
        <v>6.2157130999999997E-2</v>
      </c>
      <c r="AB310" s="6">
        <v>9.2208729999999992E-3</v>
      </c>
      <c r="AC310" s="6">
        <v>4.0428981000000003E-2</v>
      </c>
      <c r="AD310" s="6">
        <v>6.3712949999999999E-3</v>
      </c>
      <c r="AE310" s="6">
        <v>6.9523702000000007E-2</v>
      </c>
      <c r="AF310" s="6">
        <v>1.0134887E-2</v>
      </c>
      <c r="AG310" s="6">
        <v>7.3976545580000002</v>
      </c>
      <c r="AH310" s="6">
        <v>0.22729770499999999</v>
      </c>
      <c r="AI310" s="6">
        <v>-11.320228974000001</v>
      </c>
      <c r="AJ310" s="6">
        <v>0.48271758999999997</v>
      </c>
      <c r="AK310" s="6">
        <v>13.524434073</v>
      </c>
      <c r="AL310" s="6">
        <v>0.49716506999999999</v>
      </c>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row>
    <row r="311" spans="1:84" ht="16" x14ac:dyDescent="0.2">
      <c r="A311" s="4">
        <v>45860</v>
      </c>
      <c r="B311" s="19">
        <v>25203</v>
      </c>
      <c r="C311" s="5" t="s">
        <v>13</v>
      </c>
      <c r="D311" s="5">
        <v>21</v>
      </c>
      <c r="E311" s="53" t="s">
        <v>1360</v>
      </c>
      <c r="F311" s="6">
        <v>28.7</v>
      </c>
      <c r="G311" s="5" t="s">
        <v>2</v>
      </c>
      <c r="H311" s="5" t="s">
        <v>5</v>
      </c>
      <c r="I311" s="5">
        <v>0.4</v>
      </c>
      <c r="J311" s="5">
        <v>29.2</v>
      </c>
      <c r="K311" s="5">
        <v>7.7</v>
      </c>
      <c r="L311" s="5">
        <v>4.5</v>
      </c>
      <c r="M311" s="5"/>
      <c r="N311" s="5"/>
      <c r="O311" s="6" t="s">
        <v>1035</v>
      </c>
      <c r="P311" s="6">
        <v>6.6209356999999996E-2</v>
      </c>
      <c r="Q311" s="6">
        <v>1.5042672999999999E-2</v>
      </c>
      <c r="R311" s="6">
        <v>497</v>
      </c>
      <c r="S311" s="6">
        <v>1.703577E-3</v>
      </c>
      <c r="T311" s="6">
        <v>3.9999999979999998</v>
      </c>
      <c r="U311" s="6">
        <v>0.119699993</v>
      </c>
      <c r="V311" s="6">
        <v>1.4232056E-2</v>
      </c>
      <c r="W311" s="6">
        <v>7.9067000000000004E-4</v>
      </c>
      <c r="X311" s="6">
        <v>5.7778099999999998E-4</v>
      </c>
      <c r="Y311" s="6">
        <v>9.7792538999999998E-2</v>
      </c>
      <c r="Z311" s="6">
        <v>2.2464088E-2</v>
      </c>
      <c r="AA311" s="6">
        <v>5.9453364000000002E-2</v>
      </c>
      <c r="AB311" s="6">
        <v>1.3631509999999999E-2</v>
      </c>
      <c r="AC311" s="6">
        <v>4.0161755E-2</v>
      </c>
      <c r="AD311" s="6">
        <v>8.7970649999999997E-3</v>
      </c>
      <c r="AE311" s="6">
        <v>6.6209356999999996E-2</v>
      </c>
      <c r="AF311" s="6">
        <v>1.5042672999999999E-2</v>
      </c>
      <c r="AG311" s="6">
        <v>7.0313255620000001</v>
      </c>
      <c r="AH311" s="6">
        <v>0.52004263299999998</v>
      </c>
      <c r="AI311" s="6">
        <v>-10.407822615000001</v>
      </c>
      <c r="AJ311" s="6">
        <v>1.1971509929999999</v>
      </c>
      <c r="AK311" s="6">
        <v>12.569060690000001</v>
      </c>
      <c r="AL311" s="6">
        <v>1.218276615</v>
      </c>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row>
    <row r="312" spans="1:84" ht="16" x14ac:dyDescent="0.2">
      <c r="A312" s="4">
        <v>45860</v>
      </c>
      <c r="B312" s="19">
        <v>25203</v>
      </c>
      <c r="C312" s="5" t="s">
        <v>13</v>
      </c>
      <c r="D312" s="5">
        <v>22</v>
      </c>
      <c r="E312" s="53" t="s">
        <v>1361</v>
      </c>
      <c r="F312" s="6">
        <v>0.9</v>
      </c>
      <c r="G312" s="5" t="s">
        <v>2</v>
      </c>
      <c r="H312" s="5" t="s">
        <v>5</v>
      </c>
      <c r="I312" s="5">
        <v>0.9</v>
      </c>
      <c r="J312" s="5">
        <v>36</v>
      </c>
      <c r="K312" s="5">
        <v>9.1</v>
      </c>
      <c r="L312" s="5">
        <v>5.4</v>
      </c>
      <c r="M312" s="5"/>
      <c r="N312" s="5"/>
      <c r="O312" s="6" t="s">
        <v>1036</v>
      </c>
      <c r="P312" s="6">
        <v>7.6475610999999999E-2</v>
      </c>
      <c r="Q312" s="6">
        <v>1.4348908E-2</v>
      </c>
      <c r="R312" s="6">
        <v>814</v>
      </c>
      <c r="S312" s="6">
        <v>1.8124689999999999E-3</v>
      </c>
      <c r="T312" s="6">
        <v>5.6568542449999999</v>
      </c>
      <c r="U312" s="6">
        <v>0.13417584699999999</v>
      </c>
      <c r="V312" s="6">
        <v>1.3508163E-2</v>
      </c>
      <c r="W312" s="6">
        <v>7.5045400000000001E-4</v>
      </c>
      <c r="X312" s="6">
        <v>6.3381600000000005E-4</v>
      </c>
      <c r="Y312" s="6">
        <v>0.11521260999999999</v>
      </c>
      <c r="Z312" s="6">
        <v>2.0791284E-2</v>
      </c>
      <c r="AA312" s="6">
        <v>6.7389864999999993E-2</v>
      </c>
      <c r="AB312" s="6">
        <v>1.2899212E-2</v>
      </c>
      <c r="AC312" s="6">
        <v>4.7782971E-2</v>
      </c>
      <c r="AD312" s="6">
        <v>9.8446139999999998E-3</v>
      </c>
      <c r="AE312" s="6">
        <v>7.6475610999999999E-2</v>
      </c>
      <c r="AF312" s="6">
        <v>1.4348908E-2</v>
      </c>
      <c r="AG312" s="6">
        <v>7.6271942319999999</v>
      </c>
      <c r="AH312" s="6">
        <v>0.34086386200000002</v>
      </c>
      <c r="AI312" s="6">
        <v>-10.06438268</v>
      </c>
      <c r="AJ312" s="6">
        <v>0.80161980700000002</v>
      </c>
      <c r="AK312" s="6">
        <v>12.632175284000001</v>
      </c>
      <c r="AL312" s="6">
        <v>0.80789255199999999</v>
      </c>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row>
    <row r="313" spans="1:84" ht="16" x14ac:dyDescent="0.2">
      <c r="A313" s="4">
        <v>45860</v>
      </c>
      <c r="B313" s="19">
        <v>25203</v>
      </c>
      <c r="C313" s="5" t="s">
        <v>13</v>
      </c>
      <c r="D313" s="25">
        <v>23</v>
      </c>
      <c r="E313" s="53" t="s">
        <v>1362</v>
      </c>
      <c r="F313" s="6">
        <v>10</v>
      </c>
      <c r="G313" s="5" t="s">
        <v>2</v>
      </c>
      <c r="H313" s="5" t="s">
        <v>5</v>
      </c>
      <c r="I313" s="5">
        <v>0.7</v>
      </c>
      <c r="J313" s="5">
        <v>37.15</v>
      </c>
      <c r="K313" s="5">
        <v>8.65</v>
      </c>
      <c r="L313" s="5">
        <v>4.95</v>
      </c>
      <c r="M313" s="5"/>
      <c r="N313" s="5"/>
      <c r="O313" t="s">
        <v>707</v>
      </c>
      <c r="P313" s="6">
        <v>9.8988454000000003E-2</v>
      </c>
      <c r="Q313" s="6">
        <v>1.5507338000000001E-2</v>
      </c>
      <c r="R313" s="6">
        <v>789</v>
      </c>
      <c r="S313" s="6">
        <v>1.6712280000000001E-3</v>
      </c>
      <c r="T313" s="6">
        <v>2</v>
      </c>
      <c r="U313" s="6">
        <v>0.14572036399999999</v>
      </c>
      <c r="V313" s="6">
        <v>1.1468733E-2</v>
      </c>
      <c r="W313" s="6">
        <v>6.3715199999999999E-4</v>
      </c>
      <c r="X313" s="6">
        <v>4.8398400000000002E-4</v>
      </c>
      <c r="Y313" s="6">
        <v>0.13679756500000001</v>
      </c>
      <c r="Z313" s="6">
        <v>2.0998901E-2</v>
      </c>
      <c r="AA313" s="6">
        <v>9.2013089000000006E-2</v>
      </c>
      <c r="AB313" s="6">
        <v>1.4673184000000001E-2</v>
      </c>
      <c r="AC313" s="6">
        <v>6.5008506999999993E-2</v>
      </c>
      <c r="AD313" s="6">
        <v>1.0619722999999999E-2</v>
      </c>
      <c r="AE313" s="6">
        <v>9.8988454000000003E-2</v>
      </c>
      <c r="AF313" s="6">
        <v>1.5507338000000001E-2</v>
      </c>
      <c r="AG313" s="6">
        <v>5.621782198</v>
      </c>
      <c r="AH313" s="6">
        <v>0.341552362</v>
      </c>
      <c r="AI313" s="6">
        <v>-8.9376898540000003</v>
      </c>
      <c r="AJ313" s="6">
        <v>0.72288730899999998</v>
      </c>
      <c r="AK313" s="6">
        <v>10.566384948</v>
      </c>
      <c r="AL313" s="6">
        <v>0.69084172499999996</v>
      </c>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row>
    <row r="314" spans="1:84" ht="16" x14ac:dyDescent="0.2">
      <c r="A314" s="4">
        <v>45860</v>
      </c>
      <c r="B314" s="19">
        <v>25203</v>
      </c>
      <c r="C314" s="5" t="s">
        <v>13</v>
      </c>
      <c r="D314" s="26">
        <v>24</v>
      </c>
      <c r="E314" s="53" t="s">
        <v>1363</v>
      </c>
      <c r="G314" s="5"/>
      <c r="H314" s="5"/>
      <c r="I314" s="5"/>
      <c r="J314" s="5"/>
      <c r="K314" s="5"/>
      <c r="L314" s="5"/>
      <c r="M314" s="5"/>
      <c r="N314" s="5"/>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row>
    <row r="315" spans="1:84" ht="16" x14ac:dyDescent="0.2">
      <c r="A315" s="4">
        <v>45861</v>
      </c>
      <c r="B315" s="19">
        <v>25204</v>
      </c>
      <c r="C315" s="5" t="s">
        <v>40</v>
      </c>
      <c r="D315" s="5">
        <v>25</v>
      </c>
      <c r="E315" s="53" t="s">
        <v>1364</v>
      </c>
      <c r="F315" s="6">
        <v>-41.4</v>
      </c>
      <c r="G315" s="5" t="s">
        <v>2</v>
      </c>
      <c r="H315" s="5" t="s">
        <v>3</v>
      </c>
      <c r="I315" s="5">
        <v>0.3</v>
      </c>
      <c r="J315" s="5">
        <v>27.15</v>
      </c>
      <c r="K315" s="5" t="s">
        <v>8</v>
      </c>
      <c r="L315" s="5" t="s">
        <v>8</v>
      </c>
      <c r="M315" s="5"/>
      <c r="N315" s="5"/>
      <c r="O315" t="s">
        <v>719</v>
      </c>
      <c r="P315" s="6">
        <v>7.8836673999999995E-2</v>
      </c>
      <c r="Q315" s="6">
        <v>1.6613164E-2</v>
      </c>
      <c r="R315" s="6">
        <v>493</v>
      </c>
      <c r="S315" s="6">
        <v>1.607102E-3</v>
      </c>
      <c r="T315" s="6">
        <v>11.313708483999999</v>
      </c>
      <c r="U315" s="6">
        <v>9.6972874000000001E-2</v>
      </c>
      <c r="V315" s="6">
        <v>1.6572696000000001E-2</v>
      </c>
      <c r="W315" s="6">
        <v>9.2070499999999996E-4</v>
      </c>
      <c r="X315" s="6">
        <v>6.2168900000000003E-4</v>
      </c>
      <c r="Y315" s="6">
        <v>0.11654974899999999</v>
      </c>
      <c r="Z315" s="6">
        <v>2.2167438000000001E-2</v>
      </c>
      <c r="AA315" s="6">
        <v>6.9986047999999995E-2</v>
      </c>
      <c r="AB315" s="6">
        <v>1.5425114E-2</v>
      </c>
      <c r="AC315" s="6">
        <v>5.0006746999999997E-2</v>
      </c>
      <c r="AD315" s="6">
        <v>1.2439459999999999E-2</v>
      </c>
      <c r="AE315" s="6">
        <v>7.8836673999999995E-2</v>
      </c>
      <c r="AF315" s="6">
        <v>1.6613164E-2</v>
      </c>
      <c r="AG315" s="6">
        <v>7.3157565409999998</v>
      </c>
      <c r="AH315" s="6">
        <v>0.67260894800000004</v>
      </c>
      <c r="AI315" s="6">
        <v>-9.8355387109999999</v>
      </c>
      <c r="AJ315" s="6">
        <v>1.0397393180000001</v>
      </c>
      <c r="AK315" s="6">
        <v>12.259598556</v>
      </c>
      <c r="AL315" s="6">
        <v>1.2221863589999999</v>
      </c>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row>
    <row r="316" spans="1:84" ht="16" x14ac:dyDescent="0.2">
      <c r="A316" s="4">
        <v>45861</v>
      </c>
      <c r="B316" s="19">
        <v>25204</v>
      </c>
      <c r="C316" s="5" t="s">
        <v>40</v>
      </c>
      <c r="D316" s="25">
        <v>26</v>
      </c>
      <c r="E316" s="53" t="s">
        <v>1365</v>
      </c>
      <c r="F316" s="6">
        <v>30.5</v>
      </c>
      <c r="G316" s="5" t="s">
        <v>2</v>
      </c>
      <c r="H316" s="5" t="s">
        <v>3</v>
      </c>
      <c r="I316" s="5">
        <v>0.65</v>
      </c>
      <c r="J316" s="5">
        <v>36.75</v>
      </c>
      <c r="K316" s="5">
        <v>8.3000000000000007</v>
      </c>
      <c r="L316" s="5">
        <v>5.0999999999999996</v>
      </c>
      <c r="M316" s="5"/>
      <c r="N316" s="5"/>
      <c r="O316" s="9" t="s">
        <v>708</v>
      </c>
      <c r="P316" s="6">
        <v>6.6329917000000002E-2</v>
      </c>
      <c r="Q316" s="6">
        <v>1.0872619E-2</v>
      </c>
      <c r="R316" s="6">
        <v>660</v>
      </c>
      <c r="S316" s="6">
        <v>1.1671349999999999E-3</v>
      </c>
      <c r="T316" s="6">
        <v>2.8284271240000001</v>
      </c>
      <c r="U316" s="6">
        <v>0.13564654800000001</v>
      </c>
      <c r="V316" s="6">
        <v>8.6042380000000002E-3</v>
      </c>
      <c r="W316" s="6">
        <v>4.7801300000000001E-4</v>
      </c>
      <c r="X316" s="6">
        <v>4.6385099999999999E-4</v>
      </c>
      <c r="Y316" s="6">
        <v>9.7594367000000001E-2</v>
      </c>
      <c r="Z316" s="6">
        <v>1.5696195E-2</v>
      </c>
      <c r="AA316" s="6">
        <v>5.9822536000000003E-2</v>
      </c>
      <c r="AB316" s="6">
        <v>9.889887E-3</v>
      </c>
      <c r="AC316" s="6">
        <v>4.1769808999999998E-2</v>
      </c>
      <c r="AD316" s="6">
        <v>7.3057319999999997E-3</v>
      </c>
      <c r="AE316" s="6">
        <v>6.6329917000000002E-2</v>
      </c>
      <c r="AF316" s="6">
        <v>1.0872619E-2</v>
      </c>
      <c r="AG316" s="6">
        <v>6.9339848140000004</v>
      </c>
      <c r="AH316" s="6">
        <v>0.32361772599999999</v>
      </c>
      <c r="AI316" s="6">
        <v>-9.9064275829999993</v>
      </c>
      <c r="AJ316" s="6">
        <v>0.65306133899999996</v>
      </c>
      <c r="AK316" s="6">
        <v>12.097148589</v>
      </c>
      <c r="AL316" s="6">
        <v>0.63834133400000004</v>
      </c>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row>
    <row r="317" spans="1:84" ht="16" x14ac:dyDescent="0.2">
      <c r="A317" s="4">
        <v>45861</v>
      </c>
      <c r="B317" s="19">
        <v>25204</v>
      </c>
      <c r="C317" s="5" t="s">
        <v>40</v>
      </c>
      <c r="D317" s="28">
        <v>27</v>
      </c>
      <c r="E317" s="53" t="s">
        <v>1366</v>
      </c>
      <c r="F317" s="6">
        <v>56.9</v>
      </c>
      <c r="G317" s="5" t="s">
        <v>2</v>
      </c>
      <c r="H317" s="5" t="s">
        <v>6</v>
      </c>
      <c r="I317" s="5">
        <v>0.25</v>
      </c>
      <c r="J317" s="5">
        <v>27.3</v>
      </c>
      <c r="K317" s="5" t="s">
        <v>8</v>
      </c>
      <c r="L317" s="5" t="s">
        <v>8</v>
      </c>
      <c r="M317" s="5"/>
      <c r="N317" s="5"/>
      <c r="O317" t="s">
        <v>709</v>
      </c>
      <c r="P317" s="6">
        <v>7.1644598000000004E-2</v>
      </c>
      <c r="Q317" s="6">
        <v>1.3125842E-2</v>
      </c>
      <c r="R317" s="6">
        <v>512</v>
      </c>
      <c r="S317" s="6">
        <v>1.402241E-3</v>
      </c>
      <c r="T317" s="6">
        <v>3.9999999979999998</v>
      </c>
      <c r="U317" s="6">
        <v>0.114283738</v>
      </c>
      <c r="V317" s="6">
        <v>1.2269824E-2</v>
      </c>
      <c r="W317" s="6">
        <v>6.8165700000000001E-4</v>
      </c>
      <c r="X317" s="6">
        <v>5.0763000000000002E-4</v>
      </c>
      <c r="Y317" s="6">
        <v>0.10456327999999999</v>
      </c>
      <c r="Z317" s="6">
        <v>1.9656722000000001E-2</v>
      </c>
      <c r="AA317" s="6">
        <v>6.4050198000000003E-2</v>
      </c>
      <c r="AB317" s="6">
        <v>1.1606069E-2</v>
      </c>
      <c r="AC317" s="6">
        <v>4.7766523999999998E-2</v>
      </c>
      <c r="AD317" s="6">
        <v>8.4446799999999995E-3</v>
      </c>
      <c r="AE317" s="6">
        <v>7.1644598000000004E-2</v>
      </c>
      <c r="AF317" s="6">
        <v>1.3125842E-2</v>
      </c>
      <c r="AG317" s="6">
        <v>6.9230247360000003</v>
      </c>
      <c r="AH317" s="6">
        <v>0.35751279400000002</v>
      </c>
      <c r="AI317" s="6">
        <v>-8.7765964319999998</v>
      </c>
      <c r="AJ317" s="6">
        <v>0.45244757000000002</v>
      </c>
      <c r="AK317" s="6">
        <v>11.179901961000001</v>
      </c>
      <c r="AL317" s="6">
        <v>0.54696224199999999</v>
      </c>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row>
    <row r="318" spans="1:84" ht="16" x14ac:dyDescent="0.2">
      <c r="A318" s="4">
        <v>45861</v>
      </c>
      <c r="B318" s="19">
        <v>25204</v>
      </c>
      <c r="C318" s="5" t="s">
        <v>40</v>
      </c>
      <c r="D318" s="5">
        <v>28</v>
      </c>
      <c r="E318" s="53" t="s">
        <v>1367</v>
      </c>
      <c r="F318" s="6">
        <v>-19.7</v>
      </c>
      <c r="G318" s="5" t="s">
        <v>2</v>
      </c>
      <c r="H318" s="5" t="s">
        <v>3</v>
      </c>
      <c r="I318" s="5">
        <v>0.75</v>
      </c>
      <c r="J318" s="5">
        <v>36.9</v>
      </c>
      <c r="K318" s="5">
        <v>8.6</v>
      </c>
      <c r="L318" s="5">
        <v>5.0999999999999996</v>
      </c>
      <c r="M318" s="5"/>
      <c r="N318" s="5"/>
      <c r="O318" t="s">
        <v>720</v>
      </c>
      <c r="P318" s="6">
        <v>7.6532247999999997E-2</v>
      </c>
      <c r="Q318" s="6">
        <v>9.2321269999999997E-3</v>
      </c>
      <c r="R318" s="6">
        <v>954</v>
      </c>
      <c r="S318" s="6">
        <v>1.0736750000000001E-3</v>
      </c>
      <c r="T318" s="6">
        <v>5.6568542449999999</v>
      </c>
      <c r="U318" s="6">
        <v>0.116965254</v>
      </c>
      <c r="V318" s="6">
        <v>9.1794340000000002E-3</v>
      </c>
      <c r="W318" s="6">
        <v>5.0996899999999998E-4</v>
      </c>
      <c r="X318" s="6">
        <v>3.7895399999999998E-4</v>
      </c>
      <c r="Y318" s="6">
        <v>0.11596764399999999</v>
      </c>
      <c r="Z318" s="6">
        <v>1.2876532E-2</v>
      </c>
      <c r="AA318" s="6">
        <v>6.7861465999999995E-2</v>
      </c>
      <c r="AB318" s="6">
        <v>8.5666319999999994E-3</v>
      </c>
      <c r="AC318" s="6">
        <v>4.6296602999999999E-2</v>
      </c>
      <c r="AD318" s="6">
        <v>7.213573E-3</v>
      </c>
      <c r="AE318" s="6">
        <v>7.6532247999999997E-2</v>
      </c>
      <c r="AF318" s="6">
        <v>9.2321269999999997E-3</v>
      </c>
      <c r="AG318" s="6">
        <v>7.6009495820000001</v>
      </c>
      <c r="AH318" s="6">
        <v>0.71347477400000003</v>
      </c>
      <c r="AI318" s="6">
        <v>-10.700137810999999</v>
      </c>
      <c r="AJ318" s="6">
        <v>0.81506377600000002</v>
      </c>
      <c r="AK318" s="6">
        <v>13.128471741</v>
      </c>
      <c r="AL318" s="6">
        <v>1.0411028330000001</v>
      </c>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row>
    <row r="319" spans="1:84" ht="16" x14ac:dyDescent="0.2">
      <c r="A319" s="4">
        <v>45861</v>
      </c>
      <c r="B319" s="19">
        <v>25204</v>
      </c>
      <c r="C319" s="5" t="s">
        <v>40</v>
      </c>
      <c r="D319" s="5">
        <v>29</v>
      </c>
      <c r="E319" s="53" t="s">
        <v>1368</v>
      </c>
      <c r="F319" s="6">
        <v>10.4</v>
      </c>
      <c r="G319" s="5" t="s">
        <v>2</v>
      </c>
      <c r="H319" s="5" t="s">
        <v>3</v>
      </c>
      <c r="I319" s="5">
        <v>0.25</v>
      </c>
      <c r="J319" s="5">
        <v>28.9</v>
      </c>
      <c r="K319" s="5">
        <v>7.6</v>
      </c>
      <c r="L319" s="5">
        <v>4.2</v>
      </c>
      <c r="M319" s="5"/>
      <c r="N319" s="5"/>
      <c r="O319" t="s">
        <v>721</v>
      </c>
      <c r="P319" s="6">
        <v>1.8149531E-2</v>
      </c>
      <c r="Q319" s="6">
        <v>4.4195090000000003E-3</v>
      </c>
      <c r="R319" s="6">
        <v>281</v>
      </c>
      <c r="S319" s="6">
        <v>5.5886800000000002E-4</v>
      </c>
      <c r="T319" s="6">
        <v>3.9999999979999998</v>
      </c>
      <c r="U319" s="6">
        <v>0.15112605500000001</v>
      </c>
      <c r="V319" s="6">
        <v>3.698027E-3</v>
      </c>
      <c r="W319" s="6">
        <v>2.05446E-4</v>
      </c>
      <c r="X319" s="6">
        <v>2.11244E-4</v>
      </c>
      <c r="Y319" s="6">
        <v>2.6174538000000001E-2</v>
      </c>
      <c r="Z319" s="6">
        <v>6.3725090000000002E-3</v>
      </c>
      <c r="AA319" s="6">
        <v>1.6600335000000001E-2</v>
      </c>
      <c r="AB319" s="6">
        <v>4.0481479999999997E-3</v>
      </c>
      <c r="AC319" s="6">
        <v>1.094679E-2</v>
      </c>
      <c r="AD319" s="6">
        <v>2.6881930000000002E-3</v>
      </c>
      <c r="AE319" s="6">
        <v>1.8149531E-2</v>
      </c>
      <c r="AF319" s="6">
        <v>4.4195090000000003E-3</v>
      </c>
      <c r="AG319" s="6">
        <v>6.4365241060000002</v>
      </c>
      <c r="AH319" s="6">
        <v>0.235409802</v>
      </c>
      <c r="AI319" s="6">
        <v>-10.531126671000001</v>
      </c>
      <c r="AJ319" s="6">
        <v>0.45359083100000003</v>
      </c>
      <c r="AK319" s="6">
        <v>12.345097426000001</v>
      </c>
      <c r="AL319" s="6">
        <v>0.43927479800000002</v>
      </c>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row>
    <row r="320" spans="1:84" ht="16" x14ac:dyDescent="0.2">
      <c r="A320" s="4">
        <v>45861</v>
      </c>
      <c r="B320" s="19">
        <v>25204</v>
      </c>
      <c r="C320" s="5" t="s">
        <v>40</v>
      </c>
      <c r="D320" s="5">
        <v>30</v>
      </c>
      <c r="E320" s="53" t="s">
        <v>1369</v>
      </c>
      <c r="F320" s="6">
        <v>-40.5</v>
      </c>
      <c r="G320" s="5" t="s">
        <v>2</v>
      </c>
      <c r="H320" s="5" t="s">
        <v>5</v>
      </c>
      <c r="I320" s="5">
        <v>0.65</v>
      </c>
      <c r="J320" s="5">
        <v>34</v>
      </c>
      <c r="K320" s="5">
        <v>8.6999999999999993</v>
      </c>
      <c r="L320" s="5">
        <v>4.5999999999999996</v>
      </c>
      <c r="M320" s="5"/>
      <c r="N320" s="5"/>
      <c r="O320" t="s">
        <v>722</v>
      </c>
      <c r="P320" s="6">
        <v>6.3333105000000001E-2</v>
      </c>
      <c r="Q320" s="6">
        <v>9.0648150000000004E-3</v>
      </c>
      <c r="R320" s="6">
        <v>817</v>
      </c>
      <c r="S320" s="6">
        <v>9.9177800000000002E-4</v>
      </c>
      <c r="T320" s="6">
        <v>3.9999999979999998</v>
      </c>
      <c r="U320" s="6">
        <v>0.123020644</v>
      </c>
      <c r="V320" s="6">
        <v>8.0618870000000002E-3</v>
      </c>
      <c r="W320" s="6">
        <v>4.4788299999999999E-4</v>
      </c>
      <c r="X320" s="6">
        <v>3.7981199999999999E-4</v>
      </c>
      <c r="Y320" s="6">
        <v>9.2823128000000005E-2</v>
      </c>
      <c r="Z320" s="6">
        <v>1.3990259E-2</v>
      </c>
      <c r="AA320" s="6">
        <v>5.5855330000000002E-2</v>
      </c>
      <c r="AB320" s="6">
        <v>7.8882520000000001E-3</v>
      </c>
      <c r="AC320" s="6">
        <v>4.6215838000000002E-2</v>
      </c>
      <c r="AD320" s="6">
        <v>6.6923379999999999E-3</v>
      </c>
      <c r="AE320" s="6">
        <v>6.3333105000000001E-2</v>
      </c>
      <c r="AF320" s="6">
        <v>9.0648150000000004E-3</v>
      </c>
      <c r="AG320" s="6">
        <v>7.1488769650000004</v>
      </c>
      <c r="AH320" s="6">
        <v>0.68798063499999995</v>
      </c>
      <c r="AI320" s="6">
        <v>-7.2323997569999996</v>
      </c>
      <c r="AJ320" s="6">
        <v>0.46194894800000003</v>
      </c>
      <c r="AK320" s="6">
        <v>10.172295901</v>
      </c>
      <c r="AL320" s="6">
        <v>0.79062202000000004</v>
      </c>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row>
    <row r="321" spans="1:84" ht="16" x14ac:dyDescent="0.2">
      <c r="A321" s="4">
        <v>45861</v>
      </c>
      <c r="B321" s="19">
        <v>25204</v>
      </c>
      <c r="C321" s="5" t="s">
        <v>40</v>
      </c>
      <c r="D321" s="5">
        <v>31</v>
      </c>
      <c r="E321" s="53" t="s">
        <v>1370</v>
      </c>
      <c r="F321" s="6">
        <v>-12.8</v>
      </c>
      <c r="G321" s="5" t="s">
        <v>2</v>
      </c>
      <c r="H321" s="5" t="s">
        <v>3</v>
      </c>
      <c r="I321" s="5">
        <v>0.45</v>
      </c>
      <c r="J321" s="5">
        <v>33.6</v>
      </c>
      <c r="K321" s="5">
        <v>8</v>
      </c>
      <c r="L321" s="5">
        <v>4.5999999999999996</v>
      </c>
      <c r="M321" s="5"/>
      <c r="N321" s="5"/>
      <c r="O321" t="s">
        <v>723</v>
      </c>
      <c r="P321" s="6">
        <v>5.0478189999999999E-2</v>
      </c>
      <c r="Q321" s="6">
        <v>1.2996162E-2</v>
      </c>
      <c r="R321" s="6">
        <v>535</v>
      </c>
      <c r="S321" s="6">
        <v>1.3526740000000001E-3</v>
      </c>
      <c r="T321" s="6">
        <v>3.9999999979999998</v>
      </c>
      <c r="U321" s="6">
        <v>0.116186293</v>
      </c>
      <c r="V321" s="6">
        <v>1.1642282E-2</v>
      </c>
      <c r="W321" s="6">
        <v>6.46793E-4</v>
      </c>
      <c r="X321" s="6">
        <v>5.5201399999999998E-4</v>
      </c>
      <c r="Y321" s="6">
        <v>7.2946813999999999E-2</v>
      </c>
      <c r="Z321" s="6">
        <v>1.883025E-2</v>
      </c>
      <c r="AA321" s="6">
        <v>4.5276209999999997E-2</v>
      </c>
      <c r="AB321" s="6">
        <v>1.1778947999999999E-2</v>
      </c>
      <c r="AC321" s="6">
        <v>3.4506094000000001E-2</v>
      </c>
      <c r="AD321" s="6">
        <v>8.7809199999999994E-3</v>
      </c>
      <c r="AE321" s="6">
        <v>5.0478189999999999E-2</v>
      </c>
      <c r="AF321" s="6">
        <v>1.2996162E-2</v>
      </c>
      <c r="AG321" s="6">
        <v>6.7624691800000001</v>
      </c>
      <c r="AH321" s="6">
        <v>0.43879511399999999</v>
      </c>
      <c r="AI321" s="6">
        <v>-8.3224598360000002</v>
      </c>
      <c r="AJ321" s="6">
        <v>0.53695214000000002</v>
      </c>
      <c r="AK321" s="6">
        <v>10.729423453000001</v>
      </c>
      <c r="AL321" s="6">
        <v>0.59533345800000004</v>
      </c>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row>
    <row r="322" spans="1:84" ht="16" x14ac:dyDescent="0.2">
      <c r="A322" s="4">
        <v>45866</v>
      </c>
      <c r="B322" s="19">
        <v>25209</v>
      </c>
      <c r="C322" s="5" t="s">
        <v>42</v>
      </c>
      <c r="D322" s="5">
        <v>23</v>
      </c>
      <c r="E322" s="53" t="s">
        <v>1371</v>
      </c>
      <c r="F322" s="6">
        <v>7.8</v>
      </c>
      <c r="G322" s="5" t="s">
        <v>2</v>
      </c>
      <c r="H322" s="5" t="s">
        <v>6</v>
      </c>
      <c r="I322" s="5">
        <v>0.25</v>
      </c>
      <c r="J322" s="5">
        <v>24.5</v>
      </c>
      <c r="K322" s="5" t="s">
        <v>8</v>
      </c>
      <c r="L322" s="5" t="s">
        <v>8</v>
      </c>
      <c r="M322" s="5"/>
      <c r="N322" s="5"/>
      <c r="O322" t="s">
        <v>724</v>
      </c>
      <c r="P322" s="6">
        <v>6.0564380000000001E-2</v>
      </c>
      <c r="Q322" s="6">
        <v>1.0423742999999999E-2</v>
      </c>
      <c r="R322" s="6">
        <v>383</v>
      </c>
      <c r="S322" s="6">
        <v>1.194131E-3</v>
      </c>
      <c r="T322" s="6">
        <v>7.9999999920000002</v>
      </c>
      <c r="U322" s="6">
        <v>0.121980904</v>
      </c>
      <c r="V322" s="6">
        <v>9.7894920000000003E-3</v>
      </c>
      <c r="W322" s="6">
        <v>5.4386099999999998E-4</v>
      </c>
      <c r="X322" s="6">
        <v>4.6052099999999998E-4</v>
      </c>
      <c r="Y322" s="6">
        <v>8.8681914000000001E-2</v>
      </c>
      <c r="Z322" s="6">
        <v>1.3948066E-2</v>
      </c>
      <c r="AA322" s="6">
        <v>5.4364729000000001E-2</v>
      </c>
      <c r="AB322" s="6">
        <v>9.8584380000000006E-3</v>
      </c>
      <c r="AC322" s="6">
        <v>3.8233461000000003E-2</v>
      </c>
      <c r="AD322" s="6">
        <v>7.2948459999999998E-3</v>
      </c>
      <c r="AE322" s="6">
        <v>6.0564380000000001E-2</v>
      </c>
      <c r="AF322" s="6">
        <v>1.0423742999999999E-2</v>
      </c>
      <c r="AG322" s="6">
        <v>6.9930961290000004</v>
      </c>
      <c r="AH322" s="6">
        <v>0.49733362599999997</v>
      </c>
      <c r="AI322" s="6">
        <v>-9.8214233310000001</v>
      </c>
      <c r="AJ322" s="6">
        <v>0.53347172700000001</v>
      </c>
      <c r="AK322" s="6">
        <v>12.058619883</v>
      </c>
      <c r="AL322" s="6">
        <v>0.69659739399999998</v>
      </c>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row>
    <row r="323" spans="1:84" ht="16" x14ac:dyDescent="0.2">
      <c r="A323" s="4">
        <v>45866</v>
      </c>
      <c r="B323" s="19">
        <v>25209</v>
      </c>
      <c r="C323" s="5" t="s">
        <v>42</v>
      </c>
      <c r="D323" s="5">
        <v>24</v>
      </c>
      <c r="E323" s="53" t="s">
        <v>1372</v>
      </c>
      <c r="F323" s="6">
        <v>0.9</v>
      </c>
      <c r="G323" s="5" t="s">
        <v>2</v>
      </c>
      <c r="H323" s="5" t="s">
        <v>6</v>
      </c>
      <c r="I323" s="5">
        <v>0.25</v>
      </c>
      <c r="J323" s="5">
        <v>24.05</v>
      </c>
      <c r="K323" s="5" t="s">
        <v>8</v>
      </c>
      <c r="L323" s="5" t="s">
        <v>8</v>
      </c>
      <c r="M323" s="5"/>
      <c r="N323" s="5"/>
      <c r="O323" t="s">
        <v>725</v>
      </c>
      <c r="P323" s="6">
        <v>6.2109794000000003E-2</v>
      </c>
      <c r="Q323" s="6">
        <v>7.7368250000000001E-3</v>
      </c>
      <c r="R323" s="6">
        <v>410</v>
      </c>
      <c r="S323" s="6">
        <v>9.8986800000000008E-4</v>
      </c>
      <c r="T323" s="6">
        <v>3.9999999979999998</v>
      </c>
      <c r="U323" s="6">
        <v>0.142473196</v>
      </c>
      <c r="V323" s="6">
        <v>6.9477489999999996E-3</v>
      </c>
      <c r="W323" s="6">
        <v>3.85986E-4</v>
      </c>
      <c r="X323" s="6">
        <v>3.9579099999999999E-4</v>
      </c>
      <c r="Y323" s="6">
        <v>9.6227985000000002E-2</v>
      </c>
      <c r="Z323" s="6">
        <v>1.1737309E-2</v>
      </c>
      <c r="AA323" s="6">
        <v>5.3787247000000003E-2</v>
      </c>
      <c r="AB323" s="6">
        <v>6.8097670000000004E-3</v>
      </c>
      <c r="AC323" s="6">
        <v>3.8527219000000001E-2</v>
      </c>
      <c r="AD323" s="6">
        <v>5.181812E-3</v>
      </c>
      <c r="AE323" s="6">
        <v>6.2109794000000003E-2</v>
      </c>
      <c r="AF323" s="6">
        <v>7.7368250000000001E-3</v>
      </c>
      <c r="AG323" s="6">
        <v>8.2370113840000005</v>
      </c>
      <c r="AH323" s="6">
        <v>0.32983718099999998</v>
      </c>
      <c r="AI323" s="6">
        <v>-10.222994972</v>
      </c>
      <c r="AJ323" s="6">
        <v>0.62037501299999998</v>
      </c>
      <c r="AK323" s="6">
        <v>13.130261105000001</v>
      </c>
      <c r="AL323" s="6">
        <v>0.66915755399999999</v>
      </c>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row>
    <row r="324" spans="1:84" ht="16" x14ac:dyDescent="0.2">
      <c r="A324" s="4">
        <v>45866</v>
      </c>
      <c r="B324" s="19">
        <v>25209</v>
      </c>
      <c r="C324" s="5" t="s">
        <v>42</v>
      </c>
      <c r="D324" s="5">
        <v>25</v>
      </c>
      <c r="E324" s="53" t="s">
        <v>1373</v>
      </c>
      <c r="F324" s="6">
        <v>26.8</v>
      </c>
      <c r="G324" s="5" t="s">
        <v>2</v>
      </c>
      <c r="H324" s="5" t="s">
        <v>3</v>
      </c>
      <c r="I324" s="5">
        <v>0.9</v>
      </c>
      <c r="J324" s="5">
        <v>39.5</v>
      </c>
      <c r="K324" s="5">
        <v>9.6</v>
      </c>
      <c r="L324" s="5">
        <v>5.4</v>
      </c>
      <c r="M324" s="5"/>
      <c r="N324" s="5"/>
      <c r="O324" t="s">
        <v>726</v>
      </c>
      <c r="P324" s="6">
        <v>6.6430798999999999E-2</v>
      </c>
      <c r="Q324" s="6">
        <v>7.4625610000000004E-3</v>
      </c>
      <c r="R324" s="6">
        <v>1107</v>
      </c>
      <c r="S324" s="6">
        <v>8.8280800000000001E-4</v>
      </c>
      <c r="T324" s="6">
        <v>7.9999999920000002</v>
      </c>
      <c r="U324" s="6">
        <v>0.124598845</v>
      </c>
      <c r="V324" s="6">
        <v>7.0852019999999996E-3</v>
      </c>
      <c r="W324" s="6">
        <v>3.9362199999999999E-4</v>
      </c>
      <c r="X324" s="6">
        <v>3.3618199999999997E-4</v>
      </c>
      <c r="Y324" s="6">
        <v>9.2322640999999997E-2</v>
      </c>
      <c r="Z324" s="6">
        <v>1.2438833E-2</v>
      </c>
      <c r="AA324" s="6">
        <v>6.0908128999999998E-2</v>
      </c>
      <c r="AB324" s="6">
        <v>6.8079530000000003E-3</v>
      </c>
      <c r="AC324" s="6">
        <v>4.9323556999999997E-2</v>
      </c>
      <c r="AD324" s="6">
        <v>4.9995370000000001E-3</v>
      </c>
      <c r="AE324" s="6">
        <v>6.6430798999999999E-2</v>
      </c>
      <c r="AF324" s="6">
        <v>7.4625610000000004E-3</v>
      </c>
      <c r="AG324" s="6">
        <v>5.8466287640000001</v>
      </c>
      <c r="AH324" s="6">
        <v>0.76907272299999996</v>
      </c>
      <c r="AI324" s="6">
        <v>-6.7956376609999998</v>
      </c>
      <c r="AJ324" s="6">
        <v>1.887411771</v>
      </c>
      <c r="AK324" s="6">
        <v>8.9975437700000001</v>
      </c>
      <c r="AL324" s="6">
        <v>1.8871210759999999</v>
      </c>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row>
    <row r="325" spans="1:84" ht="16" x14ac:dyDescent="0.2">
      <c r="A325" s="4">
        <v>45866</v>
      </c>
      <c r="B325" s="19">
        <v>25209</v>
      </c>
      <c r="C325" s="5" t="s">
        <v>42</v>
      </c>
      <c r="D325" s="5">
        <v>26</v>
      </c>
      <c r="E325" s="53" t="s">
        <v>1374</v>
      </c>
      <c r="F325">
        <v>5.5</v>
      </c>
      <c r="G325" s="43" t="s">
        <v>12</v>
      </c>
      <c r="H325" s="5" t="s">
        <v>6</v>
      </c>
      <c r="I325" s="5">
        <v>0.25</v>
      </c>
      <c r="J325" s="5">
        <v>23.9</v>
      </c>
      <c r="K325" s="5" t="s">
        <v>8</v>
      </c>
      <c r="L325" s="5" t="s">
        <v>8</v>
      </c>
      <c r="M325" s="5"/>
      <c r="N325" s="5"/>
      <c r="O325" s="9" t="s">
        <v>704</v>
      </c>
      <c r="P325" s="6">
        <v>2.3107419000000001E-2</v>
      </c>
      <c r="Q325" s="6">
        <v>8.3300809999999996E-3</v>
      </c>
      <c r="R325" s="6">
        <v>441</v>
      </c>
      <c r="S325" s="6">
        <v>9.0821000000000001E-4</v>
      </c>
      <c r="T325" s="6">
        <v>2.8284271240000001</v>
      </c>
      <c r="U325" s="6">
        <v>0.13361099100000001</v>
      </c>
      <c r="V325" s="6">
        <v>6.7974159999999997E-3</v>
      </c>
      <c r="W325" s="6">
        <v>3.7763400000000001E-4</v>
      </c>
      <c r="X325" s="6">
        <v>3.2434400000000001E-4</v>
      </c>
      <c r="Y325" s="6">
        <v>2.4687226999999999E-2</v>
      </c>
      <c r="Z325" s="6">
        <v>9.0201499999999993E-3</v>
      </c>
      <c r="AA325" s="6">
        <v>2.3187631E-2</v>
      </c>
      <c r="AB325" s="6">
        <v>8.3759079999999996E-3</v>
      </c>
      <c r="AC325" s="6">
        <v>2.4455722999999999E-2</v>
      </c>
      <c r="AD325" s="6">
        <v>8.7669989999999993E-3</v>
      </c>
      <c r="AE325" s="6">
        <v>2.3107419000000001E-2</v>
      </c>
      <c r="AF325" s="6">
        <v>8.3300809999999996E-3</v>
      </c>
      <c r="AG325" s="6">
        <v>0.81741264999999996</v>
      </c>
      <c r="AH325" s="6">
        <v>0.43850316299999997</v>
      </c>
      <c r="AI325" s="6">
        <v>0.42522042500000001</v>
      </c>
      <c r="AJ325" s="6">
        <v>0.41410050300000001</v>
      </c>
      <c r="AK325" s="6">
        <v>1.0308023850000001</v>
      </c>
      <c r="AL325" s="6">
        <v>0.38691232199999998</v>
      </c>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row>
    <row r="326" spans="1:84" ht="16" x14ac:dyDescent="0.2">
      <c r="A326" s="4">
        <v>45866</v>
      </c>
      <c r="B326" s="19">
        <v>25209</v>
      </c>
      <c r="C326" s="5" t="s">
        <v>42</v>
      </c>
      <c r="D326" s="5">
        <v>27</v>
      </c>
      <c r="E326" s="53" t="s">
        <v>1375</v>
      </c>
      <c r="F326" s="6">
        <v>-18.3</v>
      </c>
      <c r="G326" s="5" t="s">
        <v>2</v>
      </c>
      <c r="H326" s="5" t="s">
        <v>5</v>
      </c>
      <c r="I326" s="5">
        <v>0.45</v>
      </c>
      <c r="J326" s="5">
        <v>29.25</v>
      </c>
      <c r="K326" s="5">
        <v>8.15</v>
      </c>
      <c r="L326" s="5">
        <v>4.5999999999999996</v>
      </c>
      <c r="M326" s="5"/>
      <c r="N326" s="5"/>
      <c r="O326" t="s">
        <v>727</v>
      </c>
      <c r="P326" s="6">
        <v>7.2062186E-2</v>
      </c>
      <c r="Q326" s="6">
        <v>1.0837598E-2</v>
      </c>
      <c r="R326" s="6">
        <v>678</v>
      </c>
      <c r="S326" s="6">
        <v>1.181388E-3</v>
      </c>
      <c r="T326" s="6">
        <v>3.9999999979999998</v>
      </c>
      <c r="U326" s="6">
        <v>0.120271687</v>
      </c>
      <c r="V326" s="6">
        <v>9.8226630000000006E-3</v>
      </c>
      <c r="W326" s="6">
        <v>5.4570400000000005E-4</v>
      </c>
      <c r="X326" s="6">
        <v>4.57947E-4</v>
      </c>
      <c r="Y326" s="6">
        <v>0.108608091</v>
      </c>
      <c r="Z326" s="6">
        <v>1.6118430999999999E-2</v>
      </c>
      <c r="AA326" s="6">
        <v>6.3663648000000003E-2</v>
      </c>
      <c r="AB326" s="6">
        <v>9.9446940000000005E-3</v>
      </c>
      <c r="AC326" s="6">
        <v>4.5221361000000002E-2</v>
      </c>
      <c r="AD326" s="6">
        <v>6.282663E-3</v>
      </c>
      <c r="AE326" s="6">
        <v>7.2062186E-2</v>
      </c>
      <c r="AF326" s="6">
        <v>1.0837598E-2</v>
      </c>
      <c r="AG326" s="6">
        <v>7.5779365739999998</v>
      </c>
      <c r="AH326" s="6">
        <v>0.32862782200000001</v>
      </c>
      <c r="AI326" s="6">
        <v>-9.8990606420000002</v>
      </c>
      <c r="AJ326" s="6">
        <v>0.79880850800000003</v>
      </c>
      <c r="AK326" s="6">
        <v>12.475265711</v>
      </c>
      <c r="AL326" s="6">
        <v>0.72804014399999994</v>
      </c>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row>
    <row r="327" spans="1:84" ht="16" x14ac:dyDescent="0.2">
      <c r="A327" s="4">
        <v>45866</v>
      </c>
      <c r="B327" s="19">
        <v>25209</v>
      </c>
      <c r="C327" s="5" t="s">
        <v>42</v>
      </c>
      <c r="D327" s="25">
        <v>28</v>
      </c>
      <c r="E327" s="53" t="s">
        <v>1376</v>
      </c>
      <c r="F327">
        <v>12.1</v>
      </c>
      <c r="G327" s="5" t="s">
        <v>2</v>
      </c>
      <c r="H327" s="5" t="s">
        <v>6</v>
      </c>
      <c r="I327" s="5">
        <v>0.2</v>
      </c>
      <c r="J327" s="5">
        <v>23.15</v>
      </c>
      <c r="K327" s="5" t="s">
        <v>8</v>
      </c>
      <c r="L327" s="5" t="s">
        <v>8</v>
      </c>
      <c r="M327" s="5"/>
      <c r="N327" s="5"/>
      <c r="O327" t="s">
        <v>710</v>
      </c>
      <c r="P327" s="6">
        <v>6.3885169000000006E-2</v>
      </c>
      <c r="Q327" s="6">
        <v>1.9627101000000001E-2</v>
      </c>
      <c r="R327" s="6">
        <v>377</v>
      </c>
      <c r="S327" s="6">
        <v>2.0493629999999998E-3</v>
      </c>
      <c r="T327" s="6">
        <v>31.999999932000001</v>
      </c>
      <c r="U327" s="6">
        <v>0.112003398</v>
      </c>
      <c r="V327" s="6">
        <v>1.8297330000000001E-2</v>
      </c>
      <c r="W327" s="6">
        <v>1.0165179999999999E-3</v>
      </c>
      <c r="X327" s="6">
        <v>7.9103099999999998E-4</v>
      </c>
      <c r="Y327" s="6">
        <v>9.6336174999999996E-2</v>
      </c>
      <c r="Z327" s="6">
        <v>3.0334277999999999E-2</v>
      </c>
      <c r="AA327" s="6">
        <v>5.7153022999999997E-2</v>
      </c>
      <c r="AB327" s="6">
        <v>1.7294967000000001E-2</v>
      </c>
      <c r="AC327" s="6">
        <v>3.6297995E-2</v>
      </c>
      <c r="AD327" s="6">
        <v>1.1012378999999999E-2</v>
      </c>
      <c r="AE327" s="6">
        <v>6.3885169000000006E-2</v>
      </c>
      <c r="AF327" s="6">
        <v>1.9627101000000001E-2</v>
      </c>
      <c r="AG327" s="6">
        <v>7.2992544669999999</v>
      </c>
      <c r="AH327" s="6">
        <v>0.301641563</v>
      </c>
      <c r="AI327" s="6">
        <v>-11.643346730999999</v>
      </c>
      <c r="AJ327" s="6">
        <v>0.63070289400000001</v>
      </c>
      <c r="AK327" s="6">
        <v>13.745771699000001</v>
      </c>
      <c r="AL327" s="6">
        <v>0.62362576700000005</v>
      </c>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row>
    <row r="328" spans="1:84" ht="16" x14ac:dyDescent="0.2">
      <c r="A328" s="4">
        <v>45866</v>
      </c>
      <c r="B328" s="19">
        <v>25209</v>
      </c>
      <c r="C328" s="5" t="s">
        <v>42</v>
      </c>
      <c r="D328" s="5">
        <v>29</v>
      </c>
      <c r="E328" s="53" t="s">
        <v>1377</v>
      </c>
      <c r="F328" s="6">
        <v>-39</v>
      </c>
      <c r="G328" s="5" t="s">
        <v>2</v>
      </c>
      <c r="H328" s="5" t="s">
        <v>6</v>
      </c>
      <c r="I328" s="5">
        <v>0.2</v>
      </c>
      <c r="J328" s="5">
        <v>24.1</v>
      </c>
      <c r="K328" s="5" t="s">
        <v>8</v>
      </c>
      <c r="L328" s="5" t="s">
        <v>8</v>
      </c>
      <c r="M328" s="5"/>
      <c r="N328" s="5"/>
      <c r="O328" t="s">
        <v>728</v>
      </c>
      <c r="P328" s="6">
        <v>3.9493001E-2</v>
      </c>
      <c r="Q328" s="6">
        <v>7.6884960000000004E-3</v>
      </c>
      <c r="R328" s="6">
        <v>374</v>
      </c>
      <c r="S328" s="6">
        <v>8.3640299999999999E-4</v>
      </c>
      <c r="T328" s="6">
        <v>3.9999999979999998</v>
      </c>
      <c r="U328" s="6">
        <v>0.11102780600000001</v>
      </c>
      <c r="V328" s="6">
        <v>7.5332710000000002E-3</v>
      </c>
      <c r="W328" s="6">
        <v>4.18515E-4</v>
      </c>
      <c r="X328" s="6">
        <v>3.0778400000000002E-4</v>
      </c>
      <c r="Y328" s="6">
        <v>5.8786934999999998E-2</v>
      </c>
      <c r="Z328" s="6">
        <v>1.1147089000000001E-2</v>
      </c>
      <c r="AA328" s="6">
        <v>3.4598611000000001E-2</v>
      </c>
      <c r="AB328" s="6">
        <v>6.8632750000000003E-3</v>
      </c>
      <c r="AC328" s="6">
        <v>2.7435563999999999E-2</v>
      </c>
      <c r="AD328" s="6">
        <v>5.5956590000000002E-3</v>
      </c>
      <c r="AE328" s="6">
        <v>3.9493001E-2</v>
      </c>
      <c r="AF328" s="6">
        <v>7.6884960000000004E-3</v>
      </c>
      <c r="AG328" s="6">
        <v>7.5259652279999996</v>
      </c>
      <c r="AH328" s="6">
        <v>0.33401679400000001</v>
      </c>
      <c r="AI328" s="6">
        <v>-8.1669653100000001</v>
      </c>
      <c r="AJ328" s="6">
        <v>0.46861013200000001</v>
      </c>
      <c r="AK328" s="6">
        <v>11.109125782</v>
      </c>
      <c r="AL328" s="6">
        <v>0.50770769000000004</v>
      </c>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row>
    <row r="329" spans="1:84" ht="16" x14ac:dyDescent="0.2">
      <c r="A329" s="4">
        <v>45866</v>
      </c>
      <c r="B329" s="19">
        <v>25209</v>
      </c>
      <c r="C329" s="5" t="s">
        <v>42</v>
      </c>
      <c r="D329" s="5">
        <v>30</v>
      </c>
      <c r="E329" s="53" t="s">
        <v>1378</v>
      </c>
      <c r="F329">
        <v>3.9</v>
      </c>
      <c r="G329" s="5" t="s">
        <v>2</v>
      </c>
      <c r="H329" s="5" t="s">
        <v>5</v>
      </c>
      <c r="I329" s="5">
        <v>0.95</v>
      </c>
      <c r="J329" s="5">
        <v>40.15</v>
      </c>
      <c r="K329" s="5">
        <v>9.6999999999999993</v>
      </c>
      <c r="L329" s="5">
        <v>5.8</v>
      </c>
      <c r="M329" s="5"/>
      <c r="N329" s="5"/>
      <c r="O329" t="s">
        <v>729</v>
      </c>
      <c r="P329" s="6">
        <v>5.1225568999999999E-2</v>
      </c>
      <c r="Q329" s="6">
        <v>6.279237E-3</v>
      </c>
      <c r="R329" s="6">
        <v>1089</v>
      </c>
      <c r="S329" s="6">
        <v>8.0128399999999998E-4</v>
      </c>
      <c r="T329" s="6">
        <v>5.6568542449999999</v>
      </c>
      <c r="U329" s="6">
        <v>0.130940741</v>
      </c>
      <c r="V329" s="6">
        <v>6.119439E-3</v>
      </c>
      <c r="W329" s="6">
        <v>3.3996900000000002E-4</v>
      </c>
      <c r="X329" s="6">
        <v>2.6843599999999999E-4</v>
      </c>
      <c r="Y329" s="6">
        <v>6.3336826999999998E-2</v>
      </c>
      <c r="Z329" s="6">
        <v>7.6034989999999997E-3</v>
      </c>
      <c r="AA329" s="6">
        <v>4.9538463999999997E-2</v>
      </c>
      <c r="AB329" s="6">
        <v>6.1736819999999998E-3</v>
      </c>
      <c r="AC329" s="6">
        <v>4.4770736999999998E-2</v>
      </c>
      <c r="AD329" s="6">
        <v>6.304413E-3</v>
      </c>
      <c r="AE329" s="6">
        <v>5.1225568999999999E-2</v>
      </c>
      <c r="AF329" s="6">
        <v>6.279237E-3</v>
      </c>
      <c r="AG329" s="6">
        <v>3.4837447269999999</v>
      </c>
      <c r="AH329" s="6">
        <v>0.73535514700000004</v>
      </c>
      <c r="AI329" s="6">
        <v>-3.7211207439999998</v>
      </c>
      <c r="AJ329" s="6">
        <v>0.80425149399999996</v>
      </c>
      <c r="AK329" s="6">
        <v>5.1261019799999996</v>
      </c>
      <c r="AL329" s="6">
        <v>0.94530047900000003</v>
      </c>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row>
    <row r="330" spans="1:84" ht="16" x14ac:dyDescent="0.2">
      <c r="A330" s="4">
        <v>45866</v>
      </c>
      <c r="B330" s="19">
        <v>25209</v>
      </c>
      <c r="C330" s="5" t="s">
        <v>42</v>
      </c>
      <c r="D330" s="5">
        <v>31</v>
      </c>
      <c r="E330" s="53" t="s">
        <v>1379</v>
      </c>
      <c r="F330" s="6">
        <v>31.9</v>
      </c>
      <c r="G330" s="5" t="s">
        <v>2</v>
      </c>
      <c r="H330" s="5" t="s">
        <v>3</v>
      </c>
      <c r="I330" s="5">
        <v>0.3</v>
      </c>
      <c r="J330" s="5">
        <v>30.6</v>
      </c>
      <c r="K330" s="5">
        <v>7.9</v>
      </c>
      <c r="L330" s="5">
        <v>4.4000000000000004</v>
      </c>
      <c r="M330" s="5"/>
      <c r="N330" s="5"/>
      <c r="O330" t="s">
        <v>730</v>
      </c>
      <c r="P330" s="6">
        <v>6.0819032000000002E-2</v>
      </c>
      <c r="Q330" s="6">
        <v>1.3335121E-2</v>
      </c>
      <c r="R330" s="6">
        <v>529</v>
      </c>
      <c r="S330" s="6">
        <v>1.4866230000000001E-3</v>
      </c>
      <c r="T330" s="6">
        <v>3.9999999979999998</v>
      </c>
      <c r="U330" s="6">
        <v>0.13291040400000001</v>
      </c>
      <c r="V330" s="6">
        <v>1.1185151000000001E-2</v>
      </c>
      <c r="W330" s="6">
        <v>6.2139699999999999E-4</v>
      </c>
      <c r="X330" s="6">
        <v>5.8038499999999999E-4</v>
      </c>
      <c r="Y330" s="6">
        <v>9.0892126000000004E-2</v>
      </c>
      <c r="Z330" s="6">
        <v>1.9405942999999998E-2</v>
      </c>
      <c r="AA330" s="6">
        <v>5.4199443999999999E-2</v>
      </c>
      <c r="AB330" s="6">
        <v>1.2275261000000001E-2</v>
      </c>
      <c r="AC330" s="6">
        <v>3.8017861999999999E-2</v>
      </c>
      <c r="AD330" s="6">
        <v>8.7677250000000005E-3</v>
      </c>
      <c r="AE330" s="6">
        <v>6.0819032000000002E-2</v>
      </c>
      <c r="AF330" s="6">
        <v>1.3335121E-2</v>
      </c>
      <c r="AG330" s="6">
        <v>7.3681751330000003</v>
      </c>
      <c r="AH330" s="6">
        <v>0.79843780499999994</v>
      </c>
      <c r="AI330" s="6">
        <v>-10.039801118</v>
      </c>
      <c r="AJ330" s="6">
        <v>1.031684571</v>
      </c>
      <c r="AK330" s="6">
        <v>12.456654089000001</v>
      </c>
      <c r="AL330" s="6">
        <v>1.2732253710000001</v>
      </c>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row>
    <row r="331" spans="1:84" ht="16" x14ac:dyDescent="0.2">
      <c r="A331" s="4">
        <v>45866</v>
      </c>
      <c r="B331" s="19">
        <v>25209</v>
      </c>
      <c r="C331" s="5" t="s">
        <v>42</v>
      </c>
      <c r="D331" s="25">
        <v>32</v>
      </c>
      <c r="E331" s="53" t="s">
        <v>1380</v>
      </c>
      <c r="F331">
        <v>38.9</v>
      </c>
      <c r="G331" s="43" t="s">
        <v>12</v>
      </c>
      <c r="H331" s="5" t="s">
        <v>6</v>
      </c>
      <c r="I331" s="5">
        <v>0.3</v>
      </c>
      <c r="J331" s="5">
        <v>26.85</v>
      </c>
      <c r="K331" s="5" t="s">
        <v>8</v>
      </c>
      <c r="L331" s="5" t="s">
        <v>8</v>
      </c>
      <c r="M331" s="5"/>
      <c r="N331" s="5"/>
      <c r="O331" t="s">
        <v>677</v>
      </c>
      <c r="P331" s="6">
        <v>3.9925797999999998E-2</v>
      </c>
      <c r="Q331" s="6">
        <v>7.387355E-3</v>
      </c>
      <c r="R331" s="6">
        <v>585</v>
      </c>
      <c r="S331" s="6">
        <v>8.3708999999999997E-4</v>
      </c>
      <c r="T331" s="6">
        <v>45.254833888</v>
      </c>
      <c r="U331" s="6">
        <v>0.11311840300000001</v>
      </c>
      <c r="V331" s="6">
        <v>7.4001220000000003E-3</v>
      </c>
      <c r="W331" s="6">
        <v>4.1111799999999998E-4</v>
      </c>
      <c r="X331" s="6">
        <v>3.2150899999999999E-4</v>
      </c>
      <c r="Y331" s="6">
        <v>4.4945372999999997E-2</v>
      </c>
      <c r="Z331" s="6">
        <v>8.0005700000000003E-3</v>
      </c>
      <c r="AA331" s="6">
        <v>4.0674828000000003E-2</v>
      </c>
      <c r="AB331" s="6">
        <v>7.6635360000000003E-3</v>
      </c>
      <c r="AC331" s="6">
        <v>3.5923521999999999E-2</v>
      </c>
      <c r="AD331" s="6">
        <v>6.920903E-3</v>
      </c>
      <c r="AE331" s="6">
        <v>3.9925797999999998E-2</v>
      </c>
      <c r="AF331" s="6">
        <v>7.387355E-3</v>
      </c>
      <c r="AG331" s="6">
        <v>1.449057797</v>
      </c>
      <c r="AH331" s="6">
        <v>0.32756873199999997</v>
      </c>
      <c r="AI331" s="6">
        <v>-2.8873263919999999</v>
      </c>
      <c r="AJ331" s="6">
        <v>0.835995033</v>
      </c>
      <c r="AK331" s="6">
        <v>3.2476235510000002</v>
      </c>
      <c r="AL331" s="6">
        <v>0.83388430999999996</v>
      </c>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row>
    <row r="332" spans="1:84" ht="16" x14ac:dyDescent="0.2">
      <c r="A332" s="4">
        <v>45866</v>
      </c>
      <c r="B332" s="19">
        <v>25209</v>
      </c>
      <c r="C332" s="5" t="s">
        <v>42</v>
      </c>
      <c r="D332" s="5">
        <v>33</v>
      </c>
      <c r="E332" s="53" t="s">
        <v>1381</v>
      </c>
      <c r="F332" s="6">
        <v>-11</v>
      </c>
      <c r="G332" s="5" t="s">
        <v>2</v>
      </c>
      <c r="H332" s="5" t="s">
        <v>3</v>
      </c>
      <c r="I332" s="5">
        <v>0.45</v>
      </c>
      <c r="J332" s="5">
        <v>31.2</v>
      </c>
      <c r="K332" s="5">
        <v>8</v>
      </c>
      <c r="L332" s="5">
        <v>4.55</v>
      </c>
      <c r="M332" s="5"/>
      <c r="N332" s="5"/>
      <c r="O332" t="s">
        <v>731</v>
      </c>
      <c r="P332" s="6">
        <v>6.2114125999999999E-2</v>
      </c>
      <c r="Q332" s="6">
        <v>1.3643959000000001E-2</v>
      </c>
      <c r="R332" s="6">
        <v>619</v>
      </c>
      <c r="S332" s="6">
        <v>1.429409E-3</v>
      </c>
      <c r="T332" s="6">
        <v>2</v>
      </c>
      <c r="U332" s="6">
        <v>0.117361046</v>
      </c>
      <c r="V332" s="6">
        <v>1.2179583000000001E-2</v>
      </c>
      <c r="W332" s="6">
        <v>6.7664299999999999E-4</v>
      </c>
      <c r="X332" s="6">
        <v>4.9451499999999995E-4</v>
      </c>
      <c r="Y332" s="6">
        <v>8.8010758999999994E-2</v>
      </c>
      <c r="Z332" s="6">
        <v>1.9141476000000001E-2</v>
      </c>
      <c r="AA332" s="6">
        <v>5.6655622000000003E-2</v>
      </c>
      <c r="AB332" s="6">
        <v>1.2583436E-2</v>
      </c>
      <c r="AC332" s="6">
        <v>4.2990230999999997E-2</v>
      </c>
      <c r="AD332" s="6">
        <v>9.602981E-3</v>
      </c>
      <c r="AE332" s="6">
        <v>6.2114125999999999E-2</v>
      </c>
      <c r="AF332" s="6">
        <v>1.3643959000000001E-2</v>
      </c>
      <c r="AG332" s="6">
        <v>6.2515829820000004</v>
      </c>
      <c r="AH332" s="6">
        <v>0.31495103400000002</v>
      </c>
      <c r="AI332" s="6">
        <v>-8.1283949310000008</v>
      </c>
      <c r="AJ332" s="6">
        <v>0.43720583000000002</v>
      </c>
      <c r="AK332" s="6">
        <v>10.256258934</v>
      </c>
      <c r="AL332" s="6">
        <v>0.50252267399999995</v>
      </c>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row>
    <row r="333" spans="1:84" ht="16" x14ac:dyDescent="0.2">
      <c r="A333" s="4">
        <v>45866</v>
      </c>
      <c r="B333" s="19">
        <v>25209</v>
      </c>
      <c r="C333" s="5" t="s">
        <v>42</v>
      </c>
      <c r="D333" s="5">
        <v>34</v>
      </c>
      <c r="E333" s="53" t="s">
        <v>1382</v>
      </c>
      <c r="F333">
        <v>17.8</v>
      </c>
      <c r="G333" s="5" t="s">
        <v>2</v>
      </c>
      <c r="H333" s="5" t="s">
        <v>5</v>
      </c>
      <c r="I333" s="5">
        <v>0.75</v>
      </c>
      <c r="J333" s="5">
        <v>36.6</v>
      </c>
      <c r="K333" s="5">
        <v>9.75</v>
      </c>
      <c r="L333" s="5">
        <v>5.45</v>
      </c>
      <c r="M333" s="5"/>
      <c r="N333" s="5"/>
      <c r="O333" t="s">
        <v>732</v>
      </c>
      <c r="P333" s="6">
        <v>8.0169592999999997E-2</v>
      </c>
      <c r="Q333" s="6">
        <v>9.5959249999999999E-3</v>
      </c>
      <c r="R333" s="6">
        <v>1037</v>
      </c>
      <c r="S333" s="6">
        <v>1.0039160000000001E-3</v>
      </c>
      <c r="T333" s="6">
        <v>3.9999999979999998</v>
      </c>
      <c r="U333" s="6">
        <v>0.112019173</v>
      </c>
      <c r="V333" s="6">
        <v>8.9620010000000007E-3</v>
      </c>
      <c r="W333" s="6">
        <v>4.9788899999999995E-4</v>
      </c>
      <c r="X333" s="6">
        <v>3.8235199999999997E-4</v>
      </c>
      <c r="Y333" s="6">
        <v>0.123207784</v>
      </c>
      <c r="Z333" s="6">
        <v>1.5703930000000001E-2</v>
      </c>
      <c r="AA333" s="6">
        <v>6.9267146000000002E-2</v>
      </c>
      <c r="AB333" s="6">
        <v>8.3089099999999992E-3</v>
      </c>
      <c r="AC333" s="6">
        <v>5.1747324999999997E-2</v>
      </c>
      <c r="AD333" s="6">
        <v>5.704967E-3</v>
      </c>
      <c r="AE333" s="6">
        <v>8.0169592999999997E-2</v>
      </c>
      <c r="AF333" s="6">
        <v>9.5959249999999999E-3</v>
      </c>
      <c r="AG333" s="6">
        <v>8.1328064169999994</v>
      </c>
      <c r="AH333" s="6">
        <v>0.705393033</v>
      </c>
      <c r="AI333" s="6">
        <v>-9.4344016889999995</v>
      </c>
      <c r="AJ333" s="6">
        <v>0.73088850000000005</v>
      </c>
      <c r="AK333" s="6">
        <v>12.459269432999999</v>
      </c>
      <c r="AL333" s="6">
        <v>0.97405223500000004</v>
      </c>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row>
    <row r="334" spans="1:84" ht="16" x14ac:dyDescent="0.2">
      <c r="A334" s="4">
        <v>45866</v>
      </c>
      <c r="B334" s="19">
        <v>25209</v>
      </c>
      <c r="C334" s="5" t="s">
        <v>42</v>
      </c>
      <c r="D334" s="5">
        <v>35</v>
      </c>
      <c r="E334" s="53" t="s">
        <v>1383</v>
      </c>
      <c r="F334" s="6">
        <v>10.8</v>
      </c>
      <c r="G334" s="5" t="s">
        <v>2</v>
      </c>
      <c r="H334" s="5" t="s">
        <v>6</v>
      </c>
      <c r="I334" s="5">
        <v>0.25</v>
      </c>
      <c r="J334" s="5">
        <v>26.85</v>
      </c>
      <c r="K334" s="5" t="s">
        <v>8</v>
      </c>
      <c r="L334" s="5" t="s">
        <v>8</v>
      </c>
      <c r="M334" s="5"/>
      <c r="N334" s="5"/>
      <c r="O334" t="s">
        <v>733</v>
      </c>
      <c r="P334" s="6">
        <v>3.6650714000000001E-2</v>
      </c>
      <c r="Q334" s="6">
        <v>1.1225956E-2</v>
      </c>
      <c r="R334" s="6">
        <v>366</v>
      </c>
      <c r="S334" s="6">
        <v>1.352919E-3</v>
      </c>
      <c r="T334" s="6">
        <v>3.9999999979999998</v>
      </c>
      <c r="U334" s="6">
        <v>0.13471195999999999</v>
      </c>
      <c r="V334" s="6">
        <v>1.0043053999999999E-2</v>
      </c>
      <c r="W334" s="6">
        <v>5.5794700000000004E-4</v>
      </c>
      <c r="X334" s="6">
        <v>4.4722300000000001E-4</v>
      </c>
      <c r="Y334" s="6">
        <v>5.3723883E-2</v>
      </c>
      <c r="Z334" s="6">
        <v>1.7426086E-2</v>
      </c>
      <c r="AA334" s="6">
        <v>3.2834947000000003E-2</v>
      </c>
      <c r="AB334" s="6">
        <v>9.6193700000000004E-3</v>
      </c>
      <c r="AC334" s="6">
        <v>2.4085867E-2</v>
      </c>
      <c r="AD334" s="6">
        <v>7.0542419999999996E-3</v>
      </c>
      <c r="AE334" s="6">
        <v>3.6650714000000001E-2</v>
      </c>
      <c r="AF334" s="6">
        <v>1.1225956E-2</v>
      </c>
      <c r="AG334" s="6">
        <v>6.7948403849999996</v>
      </c>
      <c r="AH334" s="6">
        <v>0.67980656900000003</v>
      </c>
      <c r="AI334" s="6">
        <v>-8.9735353530000008</v>
      </c>
      <c r="AJ334" s="6">
        <v>0.46719468800000002</v>
      </c>
      <c r="AK334" s="6">
        <v>11.260791403000001</v>
      </c>
      <c r="AL334" s="6">
        <v>0.75423621600000001</v>
      </c>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row>
    <row r="335" spans="1:84" ht="16" x14ac:dyDescent="0.2">
      <c r="A335" s="4">
        <v>45866</v>
      </c>
      <c r="B335" s="19">
        <v>25209</v>
      </c>
      <c r="C335" s="5" t="s">
        <v>42</v>
      </c>
      <c r="D335" s="25">
        <v>36</v>
      </c>
      <c r="E335" s="53" t="s">
        <v>1384</v>
      </c>
      <c r="F335">
        <v>33.799999999999997</v>
      </c>
      <c r="G335" s="5" t="s">
        <v>2</v>
      </c>
      <c r="H335" s="5" t="s">
        <v>3</v>
      </c>
      <c r="I335" s="5">
        <v>0.35</v>
      </c>
      <c r="J335" s="5">
        <v>31.3</v>
      </c>
      <c r="K335" s="5">
        <v>8</v>
      </c>
      <c r="L335" s="5">
        <v>4.9000000000000004</v>
      </c>
      <c r="M335" s="5"/>
      <c r="N335" s="5"/>
      <c r="O335" t="s">
        <v>711</v>
      </c>
      <c r="P335" s="6">
        <v>6.5516334999999995E-2</v>
      </c>
      <c r="Q335" s="6">
        <v>1.0250944E-2</v>
      </c>
      <c r="R335" s="6">
        <v>685</v>
      </c>
      <c r="S335" s="6">
        <v>1.157003E-3</v>
      </c>
      <c r="T335" s="6">
        <v>3.9999999979999998</v>
      </c>
      <c r="U335" s="6">
        <v>0.12292871700000001</v>
      </c>
      <c r="V335" s="6">
        <v>9.4119819999999993E-3</v>
      </c>
      <c r="W335" s="6">
        <v>5.22888E-4</v>
      </c>
      <c r="X335" s="6">
        <v>4.0415999999999998E-4</v>
      </c>
      <c r="Y335" s="6">
        <v>9.8249406999999997E-2</v>
      </c>
      <c r="Z335" s="6">
        <v>1.5265071999999999E-2</v>
      </c>
      <c r="AA335" s="6">
        <v>5.8438906999999998E-2</v>
      </c>
      <c r="AB335" s="6">
        <v>9.3245859999999993E-3</v>
      </c>
      <c r="AC335" s="6">
        <v>4.0972386999999999E-2</v>
      </c>
      <c r="AD335" s="6">
        <v>6.457188E-3</v>
      </c>
      <c r="AE335" s="6">
        <v>6.5516334999999995E-2</v>
      </c>
      <c r="AF335" s="6">
        <v>1.0250944E-2</v>
      </c>
      <c r="AG335" s="6">
        <v>7.3613521369999999</v>
      </c>
      <c r="AH335" s="6">
        <v>0.48808434000000001</v>
      </c>
      <c r="AI335" s="6">
        <v>-10.038616487000001</v>
      </c>
      <c r="AJ335" s="6">
        <v>0.42874591499999998</v>
      </c>
      <c r="AK335" s="6">
        <v>12.452678417</v>
      </c>
      <c r="AL335" s="6">
        <v>0.56215756800000005</v>
      </c>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row>
    <row r="336" spans="1:84" ht="16" x14ac:dyDescent="0.2">
      <c r="A336" s="4">
        <v>45866</v>
      </c>
      <c r="B336" s="19">
        <v>25209</v>
      </c>
      <c r="C336" s="5" t="s">
        <v>42</v>
      </c>
      <c r="D336" s="5">
        <v>37</v>
      </c>
      <c r="E336" s="53" t="s">
        <v>1385</v>
      </c>
      <c r="F336" s="6">
        <v>-20.100000000000001</v>
      </c>
      <c r="G336" s="5" t="s">
        <v>2</v>
      </c>
      <c r="H336" s="5" t="s">
        <v>3</v>
      </c>
      <c r="I336" s="5">
        <v>0.5</v>
      </c>
      <c r="J336" s="5">
        <v>30.45</v>
      </c>
      <c r="K336" s="5">
        <v>7.85</v>
      </c>
      <c r="L336" s="5">
        <v>4.1500000000000004</v>
      </c>
      <c r="M336" s="5"/>
      <c r="N336" s="5"/>
      <c r="O336" t="s">
        <v>734</v>
      </c>
      <c r="P336" s="6">
        <v>5.9841544000000003E-2</v>
      </c>
      <c r="Q336" s="6">
        <v>7.022202E-3</v>
      </c>
      <c r="R336" s="6">
        <v>605</v>
      </c>
      <c r="S336" s="6">
        <v>7.7114499999999999E-4</v>
      </c>
      <c r="T336" s="6">
        <v>5.6568542449999999</v>
      </c>
      <c r="U336" s="6">
        <v>0.112116744</v>
      </c>
      <c r="V336" s="6">
        <v>6.8780559999999996E-3</v>
      </c>
      <c r="W336" s="6">
        <v>3.8211400000000002E-4</v>
      </c>
      <c r="X336" s="6">
        <v>3.1005699999999998E-4</v>
      </c>
      <c r="Y336" s="6">
        <v>8.1404731999999994E-2</v>
      </c>
      <c r="Z336" s="6">
        <v>1.002164E-2</v>
      </c>
      <c r="AA336" s="6">
        <v>5.5749722000000002E-2</v>
      </c>
      <c r="AB336" s="6">
        <v>6.3278370000000002E-3</v>
      </c>
      <c r="AC336" s="6">
        <v>4.3217092999999998E-2</v>
      </c>
      <c r="AD336" s="6">
        <v>5.4683939999999997E-3</v>
      </c>
      <c r="AE336" s="6">
        <v>5.9841544000000003E-2</v>
      </c>
      <c r="AF336" s="6">
        <v>7.022202E-3</v>
      </c>
      <c r="AG336" s="6">
        <v>5.3364362520000004</v>
      </c>
      <c r="AH336" s="6">
        <v>0.35944350000000003</v>
      </c>
      <c r="AI336" s="6">
        <v>-7.2675084620000003</v>
      </c>
      <c r="AJ336" s="6">
        <v>0.33818812700000001</v>
      </c>
      <c r="AK336" s="6">
        <v>9.0227071050000003</v>
      </c>
      <c r="AL336" s="6">
        <v>0.35828502200000001</v>
      </c>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row>
    <row r="337" spans="1:84" ht="16" x14ac:dyDescent="0.2">
      <c r="A337" s="4">
        <v>45866</v>
      </c>
      <c r="B337" s="19">
        <v>25209</v>
      </c>
      <c r="C337" s="5" t="s">
        <v>42</v>
      </c>
      <c r="D337" s="25">
        <v>38</v>
      </c>
      <c r="E337" s="53" t="s">
        <v>1386</v>
      </c>
      <c r="F337">
        <v>33.799999999999997</v>
      </c>
      <c r="G337" s="5" t="s">
        <v>2</v>
      </c>
      <c r="H337" s="5" t="s">
        <v>3</v>
      </c>
      <c r="I337" s="5">
        <v>0.55000000000000004</v>
      </c>
      <c r="J337" s="5">
        <v>33</v>
      </c>
      <c r="K337" s="5">
        <v>8.1999999999999993</v>
      </c>
      <c r="L337" s="5">
        <v>4.5999999999999996</v>
      </c>
      <c r="M337" s="5"/>
      <c r="N337" s="5"/>
      <c r="O337" t="s">
        <v>712</v>
      </c>
      <c r="P337" s="6">
        <v>7.2171153000000002E-2</v>
      </c>
      <c r="Q337" s="6">
        <v>1.0220404000000001E-2</v>
      </c>
      <c r="R337" s="6">
        <v>709</v>
      </c>
      <c r="S337" s="6">
        <v>1.274212E-3</v>
      </c>
      <c r="T337" s="6">
        <v>5.6568542449999999</v>
      </c>
      <c r="U337" s="6">
        <v>0.13067595400000001</v>
      </c>
      <c r="V337" s="6">
        <v>9.750926E-3</v>
      </c>
      <c r="W337" s="6">
        <v>5.4171799999999995E-4</v>
      </c>
      <c r="X337" s="6">
        <v>4.8841900000000003E-4</v>
      </c>
      <c r="Y337" s="6">
        <v>0.103488836</v>
      </c>
      <c r="Z337" s="6">
        <v>1.4252086000000001E-2</v>
      </c>
      <c r="AA337" s="6">
        <v>6.5721792000000001E-2</v>
      </c>
      <c r="AB337" s="6">
        <v>9.7106910000000005E-3</v>
      </c>
      <c r="AC337" s="6">
        <v>4.7598063000000003E-2</v>
      </c>
      <c r="AD337" s="6">
        <v>8.5139989999999995E-3</v>
      </c>
      <c r="AE337" s="6">
        <v>7.2171153000000002E-2</v>
      </c>
      <c r="AF337" s="6">
        <v>1.0220404000000001E-2</v>
      </c>
      <c r="AG337" s="6">
        <v>6.4347399019999996</v>
      </c>
      <c r="AH337" s="6">
        <v>0.85526214</v>
      </c>
      <c r="AI337" s="6">
        <v>-9.0374752469999997</v>
      </c>
      <c r="AJ337" s="6">
        <v>1.624225901</v>
      </c>
      <c r="AK337" s="6">
        <v>11.102964290999999</v>
      </c>
      <c r="AL337" s="6">
        <v>1.781945423</v>
      </c>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row>
    <row r="338" spans="1:84" ht="16" x14ac:dyDescent="0.2">
      <c r="A338" s="4">
        <v>45866</v>
      </c>
      <c r="B338" s="19">
        <v>25209</v>
      </c>
      <c r="C338" s="5" t="s">
        <v>42</v>
      </c>
      <c r="D338" s="5">
        <v>39</v>
      </c>
      <c r="E338" s="53" t="s">
        <v>1387</v>
      </c>
      <c r="F338" s="6">
        <v>4.3</v>
      </c>
      <c r="G338" s="5" t="s">
        <v>2</v>
      </c>
      <c r="H338" s="5" t="s">
        <v>6</v>
      </c>
      <c r="I338" s="5">
        <v>0.3</v>
      </c>
      <c r="J338" s="5">
        <v>26.1</v>
      </c>
      <c r="K338" s="5" t="s">
        <v>8</v>
      </c>
      <c r="L338" s="5" t="s">
        <v>8</v>
      </c>
      <c r="M338" s="5"/>
      <c r="N338" s="5"/>
      <c r="O338" t="s">
        <v>735</v>
      </c>
      <c r="P338" s="6">
        <v>6.082564E-2</v>
      </c>
      <c r="Q338" s="6">
        <v>1.0173685999999999E-2</v>
      </c>
      <c r="R338" s="6">
        <v>479</v>
      </c>
      <c r="S338" s="6">
        <v>1.1449909999999999E-3</v>
      </c>
      <c r="T338" s="6">
        <v>3.9999999979999998</v>
      </c>
      <c r="U338" s="6">
        <v>0.127277474</v>
      </c>
      <c r="V338" s="6">
        <v>8.996024E-3</v>
      </c>
      <c r="W338" s="6">
        <v>4.99779E-4</v>
      </c>
      <c r="X338" s="6">
        <v>4.4872599999999999E-4</v>
      </c>
      <c r="Y338" s="6">
        <v>9.3598707000000003E-2</v>
      </c>
      <c r="Z338" s="6">
        <v>1.5396623E-2</v>
      </c>
      <c r="AA338" s="6">
        <v>5.3171596000000002E-2</v>
      </c>
      <c r="AB338" s="6">
        <v>8.9526989999999997E-3</v>
      </c>
      <c r="AC338" s="6">
        <v>3.7156187E-2</v>
      </c>
      <c r="AD338" s="6">
        <v>6.702932E-3</v>
      </c>
      <c r="AE338" s="6">
        <v>6.082564E-2</v>
      </c>
      <c r="AF338" s="6">
        <v>1.0173685999999999E-2</v>
      </c>
      <c r="AG338" s="6">
        <v>8.0084613289999993</v>
      </c>
      <c r="AH338" s="6">
        <v>0.474848355</v>
      </c>
      <c r="AI338" s="6">
        <v>-10.521997692999999</v>
      </c>
      <c r="AJ338" s="6">
        <v>0.40695065600000002</v>
      </c>
      <c r="AK338" s="6">
        <v>13.226489485</v>
      </c>
      <c r="AL338" s="6">
        <v>0.54659025900000002</v>
      </c>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row>
    <row r="339" spans="1:84" ht="16" x14ac:dyDescent="0.2">
      <c r="A339" s="4">
        <v>45866</v>
      </c>
      <c r="B339" s="19">
        <v>25209</v>
      </c>
      <c r="C339" s="5" t="s">
        <v>42</v>
      </c>
      <c r="D339" s="5">
        <v>40</v>
      </c>
      <c r="E339" s="53" t="s">
        <v>1388</v>
      </c>
      <c r="F339">
        <v>59.8</v>
      </c>
      <c r="G339" s="5" t="s">
        <v>2</v>
      </c>
      <c r="H339" s="5" t="s">
        <v>5</v>
      </c>
      <c r="I339" s="5">
        <v>0.75</v>
      </c>
      <c r="J339" s="5">
        <v>34.450000000000003</v>
      </c>
      <c r="K339" s="5">
        <v>8.4499999999999993</v>
      </c>
      <c r="L339" s="5">
        <v>4.8</v>
      </c>
      <c r="M339" s="5"/>
      <c r="N339" s="5"/>
      <c r="O339" t="s">
        <v>736</v>
      </c>
      <c r="P339" s="6">
        <v>7.5786956000000003E-2</v>
      </c>
      <c r="Q339" s="6">
        <v>9.4234330000000002E-3</v>
      </c>
      <c r="R339" s="6">
        <v>811</v>
      </c>
      <c r="S339" s="6">
        <v>9.95096E-4</v>
      </c>
      <c r="T339" s="6">
        <v>3.9999999979999998</v>
      </c>
      <c r="U339" s="6">
        <v>0.10902282100000001</v>
      </c>
      <c r="V339" s="6">
        <v>9.1274089999999995E-3</v>
      </c>
      <c r="W339" s="6">
        <v>5.07078E-4</v>
      </c>
      <c r="X339" s="6">
        <v>3.93636E-4</v>
      </c>
      <c r="Y339" s="6">
        <v>0.114161675</v>
      </c>
      <c r="Z339" s="6">
        <v>1.3994970000000001E-2</v>
      </c>
      <c r="AA339" s="6">
        <v>6.7074933000000003E-2</v>
      </c>
      <c r="AB339" s="6">
        <v>8.5532539999999997E-3</v>
      </c>
      <c r="AC339" s="6">
        <v>4.7153862999999997E-2</v>
      </c>
      <c r="AD339" s="6">
        <v>6.0968300000000001E-3</v>
      </c>
      <c r="AE339" s="6">
        <v>7.5786956000000003E-2</v>
      </c>
      <c r="AF339" s="6">
        <v>9.4234330000000002E-3</v>
      </c>
      <c r="AG339" s="6">
        <v>7.5333890630000004</v>
      </c>
      <c r="AH339" s="6">
        <v>0.24915404499999999</v>
      </c>
      <c r="AI339" s="6">
        <v>-10.105035127000001</v>
      </c>
      <c r="AJ339" s="6">
        <v>0.83087423199999999</v>
      </c>
      <c r="AK339" s="6">
        <v>12.611251617000001</v>
      </c>
      <c r="AL339" s="6">
        <v>0.75645600700000004</v>
      </c>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row>
    <row r="340" spans="1:84" ht="16" x14ac:dyDescent="0.2">
      <c r="A340" s="4">
        <v>45866</v>
      </c>
      <c r="B340" s="19">
        <v>25209</v>
      </c>
      <c r="C340" s="5" t="s">
        <v>42</v>
      </c>
      <c r="D340" s="5">
        <v>41</v>
      </c>
      <c r="E340" s="53" t="s">
        <v>1389</v>
      </c>
      <c r="F340" s="6">
        <v>-59</v>
      </c>
      <c r="G340" s="5" t="s">
        <v>2</v>
      </c>
      <c r="H340" s="5" t="s">
        <v>6</v>
      </c>
      <c r="I340" s="5">
        <v>0.2</v>
      </c>
      <c r="J340" s="5">
        <v>23.35</v>
      </c>
      <c r="K340" s="5" t="s">
        <v>8</v>
      </c>
      <c r="L340" s="5" t="s">
        <v>8</v>
      </c>
      <c r="M340" s="5"/>
      <c r="N340" s="5"/>
      <c r="O340" t="s">
        <v>737</v>
      </c>
      <c r="P340" s="6">
        <v>5.7814788999999998E-2</v>
      </c>
      <c r="Q340" s="6">
        <v>1.4975103999999999E-2</v>
      </c>
      <c r="R340" s="6">
        <v>393</v>
      </c>
      <c r="S340" s="6">
        <v>1.7763130000000001E-3</v>
      </c>
      <c r="T340" s="6">
        <v>3.9999999979999998</v>
      </c>
      <c r="U340" s="6">
        <v>0.128109628</v>
      </c>
      <c r="V340" s="6">
        <v>1.3865572E-2</v>
      </c>
      <c r="W340" s="6">
        <v>7.7030999999999996E-4</v>
      </c>
      <c r="X340" s="6">
        <v>6.4725000000000004E-4</v>
      </c>
      <c r="Y340" s="6">
        <v>8.5668098999999998E-2</v>
      </c>
      <c r="Z340" s="6">
        <v>2.1749219E-2</v>
      </c>
      <c r="AA340" s="6">
        <v>5.2609435000000003E-2</v>
      </c>
      <c r="AB340" s="6">
        <v>1.3891905E-2</v>
      </c>
      <c r="AC340" s="6">
        <v>3.2138046000000003E-2</v>
      </c>
      <c r="AD340" s="6">
        <v>8.2656699999999993E-3</v>
      </c>
      <c r="AE340" s="6">
        <v>5.7814788999999998E-2</v>
      </c>
      <c r="AF340" s="6">
        <v>1.4975103999999999E-2</v>
      </c>
      <c r="AG340" s="6">
        <v>6.9503168149999999</v>
      </c>
      <c r="AH340" s="6">
        <v>0.34499111300000002</v>
      </c>
      <c r="AI340" s="6">
        <v>-12.008796783999999</v>
      </c>
      <c r="AJ340" s="6">
        <v>0.43076608199999999</v>
      </c>
      <c r="AK340" s="6">
        <v>13.879347578000001</v>
      </c>
      <c r="AL340" s="6">
        <v>0.43138416400000001</v>
      </c>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row>
    <row r="341" spans="1:84" ht="16" x14ac:dyDescent="0.2">
      <c r="A341" s="4">
        <v>45866</v>
      </c>
      <c r="B341" s="19">
        <v>25209</v>
      </c>
      <c r="C341" s="5" t="s">
        <v>42</v>
      </c>
      <c r="D341" s="5">
        <v>42</v>
      </c>
      <c r="E341" s="53" t="s">
        <v>1390</v>
      </c>
      <c r="F341">
        <v>-2.2000000000000002</v>
      </c>
      <c r="G341" s="5" t="s">
        <v>2</v>
      </c>
      <c r="H341" s="5" t="s">
        <v>5</v>
      </c>
      <c r="I341" s="5">
        <v>0.65</v>
      </c>
      <c r="J341" s="5">
        <v>35.4</v>
      </c>
      <c r="K341" s="5">
        <v>8.9499999999999993</v>
      </c>
      <c r="L341" s="5">
        <v>4.95</v>
      </c>
      <c r="M341" s="5"/>
      <c r="N341" s="5"/>
      <c r="O341" t="s">
        <v>738</v>
      </c>
      <c r="P341" s="6">
        <v>5.6708373999999999E-2</v>
      </c>
      <c r="Q341" s="6">
        <v>5.1524919999999998E-3</v>
      </c>
      <c r="R341" s="6">
        <v>920</v>
      </c>
      <c r="S341" s="6">
        <v>5.9414099999999996E-4</v>
      </c>
      <c r="T341" s="6">
        <v>5.6568542449999999</v>
      </c>
      <c r="U341" s="6">
        <v>0.115878675</v>
      </c>
      <c r="V341" s="6">
        <v>5.1272710000000001E-3</v>
      </c>
      <c r="W341" s="6">
        <v>2.8484799999999998E-4</v>
      </c>
      <c r="X341" s="6">
        <v>2.11781E-4</v>
      </c>
      <c r="Y341" s="6">
        <v>7.6501980999999997E-2</v>
      </c>
      <c r="Z341" s="6">
        <v>6.4559140000000001E-3</v>
      </c>
      <c r="AA341" s="6">
        <v>5.2972551E-2</v>
      </c>
      <c r="AB341" s="6">
        <v>4.8903180000000003E-3</v>
      </c>
      <c r="AC341" s="6">
        <v>4.3641619E-2</v>
      </c>
      <c r="AD341" s="6">
        <v>4.9760819999999997E-3</v>
      </c>
      <c r="AE341" s="6">
        <v>5.6708373999999999E-2</v>
      </c>
      <c r="AF341" s="6">
        <v>5.1524919999999998E-3</v>
      </c>
      <c r="AG341" s="6">
        <v>5.2112977860000003</v>
      </c>
      <c r="AH341" s="6">
        <v>0.43102667900000002</v>
      </c>
      <c r="AI341" s="6">
        <v>-6.2087619930000004</v>
      </c>
      <c r="AJ341" s="6">
        <v>0.83908387600000001</v>
      </c>
      <c r="AK341" s="6">
        <v>8.1156192610000009</v>
      </c>
      <c r="AL341" s="6">
        <v>0.85600759299999996</v>
      </c>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row>
    <row r="342" spans="1:84" ht="16" x14ac:dyDescent="0.2">
      <c r="A342" s="4">
        <v>45866</v>
      </c>
      <c r="B342" s="19">
        <v>25209</v>
      </c>
      <c r="C342" s="5" t="s">
        <v>42</v>
      </c>
      <c r="D342" s="5">
        <v>43</v>
      </c>
      <c r="E342" s="53" t="s">
        <v>1391</v>
      </c>
      <c r="F342" s="6">
        <v>-22.3</v>
      </c>
      <c r="G342" s="5" t="s">
        <v>2</v>
      </c>
      <c r="H342" s="5" t="s">
        <v>3</v>
      </c>
      <c r="I342" s="5">
        <v>0.8</v>
      </c>
      <c r="J342" s="5">
        <v>36.9</v>
      </c>
      <c r="K342" s="5">
        <v>8.5</v>
      </c>
      <c r="L342" s="5">
        <v>5.25</v>
      </c>
      <c r="M342" s="5"/>
      <c r="N342" s="5"/>
      <c r="O342" t="s">
        <v>739</v>
      </c>
      <c r="P342" s="6">
        <v>6.1767981999999999E-2</v>
      </c>
      <c r="Q342" s="6">
        <v>5.8578989999999997E-3</v>
      </c>
      <c r="R342" s="6">
        <v>1174</v>
      </c>
      <c r="S342" s="6">
        <v>7.1761500000000001E-4</v>
      </c>
      <c r="T342" s="6">
        <v>5.6568542449999999</v>
      </c>
      <c r="U342" s="6">
        <v>0.116292334</v>
      </c>
      <c r="V342" s="6">
        <v>6.170788E-3</v>
      </c>
      <c r="W342" s="6">
        <v>3.4282200000000001E-4</v>
      </c>
      <c r="X342" s="6">
        <v>2.38846E-4</v>
      </c>
      <c r="Y342" s="6">
        <v>8.5788851999999999E-2</v>
      </c>
      <c r="Z342" s="6">
        <v>1.0488673E-2</v>
      </c>
      <c r="AA342" s="6">
        <v>5.6063331000000001E-2</v>
      </c>
      <c r="AB342" s="6">
        <v>4.9144749999999997E-3</v>
      </c>
      <c r="AC342" s="6">
        <v>4.8675208999999997E-2</v>
      </c>
      <c r="AD342" s="6">
        <v>3.9708690000000001E-3</v>
      </c>
      <c r="AE342" s="6">
        <v>6.1767981999999999E-2</v>
      </c>
      <c r="AF342" s="6">
        <v>5.8578989999999997E-3</v>
      </c>
      <c r="AG342" s="6">
        <v>5.971869828</v>
      </c>
      <c r="AH342" s="6">
        <v>0.88754069099999999</v>
      </c>
      <c r="AI342" s="6">
        <v>-5.7498198389999997</v>
      </c>
      <c r="AJ342" s="6">
        <v>1.1905680590000001</v>
      </c>
      <c r="AK342" s="6">
        <v>8.2979252100000007</v>
      </c>
      <c r="AL342" s="6">
        <v>1.4398482889999999</v>
      </c>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row>
    <row r="343" spans="1:84" ht="16" x14ac:dyDescent="0.2">
      <c r="A343" s="4">
        <v>45866</v>
      </c>
      <c r="B343" s="19">
        <v>25209</v>
      </c>
      <c r="C343" s="5" t="s">
        <v>42</v>
      </c>
      <c r="D343" s="5">
        <v>44</v>
      </c>
      <c r="E343" s="53" t="s">
        <v>1392</v>
      </c>
      <c r="F343">
        <v>-3.9</v>
      </c>
      <c r="G343" s="5" t="s">
        <v>2</v>
      </c>
      <c r="H343" s="5" t="s">
        <v>3</v>
      </c>
      <c r="I343" s="5">
        <v>0.7</v>
      </c>
      <c r="J343" s="5">
        <v>35.4</v>
      </c>
      <c r="K343" s="5">
        <v>8.6999999999999993</v>
      </c>
      <c r="L343" s="5">
        <v>5</v>
      </c>
      <c r="M343" s="5"/>
      <c r="N343" s="5"/>
      <c r="O343" t="s">
        <v>740</v>
      </c>
      <c r="P343" s="6">
        <v>7.3364171000000006E-2</v>
      </c>
      <c r="Q343" s="6">
        <v>1.1724165999999999E-2</v>
      </c>
      <c r="R343" s="6">
        <v>905</v>
      </c>
      <c r="S343" s="6">
        <v>1.459225E-3</v>
      </c>
      <c r="T343" s="6">
        <v>90.509667729</v>
      </c>
      <c r="U343" s="6">
        <v>0.11019314500000001</v>
      </c>
      <c r="V343" s="6">
        <v>1.3242431000000001E-2</v>
      </c>
      <c r="W343" s="6">
        <v>7.3569100000000001E-4</v>
      </c>
      <c r="X343" s="6">
        <v>4.6948399999999999E-4</v>
      </c>
      <c r="Y343" s="6">
        <v>0.10260583600000001</v>
      </c>
      <c r="Z343" s="6">
        <v>1.6538445999999998E-2</v>
      </c>
      <c r="AA343" s="6">
        <v>6.7496652000000004E-2</v>
      </c>
      <c r="AB343" s="6">
        <v>1.0474125000000001E-2</v>
      </c>
      <c r="AC343" s="6">
        <v>5.0966125000000001E-2</v>
      </c>
      <c r="AD343" s="6">
        <v>9.0646719999999993E-3</v>
      </c>
      <c r="AE343" s="6">
        <v>7.3364171000000006E-2</v>
      </c>
      <c r="AF343" s="6">
        <v>1.1724165999999999E-2</v>
      </c>
      <c r="AG343" s="6">
        <v>5.9137021550000002</v>
      </c>
      <c r="AH343" s="6">
        <v>0.37748257499999999</v>
      </c>
      <c r="AI343" s="6">
        <v>-8.0933063829999998</v>
      </c>
      <c r="AJ343" s="6">
        <v>0.78212326200000004</v>
      </c>
      <c r="AK343" s="6">
        <v>10.03288749</v>
      </c>
      <c r="AL343" s="6">
        <v>0.75409222399999998</v>
      </c>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row>
    <row r="344" spans="1:84" ht="16" x14ac:dyDescent="0.2">
      <c r="A344" s="4">
        <v>45867</v>
      </c>
      <c r="B344" s="19">
        <v>25210</v>
      </c>
      <c r="C344" s="5" t="s">
        <v>20</v>
      </c>
      <c r="D344" s="25">
        <v>25</v>
      </c>
      <c r="E344" s="53" t="s">
        <v>1393</v>
      </c>
      <c r="F344">
        <v>-43.7</v>
      </c>
      <c r="G344" s="5" t="s">
        <v>2</v>
      </c>
      <c r="H344" s="5" t="s">
        <v>6</v>
      </c>
      <c r="I344" s="5">
        <v>0.45</v>
      </c>
      <c r="J344" s="5">
        <v>28.6</v>
      </c>
      <c r="K344" s="5">
        <v>7.7</v>
      </c>
      <c r="L344" s="5">
        <v>3.8</v>
      </c>
      <c r="M344" s="5"/>
      <c r="N344" s="5"/>
      <c r="O344" t="s">
        <v>713</v>
      </c>
      <c r="P344" s="6">
        <v>7.1394014000000006E-2</v>
      </c>
      <c r="Q344" s="6">
        <v>1.7447232999999999E-2</v>
      </c>
      <c r="R344" s="6">
        <v>448</v>
      </c>
      <c r="S344" s="6">
        <v>2.0663650000000001E-3</v>
      </c>
      <c r="T344" s="6">
        <v>3.9999999979999998</v>
      </c>
      <c r="U344" s="6">
        <v>0.13532390699999999</v>
      </c>
      <c r="V344" s="6">
        <v>1.5269774E-2</v>
      </c>
      <c r="W344" s="6">
        <v>8.4832099999999997E-4</v>
      </c>
      <c r="X344" s="6">
        <v>7.5277999999999999E-4</v>
      </c>
      <c r="Y344" s="6">
        <v>9.9541671999999998E-2</v>
      </c>
      <c r="Z344" s="6">
        <v>2.4152423999999999E-2</v>
      </c>
      <c r="AA344" s="6">
        <v>6.6947213000000005E-2</v>
      </c>
      <c r="AB344" s="6">
        <v>1.6521204000000001E-2</v>
      </c>
      <c r="AC344" s="6">
        <v>4.2897286E-2</v>
      </c>
      <c r="AD344" s="6">
        <v>1.0364685E-2</v>
      </c>
      <c r="AE344" s="6">
        <v>7.1394014000000006E-2</v>
      </c>
      <c r="AF344" s="6">
        <v>1.7447232999999999E-2</v>
      </c>
      <c r="AG344" s="6">
        <v>5.6308390700000004</v>
      </c>
      <c r="AH344" s="6">
        <v>0.20257734399999999</v>
      </c>
      <c r="AI344" s="6">
        <v>-10.48544792</v>
      </c>
      <c r="AJ344" s="6">
        <v>0.222568663</v>
      </c>
      <c r="AK344" s="6">
        <v>11.904012299</v>
      </c>
      <c r="AL344" s="6">
        <v>0.1894991</v>
      </c>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row>
    <row r="345" spans="1:84" ht="16" x14ac:dyDescent="0.2">
      <c r="A345" s="4">
        <v>45867</v>
      </c>
      <c r="B345" s="19">
        <v>25210</v>
      </c>
      <c r="C345" s="5" t="s">
        <v>20</v>
      </c>
      <c r="D345" s="5">
        <v>26</v>
      </c>
      <c r="E345" s="53" t="s">
        <v>1394</v>
      </c>
      <c r="F345">
        <v>-12.1</v>
      </c>
      <c r="G345" s="5" t="s">
        <v>2</v>
      </c>
      <c r="H345" s="5" t="s">
        <v>3</v>
      </c>
      <c r="I345" s="5">
        <v>0.55000000000000004</v>
      </c>
      <c r="J345" s="5">
        <v>31.4</v>
      </c>
      <c r="K345" s="5">
        <v>8.0500000000000007</v>
      </c>
      <c r="L345" s="5">
        <v>4.2</v>
      </c>
      <c r="M345" s="5"/>
      <c r="N345" s="5"/>
      <c r="O345" t="s">
        <v>741</v>
      </c>
      <c r="P345" s="6">
        <v>7.8705972999999999E-2</v>
      </c>
      <c r="Q345" s="6">
        <v>8.6226559999999994E-3</v>
      </c>
      <c r="R345" s="6">
        <v>711</v>
      </c>
      <c r="S345" s="6">
        <v>1.132381E-3</v>
      </c>
      <c r="T345" s="6">
        <v>5.6568542449999999</v>
      </c>
      <c r="U345" s="6">
        <v>0.13860607599999999</v>
      </c>
      <c r="V345" s="6">
        <v>8.1697809999999992E-3</v>
      </c>
      <c r="W345" s="6">
        <v>4.5387699999999999E-4</v>
      </c>
      <c r="X345" s="6">
        <v>4.1926700000000002E-4</v>
      </c>
      <c r="Y345" s="6">
        <v>0.111812447</v>
      </c>
      <c r="Z345" s="6">
        <v>1.3035039E-2</v>
      </c>
      <c r="AA345" s="6">
        <v>7.2187831999999993E-2</v>
      </c>
      <c r="AB345" s="6">
        <v>7.8346219999999994E-3</v>
      </c>
      <c r="AC345" s="6">
        <v>5.0959012999999997E-2</v>
      </c>
      <c r="AD345" s="6">
        <v>5.5402790000000004E-3</v>
      </c>
      <c r="AE345" s="6">
        <v>7.8705972999999999E-2</v>
      </c>
      <c r="AF345" s="6">
        <v>8.6226559999999994E-3</v>
      </c>
      <c r="AG345" s="6">
        <v>6.1778702409999999</v>
      </c>
      <c r="AH345" s="6">
        <v>0.37975935399999999</v>
      </c>
      <c r="AI345" s="6">
        <v>-9.247599846</v>
      </c>
      <c r="AJ345" s="6">
        <v>1.0028351289999999</v>
      </c>
      <c r="AK345" s="6">
        <v>11.126802587</v>
      </c>
      <c r="AL345" s="6">
        <v>1.0139885209999999</v>
      </c>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row>
    <row r="346" spans="1:84" ht="16" x14ac:dyDescent="0.2">
      <c r="A346" s="4">
        <v>45867</v>
      </c>
      <c r="B346" s="19">
        <v>25210</v>
      </c>
      <c r="C346" s="5" t="s">
        <v>20</v>
      </c>
      <c r="D346" s="5">
        <v>27</v>
      </c>
      <c r="E346" s="53" t="s">
        <v>1395</v>
      </c>
      <c r="F346">
        <v>34</v>
      </c>
      <c r="G346" s="5" t="s">
        <v>2</v>
      </c>
      <c r="H346" s="5" t="s">
        <v>6</v>
      </c>
      <c r="I346" s="5">
        <v>0.35</v>
      </c>
      <c r="J346" s="5">
        <v>27.7</v>
      </c>
      <c r="K346" s="5" t="s">
        <v>8</v>
      </c>
      <c r="L346" s="5" t="s">
        <v>8</v>
      </c>
      <c r="M346" s="5"/>
      <c r="N346" s="5"/>
      <c r="O346" t="s">
        <v>742</v>
      </c>
      <c r="P346" s="6">
        <v>7.6309550000000004E-2</v>
      </c>
      <c r="Q346" s="6">
        <v>1.2572257999999999E-2</v>
      </c>
      <c r="R346" s="6">
        <v>546</v>
      </c>
      <c r="S346" s="6">
        <v>1.5398219999999999E-3</v>
      </c>
      <c r="T346" s="6">
        <v>3.9999999979999998</v>
      </c>
      <c r="U346" s="6">
        <v>0.137178931</v>
      </c>
      <c r="V346" s="6">
        <v>1.1224914000000001E-2</v>
      </c>
      <c r="W346" s="6">
        <v>6.2360599999999997E-4</v>
      </c>
      <c r="X346" s="6">
        <v>5.8907299999999996E-4</v>
      </c>
      <c r="Y346" s="6">
        <v>0.11049097300000001</v>
      </c>
      <c r="Z346" s="6">
        <v>1.8025418000000001E-2</v>
      </c>
      <c r="AA346" s="6">
        <v>6.8226492999999999E-2</v>
      </c>
      <c r="AB346" s="6">
        <v>1.1347157E-2</v>
      </c>
      <c r="AC346" s="6">
        <v>5.2081220999999997E-2</v>
      </c>
      <c r="AD346" s="6">
        <v>8.5966710000000002E-3</v>
      </c>
      <c r="AE346" s="6">
        <v>7.6309550000000004E-2</v>
      </c>
      <c r="AF346" s="6">
        <v>1.2572257999999999E-2</v>
      </c>
      <c r="AG346" s="6">
        <v>6.8263340350000004</v>
      </c>
      <c r="AH346" s="6">
        <v>0.16864731299999999</v>
      </c>
      <c r="AI346" s="6">
        <v>-8.3479647670000006</v>
      </c>
      <c r="AJ346" s="6">
        <v>0.291050486</v>
      </c>
      <c r="AK346" s="6">
        <v>10.785281183</v>
      </c>
      <c r="AL346" s="6">
        <v>0.27955206399999999</v>
      </c>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row>
    <row r="347" spans="1:84" ht="16" x14ac:dyDescent="0.2">
      <c r="A347" s="4">
        <v>45867</v>
      </c>
      <c r="B347" s="19">
        <v>25210</v>
      </c>
      <c r="C347" s="5" t="s">
        <v>20</v>
      </c>
      <c r="D347" s="5">
        <v>28</v>
      </c>
      <c r="E347" s="53" t="s">
        <v>1396</v>
      </c>
      <c r="F347">
        <v>34</v>
      </c>
      <c r="G347" s="5" t="s">
        <v>2</v>
      </c>
      <c r="H347" s="5" t="s">
        <v>6</v>
      </c>
      <c r="I347" s="5">
        <v>0.35</v>
      </c>
      <c r="J347" s="5">
        <v>26.3</v>
      </c>
      <c r="K347" s="5" t="s">
        <v>8</v>
      </c>
      <c r="L347" s="5" t="s">
        <v>8</v>
      </c>
      <c r="M347" s="5"/>
      <c r="N347" s="5"/>
      <c r="O347" t="s">
        <v>743</v>
      </c>
      <c r="P347" s="6">
        <v>6.8702580999999999E-2</v>
      </c>
      <c r="Q347" s="6">
        <v>1.3675407000000001E-2</v>
      </c>
      <c r="R347" s="6">
        <v>512</v>
      </c>
      <c r="S347" s="6">
        <v>1.455722E-3</v>
      </c>
      <c r="T347" s="6">
        <v>3.9999999979999998</v>
      </c>
      <c r="U347" s="6">
        <v>0.11396532099999999</v>
      </c>
      <c r="V347" s="6">
        <v>1.2773377000000001E-2</v>
      </c>
      <c r="W347" s="6">
        <v>7.0963199999999997E-4</v>
      </c>
      <c r="X347" s="6">
        <v>5.7493900000000001E-4</v>
      </c>
      <c r="Y347" s="6">
        <v>0.10078229499999999</v>
      </c>
      <c r="Z347" s="6">
        <v>1.8572581000000001E-2</v>
      </c>
      <c r="AA347" s="6">
        <v>6.0849660999999999E-2</v>
      </c>
      <c r="AB347" s="6">
        <v>1.272799E-2</v>
      </c>
      <c r="AC347" s="6">
        <v>4.6488481999999998E-2</v>
      </c>
      <c r="AD347" s="6">
        <v>1.0115436E-2</v>
      </c>
      <c r="AE347" s="6">
        <v>6.8702580999999999E-2</v>
      </c>
      <c r="AF347" s="6">
        <v>1.3675407000000001E-2</v>
      </c>
      <c r="AG347" s="6">
        <v>7.2273290550000002</v>
      </c>
      <c r="AH347" s="6">
        <v>0.61886623799999996</v>
      </c>
      <c r="AI347" s="6">
        <v>-8.6082324969999995</v>
      </c>
      <c r="AJ347" s="6">
        <v>0.70352509600000002</v>
      </c>
      <c r="AK347" s="6">
        <v>11.242328601000001</v>
      </c>
      <c r="AL347" s="6">
        <v>0.90765504799999996</v>
      </c>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row>
    <row r="348" spans="1:84" ht="16" x14ac:dyDescent="0.2">
      <c r="A348" s="4">
        <v>45867</v>
      </c>
      <c r="B348" s="19">
        <v>25210</v>
      </c>
      <c r="C348" s="5" t="s">
        <v>20</v>
      </c>
      <c r="D348" s="5">
        <v>29</v>
      </c>
      <c r="E348" s="53" t="s">
        <v>1397</v>
      </c>
      <c r="G348" s="5" t="s">
        <v>2</v>
      </c>
      <c r="H348" s="5" t="s">
        <v>6</v>
      </c>
      <c r="I348" s="5">
        <v>0.25</v>
      </c>
      <c r="J348" s="5">
        <v>22.7</v>
      </c>
      <c r="K348" s="5" t="s">
        <v>8</v>
      </c>
      <c r="L348" s="5" t="s">
        <v>8</v>
      </c>
      <c r="M348" s="5"/>
      <c r="N348" s="5"/>
      <c r="O348" t="s">
        <v>745</v>
      </c>
      <c r="P348" s="6">
        <v>4.8974041000000003E-2</v>
      </c>
      <c r="Q348" s="6">
        <v>8.2945729999999995E-3</v>
      </c>
      <c r="R348" s="6">
        <v>343</v>
      </c>
      <c r="S348" s="6">
        <v>1.1471369999999999E-3</v>
      </c>
      <c r="T348" s="6">
        <v>7.9999999920000002</v>
      </c>
      <c r="U348" s="6">
        <v>0.14487765899999999</v>
      </c>
      <c r="V348" s="6">
        <v>7.9179709999999993E-3</v>
      </c>
      <c r="W348" s="6">
        <v>4.3988700000000003E-4</v>
      </c>
      <c r="X348" s="6">
        <v>4.2345600000000001E-4</v>
      </c>
      <c r="Y348" s="6">
        <v>6.7669554000000007E-2</v>
      </c>
      <c r="Z348" s="6">
        <v>1.080426E-2</v>
      </c>
      <c r="AA348" s="6">
        <v>4.5380125E-2</v>
      </c>
      <c r="AB348" s="6">
        <v>7.8870439999999993E-3</v>
      </c>
      <c r="AC348" s="6">
        <v>3.3354437000000001E-2</v>
      </c>
      <c r="AD348" s="6">
        <v>6.3574110000000003E-3</v>
      </c>
      <c r="AE348" s="6">
        <v>4.8974041000000003E-2</v>
      </c>
      <c r="AF348" s="6">
        <v>8.2945729999999995E-3</v>
      </c>
      <c r="AG348" s="6">
        <v>5.6879173449999998</v>
      </c>
      <c r="AH348" s="6">
        <v>0.36061669499999999</v>
      </c>
      <c r="AI348" s="6">
        <v>-8.3643675099999992</v>
      </c>
      <c r="AJ348" s="6">
        <v>0.64395410099999995</v>
      </c>
      <c r="AK348" s="6">
        <v>10.116896593</v>
      </c>
      <c r="AL348" s="6">
        <v>0.71278667799999995</v>
      </c>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row>
    <row r="349" spans="1:84" ht="16" x14ac:dyDescent="0.2">
      <c r="A349" s="4">
        <v>45867</v>
      </c>
      <c r="B349" s="19">
        <v>25210</v>
      </c>
      <c r="C349" s="5" t="s">
        <v>20</v>
      </c>
      <c r="D349" s="5">
        <v>30</v>
      </c>
      <c r="E349" s="53" t="s">
        <v>1398</v>
      </c>
      <c r="F349">
        <v>-16.3</v>
      </c>
      <c r="G349" s="5" t="s">
        <v>2</v>
      </c>
      <c r="H349" s="5" t="s">
        <v>3</v>
      </c>
      <c r="I349" s="5">
        <v>0.55000000000000004</v>
      </c>
      <c r="J349" s="5">
        <v>29.6</v>
      </c>
      <c r="K349" s="5">
        <v>8</v>
      </c>
      <c r="L349" s="5">
        <v>4.0999999999999996</v>
      </c>
      <c r="M349" s="5"/>
      <c r="N349" s="5"/>
      <c r="O349" t="s">
        <v>746</v>
      </c>
      <c r="P349" s="6">
        <v>9.0767943000000004E-2</v>
      </c>
      <c r="Q349" s="6">
        <v>2.0249977999999998E-2</v>
      </c>
      <c r="R349" s="6">
        <v>651</v>
      </c>
      <c r="S349" s="6">
        <v>2.5754889999999998E-3</v>
      </c>
      <c r="T349" s="6">
        <v>3.9999999979999998</v>
      </c>
      <c r="U349" s="6">
        <v>0.14046070099999999</v>
      </c>
      <c r="V349" s="6">
        <v>1.8336015000000001E-2</v>
      </c>
      <c r="W349" s="6">
        <v>1.018667E-3</v>
      </c>
      <c r="X349" s="6">
        <v>8.5741300000000001E-4</v>
      </c>
      <c r="Y349" s="6">
        <v>0.13434850500000001</v>
      </c>
      <c r="Z349" s="6">
        <v>3.0220051000000001E-2</v>
      </c>
      <c r="AA349" s="6">
        <v>8.1011866000000002E-2</v>
      </c>
      <c r="AB349" s="6">
        <v>1.7965608000000001E-2</v>
      </c>
      <c r="AC349" s="6">
        <v>5.6082628000000002E-2</v>
      </c>
      <c r="AD349" s="6">
        <v>1.3019754E-2</v>
      </c>
      <c r="AE349" s="6">
        <v>9.0767943000000004E-2</v>
      </c>
      <c r="AF349" s="6">
        <v>2.0249977999999998E-2</v>
      </c>
      <c r="AG349" s="6">
        <v>7.1354452659999996</v>
      </c>
      <c r="AH349" s="6">
        <v>0.42275657500000002</v>
      </c>
      <c r="AI349" s="6">
        <v>-10.187004995000001</v>
      </c>
      <c r="AJ349" s="6">
        <v>0.627516462</v>
      </c>
      <c r="AK349" s="6">
        <v>12.441181517</v>
      </c>
      <c r="AL349" s="6">
        <v>0.69210452600000005</v>
      </c>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row>
    <row r="350" spans="1:84" ht="16" x14ac:dyDescent="0.2">
      <c r="A350" s="4">
        <v>45867</v>
      </c>
      <c r="B350" s="19">
        <v>25210</v>
      </c>
      <c r="C350" s="5" t="s">
        <v>20</v>
      </c>
      <c r="D350" s="5">
        <v>31</v>
      </c>
      <c r="E350" s="53" t="s">
        <v>1399</v>
      </c>
      <c r="F350">
        <v>-13.4</v>
      </c>
      <c r="G350" s="5" t="s">
        <v>2</v>
      </c>
      <c r="H350" s="5" t="s">
        <v>3</v>
      </c>
      <c r="I350" s="5">
        <v>0.4</v>
      </c>
      <c r="J350" s="5">
        <v>29.8</v>
      </c>
      <c r="K350" s="5">
        <v>7.4</v>
      </c>
      <c r="L350" s="5">
        <v>3.85</v>
      </c>
      <c r="M350" s="5"/>
      <c r="N350" s="5"/>
      <c r="O350" t="s">
        <v>747</v>
      </c>
      <c r="P350" s="6">
        <v>7.2708930000000005E-2</v>
      </c>
      <c r="Q350" s="6">
        <v>1.3444845E-2</v>
      </c>
      <c r="R350" s="6">
        <v>562</v>
      </c>
      <c r="S350" s="6">
        <v>1.359269E-3</v>
      </c>
      <c r="T350" s="6">
        <v>3.9999999979999998</v>
      </c>
      <c r="U350" s="6">
        <v>0.10546876400000001</v>
      </c>
      <c r="V350" s="6">
        <v>1.2887878E-2</v>
      </c>
      <c r="W350" s="6">
        <v>7.1599299999999995E-4</v>
      </c>
      <c r="X350" s="6">
        <v>5.3783200000000002E-4</v>
      </c>
      <c r="Y350" s="6">
        <v>0.102556015</v>
      </c>
      <c r="Z350" s="6">
        <v>1.8658206E-2</v>
      </c>
      <c r="AA350">
        <v>6.6883152000000001E-2</v>
      </c>
      <c r="AB350" s="6">
        <v>1.2443081999999999E-2</v>
      </c>
      <c r="AC350" s="6">
        <v>4.7438634E-2</v>
      </c>
      <c r="AD350" s="6">
        <v>9.272443E-3</v>
      </c>
      <c r="AE350" s="6">
        <v>7.2708930000000005E-2</v>
      </c>
      <c r="AF350" s="6">
        <v>1.3444845E-2</v>
      </c>
      <c r="AG350" s="6">
        <v>6.0696956330000003</v>
      </c>
      <c r="AH350" s="6">
        <v>0.390144987</v>
      </c>
      <c r="AI350" s="6">
        <v>-9.1537333719999996</v>
      </c>
      <c r="AJ350" s="6">
        <v>0.50495337900000004</v>
      </c>
      <c r="AK350" s="6">
        <v>10.984305825</v>
      </c>
      <c r="AL350" s="6">
        <v>0.61985063699999998</v>
      </c>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row>
    <row r="351" spans="1:84" ht="16" x14ac:dyDescent="0.2">
      <c r="A351" s="4">
        <v>45867</v>
      </c>
      <c r="B351" s="19">
        <v>25210</v>
      </c>
      <c r="C351" s="5" t="s">
        <v>20</v>
      </c>
      <c r="D351" s="25">
        <v>32</v>
      </c>
      <c r="E351" s="53" t="s">
        <v>1400</v>
      </c>
      <c r="F351">
        <v>-35.700000000000003</v>
      </c>
      <c r="G351" s="5" t="s">
        <v>2</v>
      </c>
      <c r="H351" s="5" t="s">
        <v>3</v>
      </c>
      <c r="I351" s="5">
        <v>0.9</v>
      </c>
      <c r="J351" s="5">
        <v>36.950000000000003</v>
      </c>
      <c r="K351" s="5" t="s">
        <v>8</v>
      </c>
      <c r="L351" s="5" t="s">
        <v>8</v>
      </c>
      <c r="M351" s="5"/>
      <c r="N351" s="5"/>
      <c r="O351" t="s">
        <v>714</v>
      </c>
      <c r="P351" s="6">
        <v>7.4988455999999995E-2</v>
      </c>
      <c r="Q351" s="6">
        <v>2.5422415E-2</v>
      </c>
      <c r="R351" s="6">
        <v>695</v>
      </c>
      <c r="S351" s="6">
        <v>2.5908509999999999E-3</v>
      </c>
      <c r="T351" s="6">
        <v>3.9999999979999998</v>
      </c>
      <c r="U351" s="6">
        <v>0.111061564</v>
      </c>
      <c r="V351" s="6">
        <v>2.3328057999999999E-2</v>
      </c>
      <c r="W351" s="6">
        <v>1.296003E-3</v>
      </c>
      <c r="X351" s="6">
        <v>1.0142949999999999E-3</v>
      </c>
      <c r="Y351" s="6">
        <v>0.105622439</v>
      </c>
      <c r="Z351" s="6">
        <v>3.5255845000000001E-2</v>
      </c>
      <c r="AA351" s="6">
        <v>6.9002717000000005E-2</v>
      </c>
      <c r="AB351" s="6">
        <v>2.3637571E-2</v>
      </c>
      <c r="AC351" s="6">
        <v>4.8924833000000001E-2</v>
      </c>
      <c r="AD351" s="6">
        <v>1.7034666E-2</v>
      </c>
      <c r="AE351" s="6">
        <v>7.4988455999999995E-2</v>
      </c>
      <c r="AF351" s="6">
        <v>2.5422415E-2</v>
      </c>
      <c r="AG351" s="6">
        <v>6.1155909040000003</v>
      </c>
      <c r="AH351" s="6">
        <v>0.34619210500000003</v>
      </c>
      <c r="AI351" s="6">
        <v>-9.2819544809999996</v>
      </c>
      <c r="AJ351" s="6">
        <v>1.111048732</v>
      </c>
      <c r="AK351" s="6">
        <v>11.123595884</v>
      </c>
      <c r="AL351" s="6">
        <v>1.0838661999999999</v>
      </c>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row>
    <row r="352" spans="1:84" ht="16" x14ac:dyDescent="0.2">
      <c r="A352" s="4">
        <v>45867</v>
      </c>
      <c r="B352" s="19">
        <v>25210</v>
      </c>
      <c r="C352" s="5" t="s">
        <v>20</v>
      </c>
      <c r="D352" s="5">
        <v>33</v>
      </c>
      <c r="E352" s="53" t="s">
        <v>1401</v>
      </c>
      <c r="F352">
        <v>14.4</v>
      </c>
      <c r="G352" s="5" t="s">
        <v>2</v>
      </c>
      <c r="H352" s="5" t="s">
        <v>3</v>
      </c>
      <c r="I352" s="5">
        <v>0.95</v>
      </c>
      <c r="J352" s="5">
        <v>34.6</v>
      </c>
      <c r="K352" s="5">
        <v>8.4499999999999993</v>
      </c>
      <c r="L352" s="5">
        <v>4.45</v>
      </c>
      <c r="M352" s="5"/>
      <c r="N352" s="5"/>
      <c r="O352" t="s">
        <v>748</v>
      </c>
      <c r="P352" s="6">
        <v>9.9419531000000005E-2</v>
      </c>
      <c r="Q352" s="6">
        <v>1.2584362E-2</v>
      </c>
      <c r="R352" s="6">
        <v>918</v>
      </c>
      <c r="S352" s="6">
        <v>1.2497070000000001E-3</v>
      </c>
      <c r="T352" s="6">
        <v>15.999999975</v>
      </c>
      <c r="U352" s="6">
        <v>0.105583604</v>
      </c>
      <c r="V352" s="6">
        <v>1.1836186E-2</v>
      </c>
      <c r="W352" s="6">
        <v>6.5756600000000005E-4</v>
      </c>
      <c r="X352" s="6">
        <v>5.4121499999999995E-4</v>
      </c>
      <c r="Y352" s="6">
        <v>0.14378028100000001</v>
      </c>
      <c r="Z352" s="6">
        <v>1.7780114999999999E-2</v>
      </c>
      <c r="AA352">
        <v>8.8669697000000006E-2</v>
      </c>
      <c r="AB352" s="6">
        <v>1.1354227E-2</v>
      </c>
      <c r="AC352" s="6">
        <v>6.7768699000000002E-2</v>
      </c>
      <c r="AD352" s="6">
        <v>9.0645369999999992E-3</v>
      </c>
      <c r="AE352" s="6">
        <v>9.9419531000000005E-2</v>
      </c>
      <c r="AF352" s="6">
        <v>1.2584362E-2</v>
      </c>
      <c r="AG352" s="6">
        <v>6.8452337280000002</v>
      </c>
      <c r="AH352" s="6">
        <v>0.32759796800000002</v>
      </c>
      <c r="AI352" s="6">
        <v>-8.3564821289999998</v>
      </c>
      <c r="AJ352" s="6">
        <v>0.558521869</v>
      </c>
      <c r="AK352" s="6">
        <v>10.803993154</v>
      </c>
      <c r="AL352" s="6">
        <v>0.61723224300000001</v>
      </c>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row>
    <row r="353" spans="1:84" ht="16" x14ac:dyDescent="0.2">
      <c r="A353" s="4">
        <v>45867</v>
      </c>
      <c r="B353" s="19">
        <v>25210</v>
      </c>
      <c r="C353" s="5" t="s">
        <v>20</v>
      </c>
      <c r="D353" s="5">
        <v>34</v>
      </c>
      <c r="E353" s="53" t="s">
        <v>1402</v>
      </c>
      <c r="F353">
        <v>39.9</v>
      </c>
      <c r="G353" s="5" t="s">
        <v>2</v>
      </c>
      <c r="H353" s="5" t="s">
        <v>5</v>
      </c>
      <c r="I353" s="5">
        <v>1</v>
      </c>
      <c r="J353" s="5">
        <v>36.4</v>
      </c>
      <c r="K353" s="5">
        <v>9</v>
      </c>
      <c r="L353" s="5">
        <v>5</v>
      </c>
      <c r="M353" s="5"/>
      <c r="N353" s="5"/>
      <c r="O353" t="s">
        <v>749</v>
      </c>
      <c r="P353" s="6">
        <v>7.3651412999999999E-2</v>
      </c>
      <c r="Q353" s="6">
        <v>9.8861999999999995E-3</v>
      </c>
      <c r="R353" s="6">
        <v>825</v>
      </c>
      <c r="S353" s="6">
        <v>1.0354170000000001E-3</v>
      </c>
      <c r="T353" s="6">
        <v>2</v>
      </c>
      <c r="U353" s="6">
        <v>0.11261895</v>
      </c>
      <c r="V353" s="6">
        <v>9.1939840000000005E-3</v>
      </c>
      <c r="W353" s="6">
        <v>5.1077700000000002E-4</v>
      </c>
      <c r="X353" s="6">
        <v>3.74755E-4</v>
      </c>
      <c r="Y353" s="6">
        <v>9.7666193999999998E-2</v>
      </c>
      <c r="Z353" s="6">
        <v>1.3446981E-2</v>
      </c>
      <c r="AA353" s="6">
        <v>6.9267963000000002E-2</v>
      </c>
      <c r="AB353" s="6">
        <v>9.3517470000000005E-3</v>
      </c>
      <c r="AC353" s="6">
        <v>5.5350640999999999E-2</v>
      </c>
      <c r="AD353" s="6">
        <v>7.7386740000000001E-3</v>
      </c>
      <c r="AE353" s="6">
        <v>7.3651412999999999E-2</v>
      </c>
      <c r="AF353" s="6">
        <v>9.8861999999999995E-3</v>
      </c>
      <c r="AG353" s="6">
        <v>4.8489059709999998</v>
      </c>
      <c r="AH353" s="6">
        <v>0.63609529600000003</v>
      </c>
      <c r="AI353" s="6">
        <v>-6.4750268230000003</v>
      </c>
      <c r="AJ353" s="6">
        <v>0.73248791099999999</v>
      </c>
      <c r="AK353" s="6">
        <v>8.0937767919999999</v>
      </c>
      <c r="AL353" s="6">
        <v>0.93258114700000005</v>
      </c>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row>
    <row r="354" spans="1:84" ht="16" x14ac:dyDescent="0.2">
      <c r="A354" s="4">
        <v>45867</v>
      </c>
      <c r="B354" s="19">
        <v>25210</v>
      </c>
      <c r="C354" s="5" t="s">
        <v>20</v>
      </c>
      <c r="D354" s="5">
        <v>35</v>
      </c>
      <c r="E354" s="53" t="s">
        <v>1403</v>
      </c>
      <c r="F354">
        <v>-54</v>
      </c>
      <c r="G354" s="5" t="s">
        <v>2</v>
      </c>
      <c r="H354" s="5" t="s">
        <v>3</v>
      </c>
      <c r="I354" s="5">
        <v>0.5</v>
      </c>
      <c r="J354" s="5">
        <v>30.2</v>
      </c>
      <c r="K354" s="5">
        <v>7.4</v>
      </c>
      <c r="L354" s="5">
        <v>4.3</v>
      </c>
      <c r="M354" s="5"/>
      <c r="N354" s="5"/>
      <c r="O354" t="s">
        <v>750</v>
      </c>
      <c r="P354" s="6">
        <v>7.0068011999999999E-2</v>
      </c>
      <c r="Q354" s="6">
        <v>1.8448508999999998E-2</v>
      </c>
      <c r="R354" s="6">
        <v>488</v>
      </c>
      <c r="S354" s="6">
        <v>2.1106459999999999E-3</v>
      </c>
      <c r="T354" s="6">
        <v>3.9999999979999998</v>
      </c>
      <c r="U354" s="6">
        <v>0.14111047099999999</v>
      </c>
      <c r="V354" s="6">
        <v>1.4957404000000001E-2</v>
      </c>
      <c r="W354" s="6">
        <v>8.3096699999999995E-4</v>
      </c>
      <c r="X354" s="6">
        <v>7.9561200000000001E-4</v>
      </c>
      <c r="Y354" s="6">
        <v>0.10679377</v>
      </c>
      <c r="Z354" s="6">
        <v>2.8906695E-2</v>
      </c>
      <c r="AA354" s="6">
        <v>6.1126100000000003E-2</v>
      </c>
      <c r="AB354" s="6">
        <v>1.6024045000000001E-2</v>
      </c>
      <c r="AC354" s="6">
        <v>4.3359795999999999E-2</v>
      </c>
      <c r="AD354" s="6">
        <v>1.0838445E-2</v>
      </c>
      <c r="AE354" s="6">
        <v>7.0068011999999999E-2</v>
      </c>
      <c r="AF354" s="6">
        <v>1.8448508999999998E-2</v>
      </c>
      <c r="AG354" s="6">
        <v>7.8568004809999996</v>
      </c>
      <c r="AH354" s="6">
        <v>0.30331309899999997</v>
      </c>
      <c r="AI354" s="6">
        <v>-10.086434958</v>
      </c>
      <c r="AJ354" s="6">
        <v>1.330339983</v>
      </c>
      <c r="AK354" s="6">
        <v>12.799475584</v>
      </c>
      <c r="AL354" s="6">
        <v>1.2247325419999999</v>
      </c>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row>
    <row r="355" spans="1:84" ht="16" x14ac:dyDescent="0.2">
      <c r="A355" s="4">
        <v>45867</v>
      </c>
      <c r="B355" s="19">
        <v>25210</v>
      </c>
      <c r="C355" s="5" t="s">
        <v>20</v>
      </c>
      <c r="D355" s="25">
        <v>36</v>
      </c>
      <c r="E355" s="53" t="s">
        <v>1404</v>
      </c>
      <c r="F355">
        <v>-30</v>
      </c>
      <c r="G355" s="5" t="s">
        <v>2</v>
      </c>
      <c r="H355" s="5" t="s">
        <v>3</v>
      </c>
      <c r="I355" s="5">
        <v>0.3</v>
      </c>
      <c r="J355" s="5" t="s">
        <v>8</v>
      </c>
      <c r="K355" s="5" t="s">
        <v>8</v>
      </c>
      <c r="L355" s="5" t="s">
        <v>8</v>
      </c>
      <c r="M355" s="5"/>
      <c r="N355" s="5"/>
      <c r="O355" t="s">
        <v>715</v>
      </c>
      <c r="P355" s="6">
        <v>7.1411067999999994E-2</v>
      </c>
      <c r="Q355" s="6">
        <v>1.8266058000000002E-2</v>
      </c>
      <c r="R355" s="6">
        <v>522</v>
      </c>
      <c r="S355" s="6">
        <v>2.058083E-3</v>
      </c>
      <c r="T355" s="6">
        <v>3.9999999979999998</v>
      </c>
      <c r="U355" s="6">
        <v>0.113043635</v>
      </c>
      <c r="V355" s="6">
        <v>1.8206092E-2</v>
      </c>
      <c r="W355" s="6">
        <v>1.0114499999999999E-3</v>
      </c>
      <c r="X355" s="6">
        <v>6.7589400000000002E-4</v>
      </c>
      <c r="Y355" s="6">
        <v>0.104815966</v>
      </c>
      <c r="Z355" s="6">
        <v>2.6307201999999998E-2</v>
      </c>
      <c r="AA355" s="6">
        <v>6.4133537000000004E-2</v>
      </c>
      <c r="AB355" s="6">
        <v>1.6411242999999999E-2</v>
      </c>
      <c r="AC355" s="6">
        <v>4.4508270000000003E-2</v>
      </c>
      <c r="AD355" s="6">
        <v>1.2570487999999999E-2</v>
      </c>
      <c r="AE355" s="6">
        <v>7.1411067999999994E-2</v>
      </c>
      <c r="AF355" s="6">
        <v>1.8266058000000002E-2</v>
      </c>
      <c r="AG355" s="6">
        <v>6.9700553259999998</v>
      </c>
      <c r="AH355" s="6">
        <v>0.27838031299999999</v>
      </c>
      <c r="AI355" s="6">
        <v>-10.119677118</v>
      </c>
      <c r="AJ355" s="6">
        <v>0.88401915799999997</v>
      </c>
      <c r="AK355" s="6">
        <v>12.292356099999999</v>
      </c>
      <c r="AL355" s="6">
        <v>0.86387950800000002</v>
      </c>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row>
    <row r="356" spans="1:84" ht="16" x14ac:dyDescent="0.2">
      <c r="A356" s="4">
        <v>45867</v>
      </c>
      <c r="B356" s="19">
        <v>25210</v>
      </c>
      <c r="C356" s="5" t="s">
        <v>20</v>
      </c>
      <c r="D356" s="25">
        <v>37</v>
      </c>
      <c r="E356" s="53" t="s">
        <v>1405</v>
      </c>
      <c r="F356">
        <v>-34.6</v>
      </c>
      <c r="G356" s="5" t="s">
        <v>2</v>
      </c>
      <c r="H356" s="5" t="s">
        <v>3</v>
      </c>
      <c r="I356" s="5">
        <v>0.5</v>
      </c>
      <c r="J356" s="5">
        <v>30.9</v>
      </c>
      <c r="K356" s="5">
        <v>7.2</v>
      </c>
      <c r="L356" s="5">
        <v>4.0999999999999996</v>
      </c>
      <c r="M356" s="5"/>
      <c r="N356" s="5"/>
      <c r="O356" t="s">
        <v>716</v>
      </c>
      <c r="P356" s="6">
        <v>7.9916750999999994E-2</v>
      </c>
      <c r="Q356" s="6">
        <v>2.4506343E-2</v>
      </c>
      <c r="R356" s="6">
        <v>523</v>
      </c>
      <c r="S356" s="6">
        <v>2.617702E-3</v>
      </c>
      <c r="T356" s="6">
        <v>2.8284271240000001</v>
      </c>
      <c r="U356" s="6">
        <v>0.124120443</v>
      </c>
      <c r="V356" s="6">
        <v>2.1090019000000002E-2</v>
      </c>
      <c r="W356" s="6">
        <v>1.1716680000000001E-3</v>
      </c>
      <c r="X356" s="6">
        <v>9.2686899999999998E-4</v>
      </c>
      <c r="Y356" s="6">
        <v>0.118387916</v>
      </c>
      <c r="Z356" s="6">
        <v>3.7046467E-2</v>
      </c>
      <c r="AA356" s="6">
        <v>7.0980628000000004E-2</v>
      </c>
      <c r="AB356" s="6">
        <v>2.1617725000000001E-2</v>
      </c>
      <c r="AC356" s="6">
        <v>5.0568751000000002E-2</v>
      </c>
      <c r="AD356" s="6">
        <v>1.5136966E-2</v>
      </c>
      <c r="AE356" s="6">
        <v>7.9916750999999994E-2</v>
      </c>
      <c r="AF356" s="6">
        <v>2.4506343E-2</v>
      </c>
      <c r="AG356" s="6">
        <v>7.0800888349999997</v>
      </c>
      <c r="AH356" s="6">
        <v>0.80770006999999999</v>
      </c>
      <c r="AI356" s="6">
        <v>-9.4939413130000005</v>
      </c>
      <c r="AJ356" s="6">
        <v>1.01635531</v>
      </c>
      <c r="AK356" s="6">
        <v>11.844495305000001</v>
      </c>
      <c r="AL356" s="6">
        <v>1.2867835000000001</v>
      </c>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row>
    <row r="357" spans="1:84" ht="16" x14ac:dyDescent="0.2">
      <c r="A357" s="4">
        <v>45867</v>
      </c>
      <c r="B357" s="19">
        <v>25210</v>
      </c>
      <c r="C357" s="5" t="s">
        <v>20</v>
      </c>
      <c r="D357" s="5">
        <v>38</v>
      </c>
      <c r="E357" s="53" t="s">
        <v>1406</v>
      </c>
      <c r="F357">
        <v>-36.799999999999997</v>
      </c>
      <c r="G357" s="5" t="s">
        <v>2</v>
      </c>
      <c r="H357" s="5" t="s">
        <v>6</v>
      </c>
      <c r="I357" s="5">
        <v>0.35</v>
      </c>
      <c r="J357" s="5">
        <v>25.75</v>
      </c>
      <c r="K357" s="5" t="s">
        <v>8</v>
      </c>
      <c r="L357" s="5" t="s">
        <v>8</v>
      </c>
      <c r="M357" s="5"/>
      <c r="N357" s="5"/>
      <c r="O357" t="s">
        <v>751</v>
      </c>
      <c r="P357" s="6">
        <v>7.4681088000000007E-2</v>
      </c>
      <c r="Q357" s="6">
        <v>1.1845095999999999E-2</v>
      </c>
      <c r="R357" s="6">
        <v>476</v>
      </c>
      <c r="S357" s="6">
        <v>1.504055E-3</v>
      </c>
      <c r="T357" s="6">
        <v>3.9999999979999998</v>
      </c>
      <c r="U357" s="6">
        <v>0.14230121800000001</v>
      </c>
      <c r="V357" s="6">
        <v>1.0569513000000001E-2</v>
      </c>
      <c r="W357" s="6">
        <v>5.8719499999999999E-4</v>
      </c>
      <c r="X357" s="6">
        <v>5.4105099999999997E-4</v>
      </c>
      <c r="Y357" s="6">
        <v>0.10514844199999999</v>
      </c>
      <c r="Z357" s="6">
        <v>1.6039544999999999E-2</v>
      </c>
      <c r="AA357" s="6">
        <v>6.7952190999999995E-2</v>
      </c>
      <c r="AB357" s="6">
        <v>1.1182123E-2</v>
      </c>
      <c r="AC357" s="6">
        <v>5.1233259000000003E-2</v>
      </c>
      <c r="AD357" s="6">
        <v>8.0640980000000004E-3</v>
      </c>
      <c r="AE357" s="6">
        <v>7.4681088000000007E-2</v>
      </c>
      <c r="AF357" s="6">
        <v>1.1845095999999999E-2</v>
      </c>
      <c r="AG357" s="6">
        <v>6.2140826489999998</v>
      </c>
      <c r="AH357" s="6">
        <v>0.37304481699999997</v>
      </c>
      <c r="AI357" s="6">
        <v>-8.1730719910000005</v>
      </c>
      <c r="AJ357" s="6">
        <v>0.16643240400000001</v>
      </c>
      <c r="AK357" s="6">
        <v>10.270983718</v>
      </c>
      <c r="AL357" s="6">
        <v>0.29583433799999997</v>
      </c>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row>
    <row r="358" spans="1:84" ht="16" x14ac:dyDescent="0.2">
      <c r="A358" s="4">
        <v>45867</v>
      </c>
      <c r="B358" s="19">
        <v>25210</v>
      </c>
      <c r="C358" s="5" t="s">
        <v>20</v>
      </c>
      <c r="D358" s="5">
        <v>39</v>
      </c>
      <c r="E358" s="53" t="s">
        <v>1407</v>
      </c>
      <c r="F358">
        <v>33.9</v>
      </c>
      <c r="G358" s="5" t="s">
        <v>2</v>
      </c>
      <c r="H358" s="5" t="s">
        <v>6</v>
      </c>
      <c r="I358" s="5">
        <v>0.25</v>
      </c>
      <c r="J358" s="5">
        <v>25.5</v>
      </c>
      <c r="K358" s="5" t="s">
        <v>8</v>
      </c>
      <c r="L358" s="5" t="s">
        <v>8</v>
      </c>
      <c r="M358" s="5"/>
      <c r="N358" s="5"/>
      <c r="O358" t="s">
        <v>752</v>
      </c>
      <c r="P358" s="6">
        <v>8.0513162999999999E-2</v>
      </c>
      <c r="Q358" s="6">
        <v>1.0620480999999999E-2</v>
      </c>
      <c r="R358" s="6">
        <v>508</v>
      </c>
      <c r="S358" s="6">
        <v>1.1507449999999999E-3</v>
      </c>
      <c r="T358" s="6">
        <v>31.999999932000001</v>
      </c>
      <c r="U358" s="6">
        <v>0.10355234200000001</v>
      </c>
      <c r="V358" s="6">
        <v>1.1112688000000001E-2</v>
      </c>
      <c r="W358" s="6">
        <v>6.1737200000000004E-4</v>
      </c>
      <c r="X358" s="6">
        <v>4.7584400000000001E-4</v>
      </c>
      <c r="Y358" s="6">
        <v>0.11744276300000001</v>
      </c>
      <c r="Z358" s="6">
        <v>1.3717002000000001E-2</v>
      </c>
      <c r="AA358" s="6">
        <v>7.2446584999999994E-2</v>
      </c>
      <c r="AB358" s="6">
        <v>1.0298905000000001E-2</v>
      </c>
      <c r="AC358" s="6">
        <v>5.0601511000000002E-2</v>
      </c>
      <c r="AD358" s="6">
        <v>7.9908189999999997E-3</v>
      </c>
      <c r="AE358" s="6">
        <v>8.0513162999999999E-2</v>
      </c>
      <c r="AF358" s="6">
        <v>1.0620480999999999E-2</v>
      </c>
      <c r="AG358" s="6">
        <v>6.8866974780000003</v>
      </c>
      <c r="AH358" s="6">
        <v>0.66732421099999994</v>
      </c>
      <c r="AI358" s="6">
        <v>-9.8768222800000007</v>
      </c>
      <c r="AJ358" s="6">
        <v>0.765141819</v>
      </c>
      <c r="AK358" s="6">
        <v>12.043934152</v>
      </c>
      <c r="AL358" s="6">
        <v>0.97595110699999998</v>
      </c>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row>
    <row r="359" spans="1:84" ht="16" x14ac:dyDescent="0.2">
      <c r="A359" s="4">
        <v>45867</v>
      </c>
      <c r="B359" s="19">
        <v>25210</v>
      </c>
      <c r="C359" s="5" t="s">
        <v>20</v>
      </c>
      <c r="D359" s="5">
        <v>40</v>
      </c>
      <c r="E359" s="53" t="s">
        <v>1408</v>
      </c>
      <c r="F359">
        <v>34</v>
      </c>
      <c r="G359" s="5" t="s">
        <v>2</v>
      </c>
      <c r="H359" s="5" t="s">
        <v>3</v>
      </c>
      <c r="I359" s="5">
        <v>1.05</v>
      </c>
      <c r="J359" s="5">
        <v>36.200000000000003</v>
      </c>
      <c r="K359" s="5">
        <v>8.9499999999999993</v>
      </c>
      <c r="L359" s="5">
        <v>5.35</v>
      </c>
      <c r="M359" s="5"/>
      <c r="N359" s="5"/>
      <c r="O359" t="s">
        <v>753</v>
      </c>
      <c r="P359" s="6">
        <v>8.6560799999999993E-2</v>
      </c>
      <c r="Q359" s="6">
        <v>9.4571710000000003E-3</v>
      </c>
      <c r="R359" s="6">
        <v>911</v>
      </c>
      <c r="S359" s="6">
        <v>1.0443469999999999E-3</v>
      </c>
      <c r="T359" s="6">
        <v>2</v>
      </c>
      <c r="U359" s="6">
        <v>0.13089858600000001</v>
      </c>
      <c r="V359" s="6">
        <v>7.978288E-3</v>
      </c>
      <c r="W359" s="6">
        <v>4.4323799999999999E-4</v>
      </c>
      <c r="X359" s="6">
        <v>4.4180000000000001E-4</v>
      </c>
      <c r="Y359" s="6">
        <v>0.114351646</v>
      </c>
      <c r="Z359" s="6">
        <v>1.3278593999999999E-2</v>
      </c>
      <c r="AA359" s="6">
        <v>8.1365370000000006E-2</v>
      </c>
      <c r="AB359" s="6">
        <v>9.0129890000000008E-3</v>
      </c>
      <c r="AC359" s="6">
        <v>6.4421200999999997E-2</v>
      </c>
      <c r="AD359" s="6">
        <v>7.3249150000000004E-3</v>
      </c>
      <c r="AE359" s="6">
        <v>8.6560799999999993E-2</v>
      </c>
      <c r="AF359" s="6">
        <v>9.4571710000000003E-3</v>
      </c>
      <c r="AG359" s="6">
        <v>4.8088211660000004</v>
      </c>
      <c r="AH359" s="6">
        <v>0.84113019700000002</v>
      </c>
      <c r="AI359" s="6">
        <v>-6.5898332140000004</v>
      </c>
      <c r="AJ359" s="6">
        <v>0.64531915399999995</v>
      </c>
      <c r="AK359" s="6">
        <v>8.1677809420000003</v>
      </c>
      <c r="AL359" s="6">
        <v>0.98070188000000003</v>
      </c>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row>
    <row r="360" spans="1:84" ht="16" x14ac:dyDescent="0.2">
      <c r="A360" s="4">
        <v>45867</v>
      </c>
      <c r="B360" s="19">
        <v>25210</v>
      </c>
      <c r="C360" s="5" t="s">
        <v>20</v>
      </c>
      <c r="D360" s="5">
        <v>41</v>
      </c>
      <c r="E360" s="53" t="s">
        <v>1409</v>
      </c>
      <c r="F360">
        <v>-30.8</v>
      </c>
      <c r="G360" s="5" t="s">
        <v>2</v>
      </c>
      <c r="H360" s="5" t="s">
        <v>3</v>
      </c>
      <c r="I360" s="5">
        <v>0.35</v>
      </c>
      <c r="J360" s="5">
        <v>28.9</v>
      </c>
      <c r="K360" s="5">
        <v>7.7</v>
      </c>
      <c r="L360" s="5">
        <v>4.05</v>
      </c>
      <c r="M360" s="5"/>
      <c r="N360" s="5"/>
      <c r="O360" t="s">
        <v>754</v>
      </c>
      <c r="P360" s="6">
        <v>8.0131094E-2</v>
      </c>
      <c r="Q360" s="6">
        <v>1.4331973E-2</v>
      </c>
      <c r="R360" s="6">
        <v>615</v>
      </c>
      <c r="S360" s="6">
        <v>1.5186189999999999E-3</v>
      </c>
      <c r="T360" s="6">
        <v>2.8284271240000001</v>
      </c>
      <c r="U360" s="6">
        <v>0.110941606</v>
      </c>
      <c r="V360" s="6">
        <v>1.3688455E-2</v>
      </c>
      <c r="W360" s="6">
        <v>7.6046999999999996E-4</v>
      </c>
      <c r="X360" s="6">
        <v>5.3681900000000001E-4</v>
      </c>
      <c r="Y360" s="6">
        <v>0.107794538</v>
      </c>
      <c r="Z360" s="6">
        <v>1.9030986999999999E-2</v>
      </c>
      <c r="AA360" s="6">
        <v>7.4563644999999998E-2</v>
      </c>
      <c r="AB360" s="6">
        <v>1.3615436E-2</v>
      </c>
      <c r="AC360" s="6">
        <v>5.8234572999999998E-2</v>
      </c>
      <c r="AD360" s="6">
        <v>1.0582542E-2</v>
      </c>
      <c r="AE360" s="6">
        <v>8.0131094E-2</v>
      </c>
      <c r="AF360" s="6">
        <v>1.4331973E-2</v>
      </c>
      <c r="AG360" s="6">
        <v>5.2291515970000004</v>
      </c>
      <c r="AH360" s="6">
        <v>0.41298580299999998</v>
      </c>
      <c r="AI360" s="6">
        <v>-7.0384729510000001</v>
      </c>
      <c r="AJ360" s="6">
        <v>0.91816960000000003</v>
      </c>
      <c r="AK360" s="6">
        <v>8.7757529900000009</v>
      </c>
      <c r="AL360" s="6">
        <v>0.94003653300000001</v>
      </c>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row>
    <row r="361" spans="1:84" ht="16" x14ac:dyDescent="0.2">
      <c r="A361" s="4">
        <v>45867</v>
      </c>
      <c r="B361" s="19">
        <v>25210</v>
      </c>
      <c r="C361" s="5" t="s">
        <v>20</v>
      </c>
      <c r="D361" s="25">
        <v>42</v>
      </c>
      <c r="E361" s="53" t="s">
        <v>1410</v>
      </c>
      <c r="F361">
        <v>-21.8</v>
      </c>
      <c r="G361" s="5" t="s">
        <v>2</v>
      </c>
      <c r="H361" s="5" t="s">
        <v>3</v>
      </c>
      <c r="I361" s="5">
        <v>1.1000000000000001</v>
      </c>
      <c r="J361" s="5">
        <v>37.35</v>
      </c>
      <c r="K361" s="5">
        <v>8.8000000000000007</v>
      </c>
      <c r="L361" s="5">
        <v>5.05</v>
      </c>
      <c r="M361" s="5"/>
      <c r="N361" s="5"/>
      <c r="O361" t="s">
        <v>717</v>
      </c>
      <c r="P361" s="6">
        <v>8.6401284999999994E-2</v>
      </c>
      <c r="Q361" s="6">
        <v>6.6398860000000002E-3</v>
      </c>
      <c r="R361" s="6">
        <v>1121</v>
      </c>
      <c r="S361" s="6">
        <v>7.9231899999999999E-4</v>
      </c>
      <c r="T361" s="6">
        <v>5.6568542449999999</v>
      </c>
      <c r="U361" s="6">
        <v>0.12322364299999999</v>
      </c>
      <c r="V361" s="6">
        <v>6.4299270000000002E-3</v>
      </c>
      <c r="W361" s="6">
        <v>3.5721800000000002E-4</v>
      </c>
      <c r="X361" s="6">
        <v>3.04529E-4</v>
      </c>
      <c r="Y361" s="6">
        <v>0.12930544999999999</v>
      </c>
      <c r="Z361" s="6">
        <v>9.6825209999999995E-3</v>
      </c>
      <c r="AA361" s="6">
        <v>7.4748229999999999E-2</v>
      </c>
      <c r="AB361" s="6">
        <v>6.026806E-3</v>
      </c>
      <c r="AC361" s="6">
        <v>6.0911395E-2</v>
      </c>
      <c r="AD361" s="6">
        <v>6.3787519999999997E-3</v>
      </c>
      <c r="AE361" s="6">
        <v>8.6401284999999994E-2</v>
      </c>
      <c r="AF361" s="6">
        <v>6.6398860000000002E-3</v>
      </c>
      <c r="AG361" s="6">
        <v>7.7586221460000004</v>
      </c>
      <c r="AH361" s="6">
        <v>0.49898942499999999</v>
      </c>
      <c r="AI361" s="6">
        <v>-7.8585657610000004</v>
      </c>
      <c r="AJ361" s="6">
        <v>1.0784332910000001</v>
      </c>
      <c r="AK361" s="6">
        <v>11.052048483</v>
      </c>
      <c r="AL361" s="6">
        <v>1.103328138</v>
      </c>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row>
    <row r="362" spans="1:84" ht="16" x14ac:dyDescent="0.2">
      <c r="A362" s="4">
        <v>45874</v>
      </c>
      <c r="B362" s="19">
        <v>25217</v>
      </c>
      <c r="C362" s="5" t="s">
        <v>46</v>
      </c>
      <c r="D362" s="5">
        <v>4</v>
      </c>
      <c r="E362" s="53" t="s">
        <v>1411</v>
      </c>
      <c r="F362">
        <v>-3.5</v>
      </c>
      <c r="G362" s="5" t="s">
        <v>2</v>
      </c>
      <c r="H362" s="5" t="s">
        <v>5</v>
      </c>
      <c r="I362" s="5">
        <v>1.1000000000000001</v>
      </c>
      <c r="J362" s="5">
        <v>39.6</v>
      </c>
      <c r="K362" s="5">
        <v>9.75</v>
      </c>
      <c r="L362" s="5">
        <v>5.9</v>
      </c>
      <c r="M362" s="5"/>
      <c r="N362" s="5"/>
      <c r="O362" s="9" t="s">
        <v>755</v>
      </c>
      <c r="P362" s="6">
        <v>4.2738686999999997E-2</v>
      </c>
      <c r="Q362" s="6">
        <v>4.5160199999999999E-3</v>
      </c>
      <c r="R362" s="6">
        <v>1213</v>
      </c>
      <c r="S362" s="6">
        <v>5.0696599999999997E-4</v>
      </c>
      <c r="T362" s="6">
        <v>90.509667729</v>
      </c>
      <c r="U362" s="6">
        <v>9.3059823999999999E-2</v>
      </c>
      <c r="V362" s="6">
        <v>5.4477420000000002E-3</v>
      </c>
      <c r="W362" s="6">
        <v>3.0265199999999999E-4</v>
      </c>
      <c r="X362" s="6">
        <v>1.78126E-4</v>
      </c>
      <c r="Y362" s="6">
        <v>5.8016575000000001E-2</v>
      </c>
      <c r="Z362" s="6">
        <v>8.4642980000000003E-3</v>
      </c>
      <c r="AA362" s="6">
        <v>4.147667E-2</v>
      </c>
      <c r="AB362" s="6">
        <v>3.6580359999999999E-3</v>
      </c>
      <c r="AC362" s="6">
        <v>2.9895616999999999E-2</v>
      </c>
      <c r="AD362" s="6">
        <v>2.4656230000000001E-3</v>
      </c>
      <c r="AE362" s="6">
        <v>4.2738686999999997E-2</v>
      </c>
      <c r="AF362" s="6">
        <v>4.5160199999999999E-3</v>
      </c>
      <c r="AG362" s="6">
        <v>4.6595032249999999</v>
      </c>
      <c r="AH362" s="6">
        <v>1.092449102</v>
      </c>
      <c r="AI362" s="6">
        <v>-8.0344390919999995</v>
      </c>
      <c r="AJ362" s="6">
        <v>1.0467699319999999</v>
      </c>
      <c r="AK362" s="6">
        <v>9.308506307</v>
      </c>
      <c r="AL362" s="6">
        <v>1.3797631939999999</v>
      </c>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row>
    <row r="363" spans="1:84" ht="16" x14ac:dyDescent="0.2">
      <c r="A363" s="4">
        <v>45874</v>
      </c>
      <c r="B363" s="19">
        <v>25217</v>
      </c>
      <c r="C363" s="5" t="s">
        <v>46</v>
      </c>
      <c r="D363" s="5">
        <v>5</v>
      </c>
      <c r="E363" s="53" t="s">
        <v>1412</v>
      </c>
      <c r="F363">
        <v>-5.7</v>
      </c>
      <c r="G363" s="5" t="s">
        <v>2</v>
      </c>
      <c r="H363" s="5" t="s">
        <v>6</v>
      </c>
      <c r="I363" s="5">
        <v>0.35</v>
      </c>
      <c r="J363" s="5">
        <v>24.55</v>
      </c>
      <c r="K363" s="5" t="s">
        <v>8</v>
      </c>
      <c r="L363" s="5" t="s">
        <v>8</v>
      </c>
      <c r="M363" s="5"/>
      <c r="N363" s="5"/>
      <c r="O363" t="s">
        <v>756</v>
      </c>
      <c r="P363" s="6">
        <v>4.9385223999999998E-2</v>
      </c>
      <c r="Q363" s="6">
        <v>1.1987327000000001E-2</v>
      </c>
      <c r="R363" s="6">
        <v>436</v>
      </c>
      <c r="S363" s="6">
        <v>1.1649410000000001E-3</v>
      </c>
      <c r="T363" s="6">
        <v>31.999999932000001</v>
      </c>
      <c r="U363" s="6">
        <v>0.10546316</v>
      </c>
      <c r="V363" s="6">
        <v>1.1045951E-2</v>
      </c>
      <c r="W363" s="6">
        <v>6.1366399999999998E-4</v>
      </c>
      <c r="X363" s="6">
        <v>4.8037600000000002E-4</v>
      </c>
      <c r="Y363" s="6">
        <v>7.4637718000000006E-2</v>
      </c>
      <c r="Z363" s="6">
        <v>1.7888417E-2</v>
      </c>
      <c r="AA363" s="6">
        <v>4.5304472999999998E-2</v>
      </c>
      <c r="AB363" s="6">
        <v>1.1146213E-2</v>
      </c>
      <c r="AC363" s="6">
        <v>2.5151045E-2</v>
      </c>
      <c r="AD363" s="6">
        <v>6.069868E-3</v>
      </c>
      <c r="AE363" s="6">
        <v>4.9385223999999998E-2</v>
      </c>
      <c r="AF363" s="6">
        <v>1.1987327000000001E-2</v>
      </c>
      <c r="AG363" s="6">
        <v>7.1004052499999997</v>
      </c>
      <c r="AH363" s="6">
        <v>0.29058917000000001</v>
      </c>
      <c r="AI363" s="6">
        <v>-13.72223692</v>
      </c>
      <c r="AJ363" s="6">
        <v>0.89808886300000002</v>
      </c>
      <c r="AK363" s="6">
        <v>15.453045112</v>
      </c>
      <c r="AL363" s="6">
        <v>0.89986423199999999</v>
      </c>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row>
    <row r="364" spans="1:84" ht="16" x14ac:dyDescent="0.2">
      <c r="A364" s="4">
        <v>45874</v>
      </c>
      <c r="B364" s="19">
        <v>25217</v>
      </c>
      <c r="C364" s="5" t="s">
        <v>46</v>
      </c>
      <c r="D364" s="5">
        <v>6</v>
      </c>
      <c r="E364" s="53" t="s">
        <v>1413</v>
      </c>
      <c r="F364">
        <v>26.7</v>
      </c>
      <c r="G364" s="5" t="s">
        <v>2</v>
      </c>
      <c r="H364" s="5" t="s">
        <v>6</v>
      </c>
      <c r="I364" s="5">
        <v>0.2</v>
      </c>
      <c r="J364" s="5">
        <v>22.7</v>
      </c>
      <c r="K364" s="5" t="s">
        <v>8</v>
      </c>
      <c r="L364" s="5" t="s">
        <v>8</v>
      </c>
      <c r="M364" s="5"/>
      <c r="N364" s="5"/>
      <c r="O364" t="s">
        <v>757</v>
      </c>
      <c r="P364" s="6">
        <v>3.7697071999999998E-2</v>
      </c>
      <c r="Q364" s="6">
        <v>8.6167759999999996E-3</v>
      </c>
      <c r="R364" s="6">
        <v>350</v>
      </c>
      <c r="S364" s="6">
        <v>8.8247100000000001E-4</v>
      </c>
      <c r="T364" s="6">
        <v>31.999999932000001</v>
      </c>
      <c r="U364" s="6">
        <v>0.101039379</v>
      </c>
      <c r="V364" s="6">
        <v>8.7339280000000002E-3</v>
      </c>
      <c r="W364" s="6">
        <v>4.8521799999999999E-4</v>
      </c>
      <c r="X364" s="6">
        <v>3.6295899999999999E-4</v>
      </c>
      <c r="Y364" s="6">
        <v>5.6854762000000003E-2</v>
      </c>
      <c r="Z364" s="6">
        <v>1.2828936000000001E-2</v>
      </c>
      <c r="AA364" s="6">
        <v>3.4333923000000002E-2</v>
      </c>
      <c r="AB364" s="6">
        <v>7.9792879999999993E-3</v>
      </c>
      <c r="AC364" s="6">
        <v>2.1339053E-2</v>
      </c>
      <c r="AD364" s="6">
        <v>4.8773109999999996E-3</v>
      </c>
      <c r="AE364" s="6">
        <v>3.7697071999999998E-2</v>
      </c>
      <c r="AF364" s="6">
        <v>8.6167759999999996E-3</v>
      </c>
      <c r="AG364" s="6">
        <v>7.1681658390000003</v>
      </c>
      <c r="AH364" s="6">
        <v>0.24479720899999999</v>
      </c>
      <c r="AI364" s="6">
        <v>-11.898969457</v>
      </c>
      <c r="AJ364" s="6">
        <v>0.57470880099999999</v>
      </c>
      <c r="AK364" s="6">
        <v>13.895557160999999</v>
      </c>
      <c r="AL364" s="6">
        <v>0.52100161099999998</v>
      </c>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row>
    <row r="365" spans="1:84" ht="16" x14ac:dyDescent="0.2">
      <c r="A365" s="4">
        <v>45874</v>
      </c>
      <c r="B365" s="19">
        <v>25217</v>
      </c>
      <c r="C365" s="5" t="s">
        <v>46</v>
      </c>
      <c r="D365" s="25">
        <v>7</v>
      </c>
      <c r="E365" s="53" t="s">
        <v>1414</v>
      </c>
      <c r="F365">
        <v>23.2</v>
      </c>
      <c r="G365" s="5" t="s">
        <v>2</v>
      </c>
      <c r="H365" s="5" t="s">
        <v>3</v>
      </c>
      <c r="I365" s="5">
        <v>0.6</v>
      </c>
      <c r="J365" s="5">
        <v>35.5</v>
      </c>
      <c r="K365" s="5">
        <v>7.75</v>
      </c>
      <c r="L365" s="5">
        <v>4.95</v>
      </c>
      <c r="M365" s="5"/>
      <c r="N365" s="5"/>
      <c r="O365" t="s">
        <v>758</v>
      </c>
      <c r="P365" s="6">
        <v>6.3649846999999996E-2</v>
      </c>
      <c r="Q365" s="6">
        <v>1.1461120999999999E-2</v>
      </c>
      <c r="R365" s="6">
        <v>796</v>
      </c>
      <c r="S365" s="6">
        <v>1.291241E-3</v>
      </c>
      <c r="T365" s="6">
        <v>5.6568542449999999</v>
      </c>
      <c r="U365" s="6">
        <v>0.120156662</v>
      </c>
      <c r="V365" s="6">
        <v>1.0746313E-2</v>
      </c>
      <c r="W365" s="6">
        <v>5.9701700000000003E-4</v>
      </c>
      <c r="X365" s="6">
        <v>4.4078699999999999E-4</v>
      </c>
      <c r="Y365" s="6">
        <v>9.4926739999999996E-2</v>
      </c>
      <c r="Z365" s="6">
        <v>1.6639596999999999E-2</v>
      </c>
      <c r="AA365" s="6">
        <v>5.8431537999999998E-2</v>
      </c>
      <c r="AB365" s="6">
        <v>1.071589E-2</v>
      </c>
      <c r="AC365" s="6">
        <v>3.4836037E-2</v>
      </c>
      <c r="AD365" s="6">
        <v>6.9600879999999997E-3</v>
      </c>
      <c r="AE365" s="6">
        <v>6.3649846999999996E-2</v>
      </c>
      <c r="AF365" s="6">
        <v>1.1461120999999999E-2</v>
      </c>
      <c r="AG365" s="6">
        <v>6.8879851820000004</v>
      </c>
      <c r="AH365" s="6">
        <v>0.49490778000000002</v>
      </c>
      <c r="AI365" s="6">
        <v>-12.489020204999999</v>
      </c>
      <c r="AJ365" s="6">
        <v>0.93150175700000004</v>
      </c>
      <c r="AK365" s="6">
        <v>14.265438367</v>
      </c>
      <c r="AL365" s="6">
        <v>1.0147705039999999</v>
      </c>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row>
    <row r="366" spans="1:84" ht="16" x14ac:dyDescent="0.2">
      <c r="A366" s="4">
        <v>45874</v>
      </c>
      <c r="B366" s="19">
        <v>25217</v>
      </c>
      <c r="C366" s="5" t="s">
        <v>46</v>
      </c>
      <c r="D366" s="5">
        <v>8</v>
      </c>
      <c r="E366" s="53" t="s">
        <v>1415</v>
      </c>
      <c r="F366">
        <v>27.2</v>
      </c>
      <c r="G366" s="5" t="s">
        <v>2</v>
      </c>
      <c r="H366" s="5" t="s">
        <v>6</v>
      </c>
      <c r="I366" s="5">
        <v>0.15</v>
      </c>
      <c r="J366" s="5">
        <v>19.399999999999999</v>
      </c>
      <c r="K366" s="5" t="s">
        <v>8</v>
      </c>
      <c r="L366" s="5" t="s">
        <v>8</v>
      </c>
      <c r="M366" s="5"/>
      <c r="N366" s="5"/>
      <c r="O366" t="s">
        <v>759</v>
      </c>
      <c r="P366" s="6">
        <v>2.2941588999999998E-2</v>
      </c>
      <c r="Q366" s="6">
        <v>7.771722E-3</v>
      </c>
      <c r="R366" s="6">
        <v>244</v>
      </c>
      <c r="S366" s="6">
        <v>7.9224199999999997E-4</v>
      </c>
      <c r="T366" s="6">
        <v>3.9999999979999998</v>
      </c>
      <c r="U366" s="6">
        <v>0.115257871</v>
      </c>
      <c r="V366" s="6">
        <v>6.8736439999999999E-3</v>
      </c>
      <c r="W366" s="6">
        <v>3.8186900000000001E-4</v>
      </c>
      <c r="X366" s="6">
        <v>3.4113500000000001E-4</v>
      </c>
      <c r="Y366" s="6">
        <v>3.6126025999999999E-2</v>
      </c>
      <c r="Z366" s="6">
        <v>1.1973295E-2</v>
      </c>
      <c r="AA366" s="6">
        <v>2.0207979000000001E-2</v>
      </c>
      <c r="AB366" s="6">
        <v>6.9589650000000001E-3</v>
      </c>
      <c r="AC366" s="6">
        <v>1.2442942E-2</v>
      </c>
      <c r="AD366" s="6">
        <v>4.3167179999999998E-3</v>
      </c>
      <c r="AE366" s="6">
        <v>2.2941588999999998E-2</v>
      </c>
      <c r="AF366" s="6">
        <v>7.771722E-3</v>
      </c>
      <c r="AG366" s="6">
        <v>8.2814282729999995</v>
      </c>
      <c r="AH366" s="6">
        <v>0.58261346800000002</v>
      </c>
      <c r="AI366" s="6">
        <v>-12.716849952</v>
      </c>
      <c r="AJ366" s="6">
        <v>0.875927809</v>
      </c>
      <c r="AK366" s="6">
        <v>15.177775297</v>
      </c>
      <c r="AL366" s="6">
        <v>1.020728584</v>
      </c>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row>
    <row r="367" spans="1:84" ht="16" x14ac:dyDescent="0.2">
      <c r="A367" s="4">
        <v>45874</v>
      </c>
      <c r="B367" s="19">
        <v>25217</v>
      </c>
      <c r="C367" s="5" t="s">
        <v>46</v>
      </c>
      <c r="D367" s="5">
        <v>9</v>
      </c>
      <c r="E367" s="53" t="s">
        <v>1416</v>
      </c>
      <c r="F367">
        <v>-48.2</v>
      </c>
      <c r="G367" s="5" t="s">
        <v>2</v>
      </c>
      <c r="H367" s="5" t="s">
        <v>3</v>
      </c>
      <c r="I367" s="5">
        <v>1.05</v>
      </c>
      <c r="J367" s="5">
        <v>39.6</v>
      </c>
      <c r="K367" s="5">
        <v>10.1</v>
      </c>
      <c r="L367" s="5">
        <v>5.6</v>
      </c>
      <c r="M367" s="5"/>
      <c r="N367" s="5"/>
      <c r="O367" t="s">
        <v>760</v>
      </c>
      <c r="P367" s="6">
        <v>6.2131291999999998E-2</v>
      </c>
      <c r="Q367" s="6">
        <v>5.1188650000000002E-3</v>
      </c>
      <c r="R367" s="6">
        <v>1338</v>
      </c>
      <c r="S367" s="6">
        <v>5.2158599999999999E-4</v>
      </c>
      <c r="T367" s="6">
        <v>5.6568542449999999</v>
      </c>
      <c r="U367" s="6">
        <v>0.102924841</v>
      </c>
      <c r="V367" s="6">
        <v>5.067635E-3</v>
      </c>
      <c r="W367" s="6">
        <v>2.8153500000000002E-4</v>
      </c>
      <c r="X367" s="6">
        <v>2.10022E-4</v>
      </c>
      <c r="Y367" s="6">
        <v>9.9846568999999996E-2</v>
      </c>
      <c r="Z367" s="6">
        <v>7.3174349999999997E-3</v>
      </c>
      <c r="AA367" s="6">
        <v>5.4321528000000001E-2</v>
      </c>
      <c r="AB367" s="6">
        <v>5.1068420000000003E-3</v>
      </c>
      <c r="AC367" s="6">
        <v>3.2359236999999999E-2</v>
      </c>
      <c r="AD367" s="6">
        <v>3.0754770000000001E-3</v>
      </c>
      <c r="AE367" s="6">
        <v>6.2131291999999998E-2</v>
      </c>
      <c r="AF367" s="6">
        <v>5.1188650000000002E-3</v>
      </c>
      <c r="AG367" s="6">
        <v>8.6383197070000008</v>
      </c>
      <c r="AH367" s="6">
        <v>0.73067441200000005</v>
      </c>
      <c r="AI367" s="6">
        <v>-13.449298410000001</v>
      </c>
      <c r="AJ367" s="6">
        <v>0.50349771200000004</v>
      </c>
      <c r="AK367" s="6">
        <v>15.989653220999999</v>
      </c>
      <c r="AL367" s="6">
        <v>0.78895942299999999</v>
      </c>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row>
    <row r="368" spans="1:84" ht="16" x14ac:dyDescent="0.2">
      <c r="A368" s="4">
        <v>45874</v>
      </c>
      <c r="B368" s="19">
        <v>25217</v>
      </c>
      <c r="C368" s="5" t="s">
        <v>46</v>
      </c>
      <c r="D368" s="5">
        <v>10</v>
      </c>
      <c r="E368" s="53" t="s">
        <v>1417</v>
      </c>
      <c r="F368">
        <v>36.299999999999997</v>
      </c>
      <c r="G368" s="5" t="s">
        <v>2</v>
      </c>
      <c r="H368" s="5" t="s">
        <v>6</v>
      </c>
      <c r="I368" s="5">
        <v>0.25</v>
      </c>
      <c r="J368" s="5">
        <v>22.45</v>
      </c>
      <c r="K368" s="5" t="s">
        <v>8</v>
      </c>
      <c r="L368" s="5" t="s">
        <v>8</v>
      </c>
      <c r="M368" s="5"/>
      <c r="N368" s="5"/>
      <c r="O368" t="s">
        <v>761</v>
      </c>
      <c r="P368" s="6">
        <v>4.8437088000000003E-2</v>
      </c>
      <c r="Q368" s="6">
        <v>1.0814666000000001E-2</v>
      </c>
      <c r="R368" s="6">
        <v>382</v>
      </c>
      <c r="S368" s="6">
        <v>1.0618240000000001E-3</v>
      </c>
      <c r="T368" s="6">
        <v>3.9999999979999998</v>
      </c>
      <c r="U368" s="6">
        <v>0.115374001</v>
      </c>
      <c r="V368" s="6">
        <v>9.203325E-3</v>
      </c>
      <c r="W368" s="6">
        <v>5.1129599999999995E-4</v>
      </c>
      <c r="X368" s="6">
        <v>4.5440699999999999E-4</v>
      </c>
      <c r="Y368" s="6">
        <v>7.5261641000000004E-2</v>
      </c>
      <c r="Z368" s="6">
        <v>1.6839758E-2</v>
      </c>
      <c r="AA368" s="6">
        <v>4.2681917999999999E-2</v>
      </c>
      <c r="AB368" s="6">
        <v>9.5374280000000006E-3</v>
      </c>
      <c r="AC368" s="6">
        <v>2.7833943999999999E-2</v>
      </c>
      <c r="AD368" s="6">
        <v>6.3699480000000003E-3</v>
      </c>
      <c r="AE368" s="6">
        <v>4.8437088000000003E-2</v>
      </c>
      <c r="AF368" s="6">
        <v>1.0814666000000001E-2</v>
      </c>
      <c r="AG368" s="6">
        <v>8.018300601</v>
      </c>
      <c r="AH368" s="6">
        <v>0.34040340400000002</v>
      </c>
      <c r="AI368" s="6">
        <v>-11.631820746000001</v>
      </c>
      <c r="AJ368" s="6">
        <v>0.76481524099999998</v>
      </c>
      <c r="AK368" s="6">
        <v>14.129245271</v>
      </c>
      <c r="AL368" s="6">
        <v>0.81088263500000002</v>
      </c>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row>
    <row r="369" spans="1:84" ht="16" x14ac:dyDescent="0.2">
      <c r="A369" s="4">
        <v>45874</v>
      </c>
      <c r="B369" s="19">
        <v>25217</v>
      </c>
      <c r="C369" s="5" t="s">
        <v>46</v>
      </c>
      <c r="D369" s="5">
        <v>11</v>
      </c>
      <c r="E369" s="53" t="s">
        <v>1418</v>
      </c>
      <c r="F369">
        <v>-37.700000000000003</v>
      </c>
      <c r="G369" s="5" t="s">
        <v>2</v>
      </c>
      <c r="H369" s="5" t="s">
        <v>6</v>
      </c>
      <c r="I369" s="5">
        <v>0.35</v>
      </c>
      <c r="J369" s="5">
        <v>27.5</v>
      </c>
      <c r="K369" s="5" t="s">
        <v>8</v>
      </c>
      <c r="L369" s="5" t="s">
        <v>8</v>
      </c>
      <c r="M369" s="5"/>
      <c r="N369" s="5"/>
      <c r="O369" t="s">
        <v>762</v>
      </c>
      <c r="P369" s="6">
        <v>5.4735543999999997E-2</v>
      </c>
      <c r="Q369" s="6">
        <v>6.1477390000000002E-3</v>
      </c>
      <c r="R369" s="6">
        <v>629</v>
      </c>
      <c r="S369" s="6">
        <v>6.7504399999999997E-4</v>
      </c>
      <c r="T369" s="6">
        <v>11.313708483999999</v>
      </c>
      <c r="U369" s="6">
        <v>0.108930049</v>
      </c>
      <c r="V369" s="6">
        <v>6.197045E-3</v>
      </c>
      <c r="W369" s="6">
        <v>3.4427999999999998E-4</v>
      </c>
      <c r="X369" s="6">
        <v>2.4130700000000001E-4</v>
      </c>
      <c r="Y369" s="6">
        <v>7.8430567000000007E-2</v>
      </c>
      <c r="Z369" s="6">
        <v>8.8375869999999992E-3</v>
      </c>
      <c r="AA369" s="6">
        <v>5.1510348999999997E-2</v>
      </c>
      <c r="AB369" s="6">
        <v>5.755189E-3</v>
      </c>
      <c r="AC369" s="6">
        <v>3.2115589999999999E-2</v>
      </c>
      <c r="AD369" s="6">
        <v>3.9987379999999999E-3</v>
      </c>
      <c r="AE369" s="6">
        <v>5.4735543999999997E-2</v>
      </c>
      <c r="AF369" s="6">
        <v>6.1477390000000002E-3</v>
      </c>
      <c r="AG369" s="6">
        <v>5.9465575939999997</v>
      </c>
      <c r="AH369" s="6">
        <v>0.27876548099999998</v>
      </c>
      <c r="AI369" s="6">
        <v>-11.178101205000001</v>
      </c>
      <c r="AJ369" s="6">
        <v>0.57227401600000005</v>
      </c>
      <c r="AK369" s="6">
        <v>12.663622879</v>
      </c>
      <c r="AL369" s="6">
        <v>0.590989396</v>
      </c>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row>
    <row r="370" spans="1:84" ht="16" x14ac:dyDescent="0.2">
      <c r="A370" s="4">
        <v>45874</v>
      </c>
      <c r="B370" s="19">
        <v>25217</v>
      </c>
      <c r="C370" s="5" t="s">
        <v>46</v>
      </c>
      <c r="D370" s="5">
        <v>12</v>
      </c>
      <c r="E370" s="53" t="s">
        <v>1419</v>
      </c>
      <c r="F370">
        <v>24.8</v>
      </c>
      <c r="G370" s="5" t="s">
        <v>2</v>
      </c>
      <c r="H370" s="5" t="s">
        <v>3</v>
      </c>
      <c r="I370" s="5">
        <v>0.45</v>
      </c>
      <c r="J370" s="5">
        <v>30.5</v>
      </c>
      <c r="K370" s="5">
        <v>8</v>
      </c>
      <c r="L370" s="5">
        <v>4.55</v>
      </c>
      <c r="M370" s="5"/>
      <c r="N370" s="5"/>
      <c r="O370" t="s">
        <v>763</v>
      </c>
      <c r="P370" s="6">
        <v>6.163747E-2</v>
      </c>
      <c r="Q370" s="6">
        <v>7.4569900000000001E-3</v>
      </c>
      <c r="R370" s="6">
        <v>649</v>
      </c>
      <c r="S370" s="6">
        <v>8.0863599999999995E-4</v>
      </c>
      <c r="T370" s="6">
        <v>11.313708483999999</v>
      </c>
      <c r="U370" s="6">
        <v>0.113168875</v>
      </c>
      <c r="V370" s="6">
        <v>7.1453940000000002E-3</v>
      </c>
      <c r="W370" s="6">
        <v>3.9696600000000001E-4</v>
      </c>
      <c r="X370" s="6">
        <v>3.25462E-4</v>
      </c>
      <c r="Y370" s="6">
        <v>9.4778211000000001E-2</v>
      </c>
      <c r="Z370" s="6">
        <v>1.1295807999999999E-2</v>
      </c>
      <c r="AA370" s="6">
        <v>5.5887312000000001E-2</v>
      </c>
      <c r="AB370" s="6">
        <v>6.9222559999999999E-3</v>
      </c>
      <c r="AC370" s="6">
        <v>3.1169339000000001E-2</v>
      </c>
      <c r="AD370" s="6">
        <v>3.8908969999999999E-3</v>
      </c>
      <c r="AE370" s="6">
        <v>6.163747E-2</v>
      </c>
      <c r="AF370" s="6">
        <v>7.4569900000000001E-3</v>
      </c>
      <c r="AG370" s="6">
        <v>7.4810168609999996</v>
      </c>
      <c r="AH370" s="6">
        <v>0.33412618199999999</v>
      </c>
      <c r="AI370" s="6">
        <v>-13.852475416000001</v>
      </c>
      <c r="AJ370" s="6">
        <v>0.5349777</v>
      </c>
      <c r="AK370" s="6">
        <v>15.745052768000001</v>
      </c>
      <c r="AL370" s="6">
        <v>0.58971628099999995</v>
      </c>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row>
    <row r="371" spans="1:84" ht="16" x14ac:dyDescent="0.2">
      <c r="A371" s="4">
        <v>45874</v>
      </c>
      <c r="B371" s="19">
        <v>25217</v>
      </c>
      <c r="C371" s="5" t="s">
        <v>46</v>
      </c>
      <c r="D371" s="5">
        <v>13</v>
      </c>
      <c r="E371" s="53" t="s">
        <v>1420</v>
      </c>
      <c r="F371">
        <v>-25.9</v>
      </c>
      <c r="G371" s="5" t="s">
        <v>2</v>
      </c>
      <c r="H371" s="5" t="s">
        <v>6</v>
      </c>
      <c r="I371" s="5">
        <v>0.25</v>
      </c>
      <c r="J371" s="5">
        <v>22.95</v>
      </c>
      <c r="K371" s="5" t="s">
        <v>8</v>
      </c>
      <c r="L371" s="5" t="s">
        <v>8</v>
      </c>
      <c r="M371" s="5"/>
      <c r="N371" s="5"/>
      <c r="O371" t="s">
        <v>764</v>
      </c>
      <c r="P371" s="6">
        <v>4.1398104999999998E-2</v>
      </c>
      <c r="Q371" s="6">
        <v>8.8805659999999995E-3</v>
      </c>
      <c r="R371" s="6">
        <v>366</v>
      </c>
      <c r="S371" s="6">
        <v>9.8317799999999992E-4</v>
      </c>
      <c r="T371" s="6">
        <v>11.313708483999999</v>
      </c>
      <c r="U371" s="6">
        <v>0.12548109099999999</v>
      </c>
      <c r="V371" s="6">
        <v>7.8352709999999996E-3</v>
      </c>
      <c r="W371" s="6">
        <v>4.3529300000000001E-4</v>
      </c>
      <c r="X371" s="6">
        <v>3.9796200000000002E-4</v>
      </c>
      <c r="Y371" s="6">
        <v>6.1943830999999998E-2</v>
      </c>
      <c r="Z371" s="6">
        <v>1.2818825000000001E-2</v>
      </c>
      <c r="AA371" s="6">
        <v>3.7647812000000003E-2</v>
      </c>
      <c r="AB371" s="6">
        <v>8.3165649999999997E-3</v>
      </c>
      <c r="AC371" s="6">
        <v>2.4108381000000002E-2</v>
      </c>
      <c r="AD371" s="6">
        <v>5.2004870000000002E-3</v>
      </c>
      <c r="AE371" s="6">
        <v>4.1398104999999998E-2</v>
      </c>
      <c r="AF371" s="6">
        <v>8.8805659999999995E-3</v>
      </c>
      <c r="AG371" s="6">
        <v>7.0982308170000001</v>
      </c>
      <c r="AH371" s="6">
        <v>0.31177439000000001</v>
      </c>
      <c r="AI371" s="6">
        <v>-11.368361874</v>
      </c>
      <c r="AJ371" s="6">
        <v>0.52381322500000005</v>
      </c>
      <c r="AK371" s="6">
        <v>13.405172780999999</v>
      </c>
      <c r="AL371" s="6">
        <v>0.545211789</v>
      </c>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row>
    <row r="372" spans="1:84" ht="16" x14ac:dyDescent="0.2">
      <c r="A372" s="4">
        <v>45874</v>
      </c>
      <c r="B372" s="19">
        <v>25217</v>
      </c>
      <c r="C372" s="5" t="s">
        <v>46</v>
      </c>
      <c r="D372" s="5">
        <v>14</v>
      </c>
      <c r="E372" s="53" t="s">
        <v>1421</v>
      </c>
      <c r="F372">
        <v>-20.3</v>
      </c>
      <c r="G372" s="5" t="s">
        <v>2</v>
      </c>
      <c r="H372" s="5" t="s">
        <v>6</v>
      </c>
      <c r="I372" s="5">
        <v>0.15</v>
      </c>
      <c r="J372" s="5">
        <v>22.8</v>
      </c>
      <c r="K372" s="5" t="s">
        <v>8</v>
      </c>
      <c r="L372" s="5" t="s">
        <v>8</v>
      </c>
      <c r="M372" s="5"/>
      <c r="N372" s="5"/>
      <c r="O372" t="s">
        <v>765</v>
      </c>
      <c r="P372" s="6">
        <v>3.3553779999999998E-2</v>
      </c>
      <c r="Q372" s="6">
        <v>1.0768714E-2</v>
      </c>
      <c r="R372" s="6">
        <v>265</v>
      </c>
      <c r="S372" s="6">
        <v>1.129819E-3</v>
      </c>
      <c r="T372" s="6">
        <v>2.8284271240000001</v>
      </c>
      <c r="U372" s="6">
        <v>0.132227809</v>
      </c>
      <c r="V372" s="6">
        <v>8.5444860000000004E-3</v>
      </c>
      <c r="W372" s="6">
        <v>4.7469400000000001E-4</v>
      </c>
      <c r="X372" s="6">
        <v>4.7847500000000002E-4</v>
      </c>
      <c r="Y372" s="6">
        <v>5.2607661E-2</v>
      </c>
      <c r="Z372" s="6">
        <v>1.7486139000000001E-2</v>
      </c>
      <c r="AA372" s="6">
        <v>2.9881205000000001E-2</v>
      </c>
      <c r="AB372" s="6">
        <v>9.4874629999999998E-3</v>
      </c>
      <c r="AC372" s="6">
        <v>1.6792537999999999E-2</v>
      </c>
      <c r="AD372" s="6">
        <v>4.9147430000000001E-3</v>
      </c>
      <c r="AE372" s="6">
        <v>3.3553779999999998E-2</v>
      </c>
      <c r="AF372" s="6">
        <v>1.0768714E-2</v>
      </c>
      <c r="AG372" s="6">
        <v>7.827648784</v>
      </c>
      <c r="AH372" s="6">
        <v>0.72724837499999995</v>
      </c>
      <c r="AI372" s="6">
        <v>-13.644479820000001</v>
      </c>
      <c r="AJ372" s="6">
        <v>1.7249244500000001</v>
      </c>
      <c r="AK372" s="6">
        <v>15.732856772</v>
      </c>
      <c r="AL372" s="6">
        <v>1.8506997279999999</v>
      </c>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row>
    <row r="373" spans="1:84" ht="16" x14ac:dyDescent="0.2">
      <c r="A373" s="4">
        <v>45874</v>
      </c>
      <c r="B373" s="19">
        <v>25217</v>
      </c>
      <c r="C373" s="5" t="s">
        <v>46</v>
      </c>
      <c r="D373" s="5">
        <v>15</v>
      </c>
      <c r="E373" s="53" t="s">
        <v>1422</v>
      </c>
      <c r="F373">
        <v>16.3</v>
      </c>
      <c r="G373" s="5" t="s">
        <v>2</v>
      </c>
      <c r="H373" s="5" t="s">
        <v>3</v>
      </c>
      <c r="I373" s="5">
        <v>1.1499999999999999</v>
      </c>
      <c r="J373" s="5">
        <v>41.2</v>
      </c>
      <c r="K373" s="5">
        <v>9.9</v>
      </c>
      <c r="L373" s="5">
        <v>5.8</v>
      </c>
      <c r="M373" s="5"/>
      <c r="N373" s="5"/>
      <c r="O373" t="s">
        <v>766</v>
      </c>
      <c r="P373" s="6">
        <v>5.4893723999999998E-2</v>
      </c>
      <c r="Q373" s="6">
        <v>4.7256470000000004E-3</v>
      </c>
      <c r="R373" s="6">
        <v>1237</v>
      </c>
      <c r="S373" s="6">
        <v>5.8201300000000004E-4</v>
      </c>
      <c r="T373" s="6">
        <v>7.9999999920000002</v>
      </c>
      <c r="U373" s="6">
        <v>0.122406417</v>
      </c>
      <c r="V373" s="6">
        <v>4.7547620000000001E-3</v>
      </c>
      <c r="W373" s="6">
        <v>2.6415299999999999E-4</v>
      </c>
      <c r="X373" s="6">
        <v>2.1791399999999999E-4</v>
      </c>
      <c r="Y373" s="6">
        <v>8.0667283000000006E-2</v>
      </c>
      <c r="Z373" s="6">
        <v>7.2674799999999998E-3</v>
      </c>
      <c r="AA373" s="6">
        <v>5.0999232999999998E-2</v>
      </c>
      <c r="AB373" s="6">
        <v>4.204045E-3</v>
      </c>
      <c r="AC373" s="6">
        <v>3.2449806999999997E-2</v>
      </c>
      <c r="AD373" s="6">
        <v>2.8275919999999999E-3</v>
      </c>
      <c r="AE373" s="6">
        <v>5.4893723999999998E-2</v>
      </c>
      <c r="AF373" s="6">
        <v>4.7256470000000004E-3</v>
      </c>
      <c r="AG373" s="6">
        <v>6.4774759470000003</v>
      </c>
      <c r="AH373" s="6">
        <v>0.45564912499999999</v>
      </c>
      <c r="AI373" s="6">
        <v>-11.127904217999999</v>
      </c>
      <c r="AJ373" s="6">
        <v>0.48496558899999997</v>
      </c>
      <c r="AK373" s="6">
        <v>12.879570007</v>
      </c>
      <c r="AL373" s="6">
        <v>0.58936741800000003</v>
      </c>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row>
    <row r="374" spans="1:84" ht="16" x14ac:dyDescent="0.2">
      <c r="A374" s="4">
        <v>45874</v>
      </c>
      <c r="B374" s="19">
        <v>25217</v>
      </c>
      <c r="C374" s="5" t="s">
        <v>46</v>
      </c>
      <c r="D374" s="5">
        <v>16</v>
      </c>
      <c r="E374" s="53" t="s">
        <v>1423</v>
      </c>
      <c r="F374">
        <v>57.3</v>
      </c>
      <c r="G374" s="43" t="s">
        <v>12</v>
      </c>
      <c r="H374" s="5" t="s">
        <v>6</v>
      </c>
      <c r="I374" s="5">
        <v>0.35</v>
      </c>
      <c r="J374" s="5">
        <v>26.2</v>
      </c>
      <c r="K374" s="5" t="s">
        <v>8</v>
      </c>
      <c r="L374" s="5" t="s">
        <v>8</v>
      </c>
      <c r="M374" s="5"/>
      <c r="N374" s="5"/>
      <c r="O374" t="s">
        <v>680</v>
      </c>
      <c r="P374" s="6">
        <v>2.2342378999999999E-2</v>
      </c>
      <c r="Q374" s="6">
        <v>1.4048158E-2</v>
      </c>
      <c r="R374" s="6">
        <v>477</v>
      </c>
      <c r="S374" s="6">
        <v>1.376382E-3</v>
      </c>
      <c r="T374" s="6">
        <v>3.9999999979999998</v>
      </c>
      <c r="U374" s="6">
        <v>0.122547189</v>
      </c>
      <c r="V374" s="6">
        <v>1.1231443000000001E-2</v>
      </c>
      <c r="W374" s="6">
        <v>6.2396900000000004E-4</v>
      </c>
      <c r="X374" s="6">
        <v>5.4266600000000003E-4</v>
      </c>
      <c r="Y374" s="6">
        <v>2.5875959E-2</v>
      </c>
      <c r="Z374" s="6">
        <v>1.6426755000000001E-2</v>
      </c>
      <c r="AA374" s="6">
        <v>2.3350790999999999E-2</v>
      </c>
      <c r="AB374" s="6">
        <v>1.4684338999999999E-2</v>
      </c>
      <c r="AC374" s="6">
        <v>1.8222981999999999E-2</v>
      </c>
      <c r="AD374" s="6">
        <v>1.1200002000000001E-2</v>
      </c>
      <c r="AE374" s="6">
        <v>2.2342378999999999E-2</v>
      </c>
      <c r="AF374" s="6">
        <v>1.4048158E-2</v>
      </c>
      <c r="AG374" s="6">
        <v>1.1716875760000001</v>
      </c>
      <c r="AH374" s="6">
        <v>0.52243689400000004</v>
      </c>
      <c r="AI374" s="6">
        <v>-4.3494350629999996</v>
      </c>
      <c r="AJ374" s="6">
        <v>1.0861500909999999</v>
      </c>
      <c r="AK374" s="6">
        <v>4.5169431050000002</v>
      </c>
      <c r="AL374" s="6">
        <v>1.1576218810000001</v>
      </c>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row>
    <row r="375" spans="1:84" ht="16" x14ac:dyDescent="0.2">
      <c r="A375" s="4">
        <v>45874</v>
      </c>
      <c r="B375" s="19">
        <v>25217</v>
      </c>
      <c r="C375" s="5" t="s">
        <v>46</v>
      </c>
      <c r="D375" s="5">
        <v>17</v>
      </c>
      <c r="E375" s="53" t="s">
        <v>1424</v>
      </c>
      <c r="F375">
        <v>-19.7</v>
      </c>
      <c r="G375" s="5" t="s">
        <v>2</v>
      </c>
      <c r="H375" s="5" t="s">
        <v>3</v>
      </c>
      <c r="I375" s="5">
        <v>0.45</v>
      </c>
      <c r="J375" s="5">
        <v>29.9</v>
      </c>
      <c r="K375" s="5">
        <v>8.1</v>
      </c>
      <c r="L375" s="5">
        <v>4.75</v>
      </c>
      <c r="M375" s="5"/>
      <c r="N375" s="5"/>
      <c r="O375" t="s">
        <v>767</v>
      </c>
      <c r="P375" s="6">
        <v>5.8203584000000003E-2</v>
      </c>
      <c r="Q375" s="6">
        <v>8.0854619999999999E-3</v>
      </c>
      <c r="R375" s="6">
        <v>728</v>
      </c>
      <c r="S375" s="6">
        <v>8.1932000000000001E-4</v>
      </c>
      <c r="T375" s="6">
        <v>3.9999999979999998</v>
      </c>
      <c r="U375" s="6">
        <v>0.105811165</v>
      </c>
      <c r="V375" s="6">
        <v>7.7432320000000001E-3</v>
      </c>
      <c r="W375" s="6">
        <v>4.3018E-4</v>
      </c>
      <c r="X375" s="6">
        <v>3.2596600000000002E-4</v>
      </c>
      <c r="Y375" s="6">
        <v>9.0312687000000003E-2</v>
      </c>
      <c r="Z375" s="6">
        <v>1.2493890000000001E-2</v>
      </c>
      <c r="AA375" s="6">
        <v>5.1370446E-2</v>
      </c>
      <c r="AB375" s="6">
        <v>7.2175479999999998E-3</v>
      </c>
      <c r="AC375" s="6">
        <v>3.3921252999999998E-2</v>
      </c>
      <c r="AD375" s="6">
        <v>4.8753199999999998E-3</v>
      </c>
      <c r="AE375" s="6">
        <v>5.8203584000000003E-2</v>
      </c>
      <c r="AF375" s="6">
        <v>8.0854619999999999E-3</v>
      </c>
      <c r="AG375" s="6">
        <v>7.9871026040000004</v>
      </c>
      <c r="AH375" s="6">
        <v>0.155717089</v>
      </c>
      <c r="AI375" s="6">
        <v>-11.391823446</v>
      </c>
      <c r="AJ375" s="6">
        <v>0.43466825399999998</v>
      </c>
      <c r="AK375" s="6">
        <v>13.914911547999999</v>
      </c>
      <c r="AL375" s="6">
        <v>0.39470383199999998</v>
      </c>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row>
    <row r="376" spans="1:84" ht="16" x14ac:dyDescent="0.2">
      <c r="A376" s="4">
        <v>45874</v>
      </c>
      <c r="B376" s="19">
        <v>25217</v>
      </c>
      <c r="C376" s="5" t="s">
        <v>46</v>
      </c>
      <c r="D376" s="5">
        <v>18</v>
      </c>
      <c r="E376" s="53" t="s">
        <v>1425</v>
      </c>
      <c r="F376">
        <v>-11</v>
      </c>
      <c r="G376" s="5" t="s">
        <v>2</v>
      </c>
      <c r="H376" s="5" t="s">
        <v>6</v>
      </c>
      <c r="I376" s="5">
        <v>0.15</v>
      </c>
      <c r="J376" s="5">
        <v>17.100000000000001</v>
      </c>
      <c r="K376" s="5" t="s">
        <v>8</v>
      </c>
      <c r="L376" s="5" t="s">
        <v>8</v>
      </c>
      <c r="M376" s="5"/>
      <c r="N376" s="5"/>
      <c r="O376" t="s">
        <v>768</v>
      </c>
      <c r="P376" s="6">
        <v>1.9138189E-2</v>
      </c>
      <c r="Q376" s="6">
        <v>5.3671329999999996E-3</v>
      </c>
      <c r="R376" s="6">
        <v>182</v>
      </c>
      <c r="S376" s="6">
        <v>5.8875400000000004E-4</v>
      </c>
      <c r="T376" s="6">
        <v>2.8284271240000001</v>
      </c>
      <c r="U376" s="6">
        <v>0.136254185</v>
      </c>
      <c r="V376" s="6">
        <v>4.3209959999999997E-3</v>
      </c>
      <c r="W376" s="6">
        <v>2.40055E-4</v>
      </c>
      <c r="X376" s="6">
        <v>2.54224E-4</v>
      </c>
      <c r="Y376" s="6">
        <v>2.9876364999999998E-2</v>
      </c>
      <c r="Z376" s="6">
        <v>8.3207779999999992E-3</v>
      </c>
      <c r="AA376" s="6">
        <v>1.6994016000000001E-2</v>
      </c>
      <c r="AB376" s="6">
        <v>4.8154000000000001E-3</v>
      </c>
      <c r="AC376" s="6">
        <v>1.0766192000000001E-2</v>
      </c>
      <c r="AD376" s="6">
        <v>2.9369539999999999E-3</v>
      </c>
      <c r="AE376" s="6">
        <v>1.9138189E-2</v>
      </c>
      <c r="AF376" s="6">
        <v>5.3671329999999996E-3</v>
      </c>
      <c r="AG376" s="6">
        <v>8.0035109729999991</v>
      </c>
      <c r="AH376" s="6">
        <v>0.17209153999999999</v>
      </c>
      <c r="AI376" s="6">
        <v>-12.011948874</v>
      </c>
      <c r="AJ376" s="6">
        <v>0.21729414599999999</v>
      </c>
      <c r="AK376" s="6">
        <v>14.436393402</v>
      </c>
      <c r="AL376" s="6">
        <v>0.100570715</v>
      </c>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row>
    <row r="377" spans="1:84" ht="16" x14ac:dyDescent="0.2">
      <c r="A377" s="4">
        <v>45874</v>
      </c>
      <c r="B377" s="19">
        <v>25217</v>
      </c>
      <c r="C377" s="5" t="s">
        <v>46</v>
      </c>
      <c r="D377" s="26">
        <v>19</v>
      </c>
      <c r="E377" s="53" t="s">
        <v>1426</v>
      </c>
      <c r="G377" s="5"/>
      <c r="H377" s="5"/>
      <c r="I377" s="5"/>
      <c r="J377" s="5"/>
      <c r="K377" s="5"/>
      <c r="L377" s="5"/>
      <c r="M377" s="5"/>
      <c r="N377" s="5"/>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row>
    <row r="378" spans="1:84" ht="16" x14ac:dyDescent="0.2">
      <c r="A378" s="4">
        <v>45874</v>
      </c>
      <c r="B378" s="19">
        <v>25217</v>
      </c>
      <c r="C378" s="5" t="s">
        <v>46</v>
      </c>
      <c r="D378" s="5">
        <v>20</v>
      </c>
      <c r="E378" s="53" t="s">
        <v>1427</v>
      </c>
      <c r="F378">
        <v>-8.1</v>
      </c>
      <c r="G378" s="5" t="s">
        <v>2</v>
      </c>
      <c r="H378" s="5" t="s">
        <v>6</v>
      </c>
      <c r="I378" s="5">
        <v>0.15</v>
      </c>
      <c r="J378" s="5">
        <v>23.9</v>
      </c>
      <c r="K378" s="5" t="s">
        <v>8</v>
      </c>
      <c r="L378" s="5" t="s">
        <v>8</v>
      </c>
      <c r="M378" s="5"/>
      <c r="N378" s="5"/>
      <c r="O378" t="s">
        <v>769</v>
      </c>
      <c r="P378" s="6">
        <v>2.9435222E-2</v>
      </c>
      <c r="Q378" s="6">
        <v>5.8589669999999996E-3</v>
      </c>
      <c r="R378" s="6">
        <v>354</v>
      </c>
      <c r="S378" s="6">
        <v>6.0734600000000004E-4</v>
      </c>
      <c r="T378" s="6">
        <v>3.9999999979999998</v>
      </c>
      <c r="U378" s="6">
        <v>0.10243822</v>
      </c>
      <c r="V378" s="6">
        <v>5.9289030000000001E-3</v>
      </c>
      <c r="W378" s="6">
        <v>3.2938299999999999E-4</v>
      </c>
      <c r="X378" s="6">
        <v>2.4817399999999999E-4</v>
      </c>
      <c r="Y378" s="6">
        <v>4.6463468000000001E-2</v>
      </c>
      <c r="Z378" s="6">
        <v>9.1837870000000005E-3</v>
      </c>
      <c r="AA378" s="6">
        <v>2.6294860999999999E-2</v>
      </c>
      <c r="AB378" s="6">
        <v>5.2874339999999997E-3</v>
      </c>
      <c r="AC378" s="6">
        <v>1.5028066E-2</v>
      </c>
      <c r="AD378" s="6">
        <v>3.0829059999999998E-3</v>
      </c>
      <c r="AE378" s="6">
        <v>2.9435222E-2</v>
      </c>
      <c r="AF378" s="6">
        <v>5.8589669999999996E-3</v>
      </c>
      <c r="AG378" s="6">
        <v>8.0739283589999999</v>
      </c>
      <c r="AH378" s="6">
        <v>0.341757166</v>
      </c>
      <c r="AI378" s="6">
        <v>-13.799807271000001</v>
      </c>
      <c r="AJ378" s="6">
        <v>0.47885804399999998</v>
      </c>
      <c r="AK378" s="6">
        <v>15.990911952999999</v>
      </c>
      <c r="AL378" s="6">
        <v>0.50950273599999996</v>
      </c>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row>
    <row r="379" spans="1:84" ht="16" x14ac:dyDescent="0.2">
      <c r="A379" s="4">
        <v>45875</v>
      </c>
      <c r="B379" s="19">
        <v>25218</v>
      </c>
      <c r="C379" s="5" t="s">
        <v>49</v>
      </c>
      <c r="D379" s="5">
        <v>41</v>
      </c>
      <c r="E379" s="53" t="s">
        <v>1428</v>
      </c>
      <c r="F379">
        <v>18</v>
      </c>
      <c r="G379" s="5" t="s">
        <v>2</v>
      </c>
      <c r="H379" s="5" t="s">
        <v>3</v>
      </c>
      <c r="I379" s="5">
        <v>0.75</v>
      </c>
      <c r="J379" s="5">
        <v>36</v>
      </c>
      <c r="K379" s="5">
        <v>8.1</v>
      </c>
      <c r="L379" s="5">
        <v>4.6500000000000004</v>
      </c>
      <c r="M379" s="5"/>
      <c r="N379" s="5"/>
      <c r="O379" t="s">
        <v>771</v>
      </c>
      <c r="P379" s="6">
        <v>7.4838855999999995E-2</v>
      </c>
      <c r="Q379" s="6">
        <v>2.0324063999999999E-2</v>
      </c>
      <c r="R379" s="6">
        <v>671</v>
      </c>
      <c r="S379" s="6">
        <v>2.039622E-3</v>
      </c>
      <c r="T379" s="6">
        <v>2</v>
      </c>
      <c r="U379" s="6">
        <v>0.118955414</v>
      </c>
      <c r="V379" s="6">
        <v>1.7146102E-2</v>
      </c>
      <c r="W379" s="6">
        <v>9.5256099999999999E-4</v>
      </c>
      <c r="X379" s="6">
        <v>6.8455199999999995E-4</v>
      </c>
      <c r="Y379" s="6">
        <v>0.112189711</v>
      </c>
      <c r="Z379" s="6">
        <v>2.9763734E-2</v>
      </c>
      <c r="AA379" s="6">
        <v>6.6783895999999995E-2</v>
      </c>
      <c r="AB379" s="6">
        <v>1.8245593000000001E-2</v>
      </c>
      <c r="AC379" s="6">
        <v>4.3916660000000003E-2</v>
      </c>
      <c r="AD379" s="6">
        <v>1.3185875E-2</v>
      </c>
      <c r="AE379" s="6">
        <v>7.4838855999999995E-2</v>
      </c>
      <c r="AF379" s="6">
        <v>2.0324063999999999E-2</v>
      </c>
      <c r="AG379" s="6">
        <v>7.383753639</v>
      </c>
      <c r="AH379" s="6">
        <v>0.39181107799999998</v>
      </c>
      <c r="AI379" s="6">
        <v>-11.304926878</v>
      </c>
      <c r="AJ379" s="6">
        <v>0.95581108699999995</v>
      </c>
      <c r="AK379" s="6">
        <v>13.506209965</v>
      </c>
      <c r="AL379" s="6">
        <v>0.985103175</v>
      </c>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row>
    <row r="380" spans="1:84" ht="16" x14ac:dyDescent="0.2">
      <c r="A380" s="4">
        <v>45875</v>
      </c>
      <c r="B380" s="19">
        <v>25218</v>
      </c>
      <c r="C380" s="5" t="s">
        <v>49</v>
      </c>
      <c r="D380" s="5">
        <v>42</v>
      </c>
      <c r="E380" s="53" t="s">
        <v>1429</v>
      </c>
      <c r="F380">
        <v>-17.8</v>
      </c>
      <c r="G380" s="5" t="s">
        <v>2</v>
      </c>
      <c r="H380" s="5" t="s">
        <v>5</v>
      </c>
      <c r="I380" s="5">
        <v>1.05</v>
      </c>
      <c r="J380" s="5">
        <v>39.35</v>
      </c>
      <c r="K380" s="5">
        <v>9.5</v>
      </c>
      <c r="L380" s="5">
        <v>5.4</v>
      </c>
      <c r="M380" s="5"/>
      <c r="N380" s="5"/>
      <c r="O380" t="s">
        <v>772</v>
      </c>
      <c r="P380" s="6">
        <v>7.5556986000000007E-2</v>
      </c>
      <c r="Q380" s="6">
        <v>7.8777970000000006E-3</v>
      </c>
      <c r="R380" s="6">
        <v>1004</v>
      </c>
      <c r="S380" s="6">
        <v>8.9975700000000005E-4</v>
      </c>
      <c r="T380" s="6">
        <v>5.6568542449999999</v>
      </c>
      <c r="U380" s="6">
        <v>0.11168478599999999</v>
      </c>
      <c r="V380" s="6">
        <v>8.0562199999999994E-3</v>
      </c>
      <c r="W380" s="6">
        <v>4.4756800000000002E-4</v>
      </c>
      <c r="X380" s="6">
        <v>3.0778499999999998E-4</v>
      </c>
      <c r="Y380" s="6">
        <v>9.8395631999999997E-2</v>
      </c>
      <c r="Z380" s="6">
        <v>8.8772580000000007E-3</v>
      </c>
      <c r="AA380" s="6">
        <v>7.1725479999999994E-2</v>
      </c>
      <c r="AB380" s="6">
        <v>7.8105869999999999E-3</v>
      </c>
      <c r="AC380" s="6">
        <v>5.7335169999999998E-2</v>
      </c>
      <c r="AD380" s="6">
        <v>8.225998E-3</v>
      </c>
      <c r="AE380" s="6">
        <v>7.5556986000000007E-2</v>
      </c>
      <c r="AF380" s="6">
        <v>7.8777970000000006E-3</v>
      </c>
      <c r="AG380" s="6">
        <v>4.5028824890000001</v>
      </c>
      <c r="AH380" s="6">
        <v>0.69023910899999996</v>
      </c>
      <c r="AI380" s="6">
        <v>-6.3394437689999998</v>
      </c>
      <c r="AJ380" s="6">
        <v>1.2474966279999999</v>
      </c>
      <c r="AK380" s="6">
        <v>7.7808711319999997</v>
      </c>
      <c r="AL380" s="6">
        <v>1.3982643109999999</v>
      </c>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row>
    <row r="381" spans="1:84" ht="16" x14ac:dyDescent="0.2">
      <c r="A381" s="4">
        <v>45875</v>
      </c>
      <c r="B381" s="19">
        <v>25218</v>
      </c>
      <c r="C381" s="5" t="s">
        <v>49</v>
      </c>
      <c r="D381" s="5">
        <v>43</v>
      </c>
      <c r="E381" s="53" t="s">
        <v>1430</v>
      </c>
      <c r="F381">
        <v>18</v>
      </c>
      <c r="G381" s="5" t="s">
        <v>2</v>
      </c>
      <c r="H381" s="5" t="s">
        <v>3</v>
      </c>
      <c r="I381" s="5">
        <v>0.55000000000000004</v>
      </c>
      <c r="J381" s="5">
        <v>31</v>
      </c>
      <c r="K381" s="5">
        <v>7.9</v>
      </c>
      <c r="L381" s="5">
        <v>4.9000000000000004</v>
      </c>
      <c r="M381" s="5"/>
      <c r="N381" s="5"/>
      <c r="O381" t="s">
        <v>773</v>
      </c>
      <c r="P381" s="6">
        <v>9.2731434000000001E-2</v>
      </c>
      <c r="Q381" s="6">
        <v>8.6562610000000002E-3</v>
      </c>
      <c r="R381" s="6">
        <v>921</v>
      </c>
      <c r="S381" s="6">
        <v>9.4244399999999996E-4</v>
      </c>
      <c r="T381" s="6">
        <v>5.6568542449999999</v>
      </c>
      <c r="U381" s="6">
        <v>0.11178048</v>
      </c>
      <c r="V381" s="6">
        <v>8.431203E-3</v>
      </c>
      <c r="W381" s="6">
        <v>4.684E-4</v>
      </c>
      <c r="X381" s="6">
        <v>3.3276099999999999E-4</v>
      </c>
      <c r="Y381" s="6">
        <v>0.13769722000000001</v>
      </c>
      <c r="Z381" s="6">
        <v>1.0659613E-2</v>
      </c>
      <c r="AA381" s="6">
        <v>8.1670755999999997E-2</v>
      </c>
      <c r="AB381" s="6">
        <v>8.3068740000000005E-3</v>
      </c>
      <c r="AC381" s="6">
        <v>6.1450418999999999E-2</v>
      </c>
      <c r="AD381" s="6">
        <v>7.6691830000000004E-3</v>
      </c>
      <c r="AE381" s="6">
        <v>9.2731434000000001E-2</v>
      </c>
      <c r="AF381" s="6">
        <v>8.6562610000000002E-3</v>
      </c>
      <c r="AG381" s="6">
        <v>7.4228346649999999</v>
      </c>
      <c r="AH381" s="6">
        <v>0.55515937599999998</v>
      </c>
      <c r="AI381" s="6">
        <v>-8.9819750670000005</v>
      </c>
      <c r="AJ381" s="6">
        <v>0.864670096</v>
      </c>
      <c r="AK381" s="6">
        <v>11.654407524</v>
      </c>
      <c r="AL381" s="6">
        <v>1.0024651120000001</v>
      </c>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row>
    <row r="382" spans="1:84" ht="16" x14ac:dyDescent="0.2">
      <c r="A382" s="4">
        <v>45875</v>
      </c>
      <c r="B382" s="19">
        <v>25218</v>
      </c>
      <c r="C382" s="5" t="s">
        <v>49</v>
      </c>
      <c r="D382" s="5">
        <v>44</v>
      </c>
      <c r="E382" s="53" t="s">
        <v>1431</v>
      </c>
      <c r="F382">
        <v>36.6</v>
      </c>
      <c r="G382" s="43" t="s">
        <v>12</v>
      </c>
      <c r="H382" s="5" t="s">
        <v>6</v>
      </c>
      <c r="I382" s="5">
        <v>0.2</v>
      </c>
      <c r="J382" s="5">
        <v>25.8</v>
      </c>
      <c r="K382" s="5" t="s">
        <v>8</v>
      </c>
      <c r="L382" s="5" t="s">
        <v>8</v>
      </c>
      <c r="M382" s="5"/>
      <c r="N382" s="5"/>
      <c r="O382" t="s">
        <v>678</v>
      </c>
      <c r="P382" s="6">
        <v>4.4034493000000001E-2</v>
      </c>
      <c r="Q382" s="6">
        <v>1.416748E-2</v>
      </c>
      <c r="R382" s="6">
        <v>701</v>
      </c>
      <c r="S382" s="6">
        <v>1.550758E-3</v>
      </c>
      <c r="T382" s="6">
        <v>3.9999999979999998</v>
      </c>
      <c r="U382" s="6">
        <v>0.124911458</v>
      </c>
      <c r="V382" s="6">
        <v>1.2414855000000001E-2</v>
      </c>
      <c r="W382" s="6">
        <v>6.8971400000000002E-4</v>
      </c>
      <c r="X382" s="6">
        <v>5.9783600000000003E-4</v>
      </c>
      <c r="Y382" s="6">
        <v>5.2444011999999998E-2</v>
      </c>
      <c r="Z382" s="6">
        <v>1.7372352000000001E-2</v>
      </c>
      <c r="AA382" s="6">
        <v>4.3881264000000003E-2</v>
      </c>
      <c r="AB382" s="6">
        <v>1.4011819999999999E-2</v>
      </c>
      <c r="AC382" s="6">
        <v>3.6131108000000002E-2</v>
      </c>
      <c r="AD382" s="6">
        <v>1.1397991999999999E-2</v>
      </c>
      <c r="AE382" s="6">
        <v>4.4034493000000001E-2</v>
      </c>
      <c r="AF382" s="6">
        <v>1.416748E-2</v>
      </c>
      <c r="AG382" s="6">
        <v>2.351102086</v>
      </c>
      <c r="AH382" s="6">
        <v>0.74187705999999998</v>
      </c>
      <c r="AI382" s="6">
        <v>-4.40536321</v>
      </c>
      <c r="AJ382" s="6">
        <v>1.3610827670000001</v>
      </c>
      <c r="AK382" s="6">
        <v>5.0035726729999999</v>
      </c>
      <c r="AL382" s="6">
        <v>1.517217957</v>
      </c>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row>
    <row r="383" spans="1:84" ht="16" x14ac:dyDescent="0.2">
      <c r="A383" s="4">
        <v>45875</v>
      </c>
      <c r="B383" s="19">
        <v>25218</v>
      </c>
      <c r="C383" s="5" t="s">
        <v>49</v>
      </c>
      <c r="D383" s="5">
        <v>45</v>
      </c>
      <c r="E383" s="53" t="s">
        <v>1432</v>
      </c>
      <c r="F383">
        <v>22</v>
      </c>
      <c r="G383" s="5" t="s">
        <v>2</v>
      </c>
      <c r="H383" s="5" t="s">
        <v>6</v>
      </c>
      <c r="I383" s="5">
        <v>0.35</v>
      </c>
      <c r="J383" s="5">
        <v>27.5</v>
      </c>
      <c r="K383" s="5" t="s">
        <v>8</v>
      </c>
      <c r="L383" s="5" t="s">
        <v>8</v>
      </c>
      <c r="M383" s="5"/>
      <c r="N383" s="5"/>
      <c r="O383" t="s">
        <v>774</v>
      </c>
      <c r="P383" s="6">
        <v>7.4048665E-2</v>
      </c>
      <c r="Q383" s="6">
        <v>1.3451367000000001E-2</v>
      </c>
      <c r="R383" s="6">
        <v>537</v>
      </c>
      <c r="S383" s="6">
        <v>1.3090210000000001E-3</v>
      </c>
      <c r="T383" s="6">
        <v>3.9999999979999998</v>
      </c>
      <c r="U383" s="6">
        <v>0.10687748800000001</v>
      </c>
      <c r="V383" s="6">
        <v>1.2247862E-2</v>
      </c>
      <c r="W383" s="6">
        <v>6.8043699999999999E-4</v>
      </c>
      <c r="X383" s="6">
        <v>5.36123E-4</v>
      </c>
      <c r="Y383" s="6">
        <v>0.11598947799999999</v>
      </c>
      <c r="Z383" s="6">
        <v>2.1830928999999999E-2</v>
      </c>
      <c r="AA383" s="6">
        <v>6.3858000999999998E-2</v>
      </c>
      <c r="AB383" s="6">
        <v>1.1347908E-2</v>
      </c>
      <c r="AC383" s="6">
        <v>4.3162867000000001E-2</v>
      </c>
      <c r="AD383" s="6">
        <v>7.7571410000000004E-3</v>
      </c>
      <c r="AE383" s="6">
        <v>7.4048665E-2</v>
      </c>
      <c r="AF383" s="6">
        <v>1.3451367000000001E-2</v>
      </c>
      <c r="AG383" s="6">
        <v>8.4104713980000003</v>
      </c>
      <c r="AH383" s="6">
        <v>0.25468954999999999</v>
      </c>
      <c r="AI383" s="6">
        <v>-11.246062064</v>
      </c>
      <c r="AJ383" s="6">
        <v>0.77557627900000004</v>
      </c>
      <c r="AK383" s="6">
        <v>14.049768118999999</v>
      </c>
      <c r="AL383" s="6">
        <v>0.69281762499999999</v>
      </c>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row>
    <row r="384" spans="1:84" ht="16" x14ac:dyDescent="0.2">
      <c r="A384" s="4">
        <v>45875</v>
      </c>
      <c r="B384" s="19">
        <v>25218</v>
      </c>
      <c r="C384" s="5" t="s">
        <v>49</v>
      </c>
      <c r="D384" s="5">
        <v>46</v>
      </c>
      <c r="E384" s="53" t="s">
        <v>1433</v>
      </c>
      <c r="F384">
        <v>-27.8</v>
      </c>
      <c r="G384" s="5" t="s">
        <v>2</v>
      </c>
      <c r="H384" s="5" t="s">
        <v>3</v>
      </c>
      <c r="I384" s="5">
        <v>0.85</v>
      </c>
      <c r="J384" s="5">
        <v>36.450000000000003</v>
      </c>
      <c r="K384" s="5">
        <v>8.85</v>
      </c>
      <c r="L384" s="5">
        <v>4.8</v>
      </c>
      <c r="M384" s="5"/>
      <c r="N384" s="5"/>
      <c r="O384" t="s">
        <v>775</v>
      </c>
      <c r="P384" s="6">
        <v>9.6365573999999996E-2</v>
      </c>
      <c r="Q384" s="6">
        <v>1.6101678000000001E-2</v>
      </c>
      <c r="R384" s="6">
        <v>903</v>
      </c>
      <c r="S384" s="6">
        <v>1.7134240000000001E-3</v>
      </c>
      <c r="T384" s="6">
        <v>3.9999999979999998</v>
      </c>
      <c r="U384" s="6">
        <v>0.110332573</v>
      </c>
      <c r="V384" s="6">
        <v>1.5529628E-2</v>
      </c>
      <c r="W384" s="6">
        <v>8.6275700000000002E-4</v>
      </c>
      <c r="X384" s="6">
        <v>5.9185800000000001E-4</v>
      </c>
      <c r="Y384" s="6">
        <v>0.14279046300000001</v>
      </c>
      <c r="Z384" s="6">
        <v>2.2043661999999999E-2</v>
      </c>
      <c r="AA384" s="6">
        <v>8.6342635000000001E-2</v>
      </c>
      <c r="AB384" s="6">
        <v>1.5060700999999999E-2</v>
      </c>
      <c r="AC384" s="6">
        <v>5.8240865000000003E-2</v>
      </c>
      <c r="AD384" s="6">
        <v>1.1214643E-2</v>
      </c>
      <c r="AE384" s="6">
        <v>9.6365573999999996E-2</v>
      </c>
      <c r="AF384" s="6">
        <v>1.6101678000000001E-2</v>
      </c>
      <c r="AG384" s="6">
        <v>7.1819721220000003</v>
      </c>
      <c r="AH384" s="6">
        <v>0.59548807699999995</v>
      </c>
      <c r="AI384" s="6">
        <v>-10.648732402</v>
      </c>
      <c r="AJ384" s="6">
        <v>0.88055752899999995</v>
      </c>
      <c r="AK384" s="6">
        <v>12.845762713999999</v>
      </c>
      <c r="AL384" s="6">
        <v>1.04525194</v>
      </c>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row>
    <row r="385" spans="1:84" ht="16" x14ac:dyDescent="0.2">
      <c r="A385" s="4">
        <v>45875</v>
      </c>
      <c r="B385" s="19">
        <v>25218</v>
      </c>
      <c r="C385" s="5" t="s">
        <v>49</v>
      </c>
      <c r="D385" s="5">
        <v>47</v>
      </c>
      <c r="E385" s="53" t="s">
        <v>1434</v>
      </c>
      <c r="F385">
        <v>21.8</v>
      </c>
      <c r="G385" s="5" t="s">
        <v>2</v>
      </c>
      <c r="H385" s="5" t="s">
        <v>6</v>
      </c>
      <c r="I385" s="5">
        <v>0.25</v>
      </c>
      <c r="J385" s="5">
        <v>26.05</v>
      </c>
      <c r="K385" s="5" t="s">
        <v>8</v>
      </c>
      <c r="L385" s="5" t="s">
        <v>8</v>
      </c>
      <c r="M385" s="5"/>
      <c r="N385" s="5"/>
      <c r="O385" t="s">
        <v>776</v>
      </c>
      <c r="P385" s="6">
        <v>7.0300062999999996E-2</v>
      </c>
      <c r="Q385" s="6">
        <v>1.1435315999999999E-2</v>
      </c>
      <c r="R385" s="6">
        <v>438</v>
      </c>
      <c r="S385" s="6">
        <v>1.3575830000000001E-3</v>
      </c>
      <c r="T385" s="6">
        <v>3.9999999979999998</v>
      </c>
      <c r="U385" s="6">
        <v>0.13297453200000001</v>
      </c>
      <c r="V385" s="6">
        <v>1.0209344E-2</v>
      </c>
      <c r="W385" s="6">
        <v>5.6718600000000001E-4</v>
      </c>
      <c r="X385" s="6">
        <v>5.0131000000000004E-4</v>
      </c>
      <c r="Y385" s="6">
        <v>9.9767297000000005E-2</v>
      </c>
      <c r="Z385" s="6">
        <v>1.6140953E-2</v>
      </c>
      <c r="AA385" s="6">
        <v>6.4474814000000005E-2</v>
      </c>
      <c r="AB385" s="6">
        <v>1.0482946999999999E-2</v>
      </c>
      <c r="AC385" s="6">
        <v>4.5439452999999998E-2</v>
      </c>
      <c r="AD385" s="6">
        <v>7.8009200000000002E-3</v>
      </c>
      <c r="AE385" s="6">
        <v>7.0300062999999996E-2</v>
      </c>
      <c r="AF385" s="6">
        <v>1.1435315999999999E-2</v>
      </c>
      <c r="AG385" s="6">
        <v>6.1769002369999999</v>
      </c>
      <c r="AH385" s="6">
        <v>0.285785444</v>
      </c>
      <c r="AI385" s="6">
        <v>-9.3154922029999998</v>
      </c>
      <c r="AJ385" s="6">
        <v>0.34880707700000002</v>
      </c>
      <c r="AK385" s="6">
        <v>11.182741522000001</v>
      </c>
      <c r="AL385" s="6">
        <v>0.28608697599999999</v>
      </c>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row>
    <row r="386" spans="1:84" ht="16" x14ac:dyDescent="0.2">
      <c r="A386" s="4">
        <v>45875</v>
      </c>
      <c r="B386" s="19">
        <v>25218</v>
      </c>
      <c r="C386" s="5" t="s">
        <v>49</v>
      </c>
      <c r="D386" s="5">
        <v>48</v>
      </c>
      <c r="E386" s="53" t="s">
        <v>1435</v>
      </c>
      <c r="F386">
        <v>-31.5</v>
      </c>
      <c r="G386" s="5" t="s">
        <v>2</v>
      </c>
      <c r="H386" s="5" t="s">
        <v>6</v>
      </c>
      <c r="I386" s="5">
        <v>0.4</v>
      </c>
      <c r="J386" s="5">
        <v>27.5</v>
      </c>
      <c r="K386" s="5" t="s">
        <v>8</v>
      </c>
      <c r="L386" s="5" t="s">
        <v>8</v>
      </c>
      <c r="M386" s="5"/>
      <c r="N386" s="5"/>
      <c r="O386" t="s">
        <v>777</v>
      </c>
      <c r="P386" s="6">
        <v>7.4385095999999998E-2</v>
      </c>
      <c r="Q386" s="6">
        <v>1.1279328E-2</v>
      </c>
      <c r="R386" s="6">
        <v>498</v>
      </c>
      <c r="S386" s="6">
        <v>1.2106479999999999E-3</v>
      </c>
      <c r="T386" s="6">
        <v>7.9999999920000002</v>
      </c>
      <c r="U386" s="6">
        <v>9.9856939000000006E-2</v>
      </c>
      <c r="V386" s="6">
        <v>1.2123818999999999E-2</v>
      </c>
      <c r="W386" s="6">
        <v>6.7354600000000002E-4</v>
      </c>
      <c r="X386" s="6">
        <v>4.5009100000000001E-4</v>
      </c>
      <c r="Y386" s="6">
        <v>0.114713834</v>
      </c>
      <c r="Z386" s="6">
        <v>1.6859030000000001E-2</v>
      </c>
      <c r="AA386" s="6">
        <v>6.4970924999999999E-2</v>
      </c>
      <c r="AB386" s="6">
        <v>1.0317635E-2</v>
      </c>
      <c r="AC386" s="6">
        <v>4.2969304999999999E-2</v>
      </c>
      <c r="AD386" s="6">
        <v>6.2796579999999996E-3</v>
      </c>
      <c r="AE386" s="6">
        <v>7.4385095999999998E-2</v>
      </c>
      <c r="AF386" s="6">
        <v>1.1279328E-2</v>
      </c>
      <c r="AG386" s="6">
        <v>8.0656010739999999</v>
      </c>
      <c r="AH386" s="6">
        <v>0.48822999299999997</v>
      </c>
      <c r="AI386" s="6">
        <v>-11.377375677</v>
      </c>
      <c r="AJ386" s="6">
        <v>0.48563505400000001</v>
      </c>
      <c r="AK386" s="6">
        <v>13.951159970999999</v>
      </c>
      <c r="AL386" s="6">
        <v>0.58109330999999997</v>
      </c>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row>
    <row r="387" spans="1:84" ht="16" x14ac:dyDescent="0.2">
      <c r="A387" s="4">
        <v>45875</v>
      </c>
      <c r="B387" s="19">
        <v>25218</v>
      </c>
      <c r="C387" s="5" t="s">
        <v>49</v>
      </c>
      <c r="D387" s="5">
        <v>49</v>
      </c>
      <c r="E387" s="53" t="s">
        <v>1436</v>
      </c>
      <c r="F387">
        <v>-18.899999999999999</v>
      </c>
      <c r="G387" s="5" t="s">
        <v>2</v>
      </c>
      <c r="H387" s="5" t="s">
        <v>6</v>
      </c>
      <c r="I387" s="5">
        <v>0.3</v>
      </c>
      <c r="J387" s="5">
        <v>22.8</v>
      </c>
      <c r="K387" s="5" t="s">
        <v>8</v>
      </c>
      <c r="L387" s="5" t="s">
        <v>8</v>
      </c>
      <c r="M387" s="5"/>
      <c r="N387" s="5"/>
      <c r="O387" s="9" t="s">
        <v>778</v>
      </c>
      <c r="P387" s="6">
        <v>5.6197548E-2</v>
      </c>
      <c r="Q387" s="6">
        <v>1.5995473999999999E-2</v>
      </c>
      <c r="R387" s="6">
        <v>343</v>
      </c>
      <c r="S387" s="6">
        <v>1.7708730000000001E-3</v>
      </c>
      <c r="T387" s="6">
        <v>7.9999999920000002</v>
      </c>
      <c r="U387" s="6">
        <v>0.120273351</v>
      </c>
      <c r="V387" s="6">
        <v>1.4723737000000001E-2</v>
      </c>
      <c r="W387" s="6">
        <v>8.1798500000000002E-4</v>
      </c>
      <c r="X387" s="6">
        <v>6.81808E-4</v>
      </c>
      <c r="Y387" s="6">
        <v>8.2593128000000002E-2</v>
      </c>
      <c r="Z387" s="6">
        <v>2.3225533999999999E-2</v>
      </c>
      <c r="AA387" s="6">
        <v>5.0453347000000003E-2</v>
      </c>
      <c r="AB387" s="6">
        <v>1.4567642E-2</v>
      </c>
      <c r="AC387" s="6">
        <v>3.4649543999999997E-2</v>
      </c>
      <c r="AD387" s="6">
        <v>9.6825079999999994E-3</v>
      </c>
      <c r="AE387" s="6">
        <v>5.6197548E-2</v>
      </c>
      <c r="AF387" s="6">
        <v>1.5995473999999999E-2</v>
      </c>
      <c r="AG387" s="6">
        <v>7.0243693299999999</v>
      </c>
      <c r="AH387" s="6">
        <v>0.34444829300000002</v>
      </c>
      <c r="AI387" s="6">
        <v>-10.115620972</v>
      </c>
      <c r="AJ387" s="6">
        <v>0.30168703099999999</v>
      </c>
      <c r="AK387" s="6">
        <v>12.319509684</v>
      </c>
      <c r="AL387" s="6">
        <v>0.32648437499999999</v>
      </c>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row>
    <row r="388" spans="1:84" ht="16" x14ac:dyDescent="0.2">
      <c r="A388" s="4">
        <v>45875</v>
      </c>
      <c r="B388" s="19">
        <v>25218</v>
      </c>
      <c r="C388" s="5" t="s">
        <v>49</v>
      </c>
      <c r="D388" s="5">
        <v>50</v>
      </c>
      <c r="E388" s="53" t="s">
        <v>1437</v>
      </c>
      <c r="F388">
        <v>-37.299999999999997</v>
      </c>
      <c r="G388" s="5" t="s">
        <v>2</v>
      </c>
      <c r="H388" s="5" t="s">
        <v>6</v>
      </c>
      <c r="I388" s="5">
        <v>0.3</v>
      </c>
      <c r="J388" s="5">
        <v>25.4</v>
      </c>
      <c r="K388" s="5" t="s">
        <v>8</v>
      </c>
      <c r="L388" s="5" t="s">
        <v>8</v>
      </c>
      <c r="M388" s="5"/>
      <c r="N388" s="5"/>
      <c r="O388" t="s">
        <v>779</v>
      </c>
      <c r="P388" s="6">
        <v>5.9727151999999999E-2</v>
      </c>
      <c r="Q388" s="6">
        <v>1.2995935E-2</v>
      </c>
      <c r="R388" s="6">
        <v>383</v>
      </c>
      <c r="S388" s="6">
        <v>1.4875540000000001E-3</v>
      </c>
      <c r="T388" s="6">
        <v>31.999999932000001</v>
      </c>
      <c r="U388" s="6">
        <v>0.104145741</v>
      </c>
      <c r="V388" s="6">
        <v>1.4283384E-2</v>
      </c>
      <c r="W388" s="6">
        <v>7.9352100000000005E-4</v>
      </c>
      <c r="X388" s="6">
        <v>5.2500799999999999E-4</v>
      </c>
      <c r="Y388" s="6">
        <v>8.7510396000000004E-2</v>
      </c>
      <c r="Z388" s="6">
        <v>1.8818853999999999E-2</v>
      </c>
      <c r="AA388" s="6">
        <v>5.4049477999999998E-2</v>
      </c>
      <c r="AB388" s="6">
        <v>1.1929907999999999E-2</v>
      </c>
      <c r="AC388" s="6">
        <v>3.5711053E-2</v>
      </c>
      <c r="AD388" s="6">
        <v>7.726559E-3</v>
      </c>
      <c r="AE388" s="6">
        <v>5.9727151999999999E-2</v>
      </c>
      <c r="AF388" s="6">
        <v>1.2995935E-2</v>
      </c>
      <c r="AG388" s="6">
        <v>6.8382048380000002</v>
      </c>
      <c r="AH388" s="6">
        <v>0.25256873699999999</v>
      </c>
      <c r="AI388" s="6">
        <v>-10.732452701</v>
      </c>
      <c r="AJ388" s="6">
        <v>0.72208107399999999</v>
      </c>
      <c r="AK388" s="6">
        <v>12.730709962000001</v>
      </c>
      <c r="AL388" s="6">
        <v>0.67858511499999996</v>
      </c>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row>
    <row r="389" spans="1:84" ht="16" x14ac:dyDescent="0.2">
      <c r="A389" s="4">
        <v>45875</v>
      </c>
      <c r="B389" s="19">
        <v>25218</v>
      </c>
      <c r="C389" s="5" t="s">
        <v>49</v>
      </c>
      <c r="D389" s="5">
        <v>51</v>
      </c>
      <c r="E389" s="53" t="s">
        <v>1438</v>
      </c>
      <c r="F389">
        <v>12.5</v>
      </c>
      <c r="G389" s="5" t="s">
        <v>2</v>
      </c>
      <c r="H389" s="5" t="s">
        <v>3</v>
      </c>
      <c r="I389" s="5">
        <v>1</v>
      </c>
      <c r="J389" s="5">
        <v>35.85</v>
      </c>
      <c r="K389" s="5">
        <v>9.1</v>
      </c>
      <c r="L389" s="5">
        <v>5.3</v>
      </c>
      <c r="M389" s="5"/>
      <c r="N389" s="5"/>
      <c r="O389" t="s">
        <v>780</v>
      </c>
      <c r="P389" s="6">
        <v>9.6047247000000002E-2</v>
      </c>
      <c r="Q389" s="6">
        <v>1.1171327E-2</v>
      </c>
      <c r="R389" s="6">
        <v>1053</v>
      </c>
      <c r="S389" s="6">
        <v>1.198476E-3</v>
      </c>
      <c r="T389" s="6">
        <v>5.6568542449999999</v>
      </c>
      <c r="U389" s="6">
        <v>9.6159502999999993E-2</v>
      </c>
      <c r="V389" s="6">
        <v>1.2463421000000001E-2</v>
      </c>
      <c r="W389" s="6">
        <v>6.92412E-4</v>
      </c>
      <c r="X389" s="6">
        <v>4.1427100000000002E-4</v>
      </c>
      <c r="Y389" s="6">
        <v>0.138556128</v>
      </c>
      <c r="Z389" s="6">
        <v>1.5489631E-2</v>
      </c>
      <c r="AA389" s="6">
        <v>8.8054462999999999E-2</v>
      </c>
      <c r="AB389" s="6">
        <v>1.0378942E-2</v>
      </c>
      <c r="AC389" s="6">
        <v>5.7948761000000001E-2</v>
      </c>
      <c r="AD389" s="6">
        <v>8.2642870000000004E-3</v>
      </c>
      <c r="AE389" s="6">
        <v>9.6047247000000002E-2</v>
      </c>
      <c r="AF389" s="6">
        <v>1.1171327E-2</v>
      </c>
      <c r="AG389" s="6">
        <v>6.4237126250000003</v>
      </c>
      <c r="AH389" s="6">
        <v>0.47752355099999999</v>
      </c>
      <c r="AI389" s="6">
        <v>-10.592280132000001</v>
      </c>
      <c r="AJ389" s="6">
        <v>0.90908457799999998</v>
      </c>
      <c r="AK389" s="6">
        <v>12.390555058</v>
      </c>
      <c r="AL389" s="6">
        <v>0.99449931800000002</v>
      </c>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row>
    <row r="390" spans="1:84" ht="16" x14ac:dyDescent="0.2">
      <c r="A390" s="4">
        <v>45875</v>
      </c>
      <c r="B390" s="19">
        <v>25218</v>
      </c>
      <c r="C390" s="5" t="s">
        <v>49</v>
      </c>
      <c r="D390" s="26">
        <v>52</v>
      </c>
      <c r="E390" s="53" t="s">
        <v>1439</v>
      </c>
      <c r="G390" s="5"/>
      <c r="H390" s="5"/>
      <c r="I390" s="5"/>
      <c r="J390" s="5"/>
      <c r="K390" s="5"/>
      <c r="L390" s="5"/>
      <c r="M390" s="5"/>
      <c r="N390" s="5"/>
      <c r="P390" s="6"/>
      <c r="Q390" s="6"/>
      <c r="R390" s="6"/>
      <c r="S390" s="6"/>
      <c r="T390" s="6"/>
      <c r="U390" s="6"/>
      <c r="V390" s="6"/>
      <c r="W390" s="6"/>
      <c r="X390" s="6"/>
      <c r="Y390" s="6"/>
      <c r="Z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row>
    <row r="391" spans="1:84" ht="16" x14ac:dyDescent="0.2">
      <c r="A391" s="4">
        <v>45875</v>
      </c>
      <c r="B391" s="19">
        <v>25218</v>
      </c>
      <c r="C391" s="5" t="s">
        <v>49</v>
      </c>
      <c r="D391" s="5">
        <v>53</v>
      </c>
      <c r="E391" s="53" t="s">
        <v>1440</v>
      </c>
      <c r="F391">
        <v>33.4</v>
      </c>
      <c r="G391" s="5" t="s">
        <v>2</v>
      </c>
      <c r="H391" s="5" t="s">
        <v>5</v>
      </c>
      <c r="I391" s="5">
        <v>0.85</v>
      </c>
      <c r="J391" s="5">
        <v>39.1</v>
      </c>
      <c r="K391" s="5">
        <v>9.3000000000000007</v>
      </c>
      <c r="L391" s="5">
        <v>5.6</v>
      </c>
      <c r="M391" s="5"/>
      <c r="N391" s="5"/>
      <c r="O391" t="s">
        <v>781</v>
      </c>
      <c r="P391" s="6">
        <v>9.6777763000000003E-2</v>
      </c>
      <c r="Q391" s="6">
        <v>1.2234604E-2</v>
      </c>
      <c r="R391" s="6">
        <v>954</v>
      </c>
      <c r="S391" s="6">
        <v>1.2423429999999999E-3</v>
      </c>
      <c r="T391" s="6">
        <v>3.9999999979999998</v>
      </c>
      <c r="U391" s="6">
        <v>9.3869787999999996E-2</v>
      </c>
      <c r="V391" s="6">
        <v>1.3234746E-2</v>
      </c>
      <c r="W391" s="6">
        <v>7.3526400000000001E-4</v>
      </c>
      <c r="X391" s="6">
        <v>4.3048499999999998E-4</v>
      </c>
      <c r="Y391" s="6">
        <v>0.14309397900000001</v>
      </c>
      <c r="Z391" s="6">
        <v>1.7841882999999999E-2</v>
      </c>
      <c r="AA391" s="6">
        <v>8.6906000999999997E-2</v>
      </c>
      <c r="AB391" s="6">
        <v>1.1186400000000001E-2</v>
      </c>
      <c r="AC391" s="6">
        <v>5.8242569000000001E-2</v>
      </c>
      <c r="AD391" s="6">
        <v>7.4893800000000003E-3</v>
      </c>
      <c r="AE391" s="6">
        <v>9.6777763000000003E-2</v>
      </c>
      <c r="AF391" s="6">
        <v>1.2234604E-2</v>
      </c>
      <c r="AG391" s="6">
        <v>7.0648870080000004</v>
      </c>
      <c r="AH391" s="6">
        <v>0.32507484800000003</v>
      </c>
      <c r="AI391" s="6">
        <v>-10.614313031</v>
      </c>
      <c r="AJ391" s="6">
        <v>0.51485990500000001</v>
      </c>
      <c r="AK391" s="6">
        <v>12.751939413000001</v>
      </c>
      <c r="AL391" s="6">
        <v>0.57881544299999999</v>
      </c>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row>
    <row r="392" spans="1:84" ht="16" x14ac:dyDescent="0.2">
      <c r="A392" s="4">
        <v>45875</v>
      </c>
      <c r="B392" s="19">
        <v>25218</v>
      </c>
      <c r="C392" s="5" t="s">
        <v>49</v>
      </c>
      <c r="D392" s="25">
        <v>54</v>
      </c>
      <c r="E392" s="53" t="s">
        <v>1441</v>
      </c>
      <c r="F392">
        <v>34.1</v>
      </c>
      <c r="G392" s="46" t="s">
        <v>2</v>
      </c>
      <c r="H392" s="5"/>
      <c r="I392" s="5"/>
      <c r="J392" s="5"/>
      <c r="K392" s="5"/>
      <c r="L392" s="5"/>
      <c r="M392" s="5"/>
      <c r="N392" s="5"/>
      <c r="O392" t="s">
        <v>718</v>
      </c>
      <c r="P392" s="6">
        <v>9.2735445E-2</v>
      </c>
      <c r="Q392" s="6">
        <v>1.5689613000000002E-2</v>
      </c>
      <c r="R392" s="6">
        <v>852</v>
      </c>
      <c r="S392" s="6">
        <v>1.731939E-3</v>
      </c>
      <c r="T392" s="6">
        <v>5.6568542449999999</v>
      </c>
      <c r="U392" s="6">
        <v>0.12199716100000001</v>
      </c>
      <c r="V392" s="6">
        <v>1.4196555E-2</v>
      </c>
      <c r="W392" s="6">
        <v>7.8869699999999999E-4</v>
      </c>
      <c r="X392" s="6">
        <v>6.1541799999999995E-4</v>
      </c>
      <c r="Y392" s="6">
        <v>0.129964992</v>
      </c>
      <c r="Z392" s="6">
        <v>2.4227444000000001E-2</v>
      </c>
      <c r="AA392" s="6">
        <v>8.4930701999999997E-2</v>
      </c>
      <c r="AB392" s="6">
        <v>1.4239326E-2</v>
      </c>
      <c r="AC392" s="6">
        <v>6.2348011000000002E-2</v>
      </c>
      <c r="AD392" s="6">
        <v>8.645359E-3</v>
      </c>
      <c r="AE392" s="6">
        <v>9.2735445E-2</v>
      </c>
      <c r="AF392" s="6">
        <v>1.5689613000000002E-2</v>
      </c>
      <c r="AG392" s="6">
        <v>5.9554515739999996</v>
      </c>
      <c r="AH392" s="6">
        <v>0.54707181199999999</v>
      </c>
      <c r="AI392" s="6">
        <v>-8.382314032</v>
      </c>
      <c r="AJ392" s="6">
        <v>1.5870515039999999</v>
      </c>
      <c r="AK392" s="6">
        <v>10.297092897000001</v>
      </c>
      <c r="AL392" s="6">
        <v>1.5868641370000001</v>
      </c>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row>
    <row r="393" spans="1:84" ht="16" x14ac:dyDescent="0.2">
      <c r="A393" s="4">
        <v>45875</v>
      </c>
      <c r="B393" s="19">
        <v>25218</v>
      </c>
      <c r="C393" s="5" t="s">
        <v>49</v>
      </c>
      <c r="D393" s="5">
        <v>55</v>
      </c>
      <c r="E393" s="53" t="s">
        <v>1442</v>
      </c>
      <c r="F393">
        <v>42.5</v>
      </c>
      <c r="G393" s="5" t="s">
        <v>2</v>
      </c>
      <c r="H393" s="5" t="s">
        <v>6</v>
      </c>
      <c r="I393" s="5">
        <v>0.25</v>
      </c>
      <c r="J393" s="5">
        <v>24.45</v>
      </c>
      <c r="K393" s="5" t="s">
        <v>8</v>
      </c>
      <c r="L393" s="5" t="s">
        <v>8</v>
      </c>
      <c r="M393" s="5"/>
      <c r="N393" s="5"/>
      <c r="O393" t="s">
        <v>782</v>
      </c>
      <c r="P393" s="6">
        <v>8.0165788000000002E-2</v>
      </c>
      <c r="Q393" s="6">
        <v>1.5481026E-2</v>
      </c>
      <c r="R393" s="6">
        <v>436</v>
      </c>
      <c r="S393" s="6">
        <v>1.83625E-3</v>
      </c>
      <c r="T393" s="6">
        <v>7.9999999920000002</v>
      </c>
      <c r="U393" s="6">
        <v>0.116231846</v>
      </c>
      <c r="V393" s="6">
        <v>1.5798166999999998E-2</v>
      </c>
      <c r="W393" s="6">
        <v>8.7767599999999998E-4</v>
      </c>
      <c r="X393" s="6">
        <v>6.98623E-4</v>
      </c>
      <c r="Y393" s="6">
        <v>0.126841378</v>
      </c>
      <c r="Z393" s="6">
        <v>2.5207106999999999E-2</v>
      </c>
      <c r="AA393" s="6">
        <v>6.9369295999999997E-2</v>
      </c>
      <c r="AB393" s="6">
        <v>1.329147E-2</v>
      </c>
      <c r="AC393" s="6">
        <v>4.2273617999999999E-2</v>
      </c>
      <c r="AD393" s="6">
        <v>8.2003949999999992E-3</v>
      </c>
      <c r="AE393" s="6">
        <v>8.0165788000000002E-2</v>
      </c>
      <c r="AF393" s="6">
        <v>1.5481026E-2</v>
      </c>
      <c r="AG393" s="6">
        <v>8.5020139629999996</v>
      </c>
      <c r="AH393" s="6">
        <v>0.72831298799999999</v>
      </c>
      <c r="AI393" s="6">
        <v>-13.007440204</v>
      </c>
      <c r="AJ393" s="6">
        <v>0.58314535000000001</v>
      </c>
      <c r="AK393" s="6">
        <v>15.546095157</v>
      </c>
      <c r="AL393" s="6">
        <v>0.81651599399999997</v>
      </c>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row>
    <row r="394" spans="1:84" ht="16" x14ac:dyDescent="0.2">
      <c r="A394" s="4">
        <v>45875</v>
      </c>
      <c r="B394" s="19">
        <v>25218</v>
      </c>
      <c r="C394" s="5" t="s">
        <v>49</v>
      </c>
      <c r="D394" s="5">
        <v>56</v>
      </c>
      <c r="E394" s="53" t="s">
        <v>1443</v>
      </c>
      <c r="F394">
        <v>-50.2</v>
      </c>
      <c r="G394" s="5" t="s">
        <v>2</v>
      </c>
      <c r="H394" s="5" t="s">
        <v>6</v>
      </c>
      <c r="I394" s="5">
        <v>0.3</v>
      </c>
      <c r="J394" s="5">
        <v>27.5</v>
      </c>
      <c r="K394" s="5" t="s">
        <v>8</v>
      </c>
      <c r="L394" s="5" t="s">
        <v>8</v>
      </c>
      <c r="M394" s="5"/>
      <c r="N394" s="5"/>
      <c r="O394" t="s">
        <v>783</v>
      </c>
      <c r="P394" s="6">
        <v>4.7023309999999999E-2</v>
      </c>
      <c r="Q394" s="6">
        <v>8.8600850000000002E-3</v>
      </c>
      <c r="R394" s="6">
        <v>412</v>
      </c>
      <c r="S394" s="6">
        <v>1.169366E-3</v>
      </c>
      <c r="T394" s="6">
        <v>15.999999975</v>
      </c>
      <c r="U394" s="6">
        <v>0.11839796499999999</v>
      </c>
      <c r="V394" s="6">
        <v>9.8765720000000001E-3</v>
      </c>
      <c r="W394" s="6">
        <v>5.4869800000000002E-4</v>
      </c>
      <c r="X394" s="6">
        <v>4.1895399999999997E-4</v>
      </c>
      <c r="Y394" s="6">
        <v>7.6775382000000003E-2</v>
      </c>
      <c r="Z394" s="6">
        <v>1.4553221E-2</v>
      </c>
      <c r="AA394" s="6">
        <v>3.9493469000000003E-2</v>
      </c>
      <c r="AB394" s="6">
        <v>7.5294300000000002E-3</v>
      </c>
      <c r="AC394" s="6">
        <v>2.5559400999999999E-2</v>
      </c>
      <c r="AD394" s="6">
        <v>4.6764019999999996E-3</v>
      </c>
      <c r="AE394" s="6">
        <v>4.7023309999999999E-2</v>
      </c>
      <c r="AF394" s="6">
        <v>8.8600850000000002E-3</v>
      </c>
      <c r="AG394" s="6">
        <v>9.4108918110000008</v>
      </c>
      <c r="AH394" s="6">
        <v>0.41035980599999999</v>
      </c>
      <c r="AI394" s="6">
        <v>-12.503369087999999</v>
      </c>
      <c r="AJ394" s="6">
        <v>0.83780896400000004</v>
      </c>
      <c r="AK394" s="6">
        <v>15.652900055</v>
      </c>
      <c r="AL394" s="6">
        <v>0.86941589600000002</v>
      </c>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row>
    <row r="395" spans="1:84" ht="16" x14ac:dyDescent="0.2">
      <c r="A395" s="4">
        <v>45875</v>
      </c>
      <c r="B395" s="19">
        <v>25218</v>
      </c>
      <c r="C395" s="5" t="s">
        <v>49</v>
      </c>
      <c r="D395" s="44">
        <v>57</v>
      </c>
      <c r="E395" s="53" t="s">
        <v>1444</v>
      </c>
      <c r="G395" s="5"/>
      <c r="H395" s="5"/>
      <c r="I395" s="5"/>
      <c r="J395" s="5"/>
      <c r="K395" s="5"/>
      <c r="L395" s="5"/>
      <c r="M395" s="5"/>
      <c r="N395" s="5"/>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row>
    <row r="396" spans="1:84" ht="16" x14ac:dyDescent="0.2">
      <c r="A396" s="4">
        <v>45875</v>
      </c>
      <c r="B396" s="19">
        <v>25218</v>
      </c>
      <c r="C396" s="5" t="s">
        <v>49</v>
      </c>
      <c r="D396" s="25">
        <v>58</v>
      </c>
      <c r="E396" s="53" t="s">
        <v>1445</v>
      </c>
      <c r="F396">
        <v>-43.2</v>
      </c>
      <c r="G396" s="5" t="s">
        <v>2</v>
      </c>
      <c r="H396" s="5" t="s">
        <v>3</v>
      </c>
      <c r="I396" s="5">
        <v>0.65</v>
      </c>
      <c r="J396" s="5">
        <v>39.4</v>
      </c>
      <c r="K396" s="5">
        <v>8.6</v>
      </c>
      <c r="L396" s="5">
        <v>5</v>
      </c>
      <c r="M396" s="5"/>
      <c r="N396" s="5"/>
      <c r="O396" t="s">
        <v>784</v>
      </c>
      <c r="P396" s="6">
        <v>9.2207419999999998E-2</v>
      </c>
      <c r="Q396" s="6">
        <v>9.0504690000000002E-3</v>
      </c>
      <c r="R396" s="6">
        <v>1012</v>
      </c>
      <c r="S396" s="6">
        <v>1.0751809999999999E-3</v>
      </c>
      <c r="T396" s="6">
        <v>7.9999999920000002</v>
      </c>
      <c r="U396" s="6">
        <v>0.123203781</v>
      </c>
      <c r="V396" s="6">
        <v>8.7268529999999997E-3</v>
      </c>
      <c r="W396" s="6">
        <v>4.8482499999999998E-4</v>
      </c>
      <c r="X396" s="6">
        <v>4.3648999999999999E-4</v>
      </c>
      <c r="Y396" s="6">
        <v>0.12807352799999999</v>
      </c>
      <c r="Z396" s="6">
        <v>1.0835186E-2</v>
      </c>
      <c r="AA396" s="6">
        <v>8.4086636000000006E-2</v>
      </c>
      <c r="AB396" s="6">
        <v>9.0600249999999993E-3</v>
      </c>
      <c r="AC396" s="6">
        <v>6.6152819000000002E-2</v>
      </c>
      <c r="AD396" s="6">
        <v>8.7025669999999996E-3</v>
      </c>
      <c r="AE396" s="6">
        <v>9.2207419999999998E-2</v>
      </c>
      <c r="AF396" s="6">
        <v>9.0504690000000002E-3</v>
      </c>
      <c r="AG396" s="6">
        <v>5.981457292</v>
      </c>
      <c r="AH396" s="6">
        <v>0.63896129599999996</v>
      </c>
      <c r="AI396" s="6">
        <v>-7.415026653</v>
      </c>
      <c r="AJ396" s="6">
        <v>1.1814622100000001</v>
      </c>
      <c r="AK396" s="6">
        <v>9.5370384870000002</v>
      </c>
      <c r="AL396" s="6">
        <v>1.2685742</v>
      </c>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row>
    <row r="397" spans="1:84" ht="16" x14ac:dyDescent="0.2">
      <c r="A397" s="4">
        <v>45875</v>
      </c>
      <c r="B397" s="19">
        <v>25218</v>
      </c>
      <c r="C397" s="5" t="s">
        <v>49</v>
      </c>
      <c r="D397" s="5">
        <v>59</v>
      </c>
      <c r="E397" s="53" t="s">
        <v>1446</v>
      </c>
      <c r="F397">
        <v>-6.2</v>
      </c>
      <c r="G397" s="5" t="s">
        <v>2</v>
      </c>
      <c r="H397" s="5" t="s">
        <v>6</v>
      </c>
      <c r="I397" s="5">
        <v>0.3</v>
      </c>
      <c r="J397" s="5">
        <v>27.35</v>
      </c>
      <c r="K397" s="5" t="s">
        <v>8</v>
      </c>
      <c r="L397" s="5" t="s">
        <v>8</v>
      </c>
      <c r="M397" s="5"/>
      <c r="N397" s="5"/>
      <c r="O397" t="s">
        <v>785</v>
      </c>
      <c r="P397" s="6">
        <v>6.3538106999999996E-2</v>
      </c>
      <c r="Q397" s="6">
        <v>1.6298652E-2</v>
      </c>
      <c r="R397" s="6">
        <v>450</v>
      </c>
      <c r="S397" s="6">
        <v>1.577342E-3</v>
      </c>
      <c r="T397" s="6">
        <v>3.9999999979999998</v>
      </c>
      <c r="U397" s="6">
        <v>0.10782488699999999</v>
      </c>
      <c r="V397" s="6">
        <v>1.4628742E-2</v>
      </c>
      <c r="W397" s="6">
        <v>8.1270799999999999E-4</v>
      </c>
      <c r="X397" s="6">
        <v>6.64345E-4</v>
      </c>
      <c r="Y397" s="6">
        <v>9.3153316E-2</v>
      </c>
      <c r="Z397" s="6">
        <v>2.3873294999999999E-2</v>
      </c>
      <c r="AA397" s="6">
        <v>5.7283180000000003E-2</v>
      </c>
      <c r="AB397" s="6">
        <v>1.4688533E-2</v>
      </c>
      <c r="AC397" s="6">
        <v>3.8948141999999998E-2</v>
      </c>
      <c r="AD397" s="6">
        <v>1.0211038E-2</v>
      </c>
      <c r="AE397" s="6">
        <v>6.3538106999999996E-2</v>
      </c>
      <c r="AF397" s="6">
        <v>1.6298652E-2</v>
      </c>
      <c r="AG397" s="6">
        <v>6.8759659119999998</v>
      </c>
      <c r="AH397" s="6">
        <v>0.122650354</v>
      </c>
      <c r="AI397" s="6">
        <v>-10.323023417</v>
      </c>
      <c r="AJ397" s="6">
        <v>0.45719871499999998</v>
      </c>
      <c r="AK397" s="6">
        <v>12.406095069999999</v>
      </c>
      <c r="AL397" s="6">
        <v>0.39553357099999997</v>
      </c>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row>
    <row r="398" spans="1:84" ht="16" x14ac:dyDescent="0.2">
      <c r="A398" s="4">
        <v>45875</v>
      </c>
      <c r="B398" s="19">
        <v>25218</v>
      </c>
      <c r="C398" s="5" t="s">
        <v>49</v>
      </c>
      <c r="D398" s="5">
        <v>60</v>
      </c>
      <c r="E398" s="53" t="s">
        <v>1447</v>
      </c>
      <c r="F398">
        <v>-27</v>
      </c>
      <c r="G398" s="5" t="s">
        <v>2</v>
      </c>
      <c r="H398" s="5" t="s">
        <v>3</v>
      </c>
      <c r="I398" s="5">
        <v>0.6</v>
      </c>
      <c r="J398" s="5">
        <v>34.9</v>
      </c>
      <c r="K398" s="5">
        <v>8.9</v>
      </c>
      <c r="L398" s="5">
        <v>4.8499999999999996</v>
      </c>
      <c r="M398" s="5"/>
      <c r="N398" s="5"/>
      <c r="O398" t="s">
        <v>786</v>
      </c>
      <c r="P398" s="6">
        <v>9.6064880000000005E-2</v>
      </c>
      <c r="Q398" s="6">
        <v>1.3530166999999999E-2</v>
      </c>
      <c r="R398" s="6">
        <v>893</v>
      </c>
      <c r="S398" s="6">
        <v>1.475409E-3</v>
      </c>
      <c r="T398" s="6">
        <v>7.9999999920000002</v>
      </c>
      <c r="U398" s="6">
        <v>0.11102216099999999</v>
      </c>
      <c r="V398" s="6">
        <v>1.3289323E-2</v>
      </c>
      <c r="W398" s="6">
        <v>7.3829600000000005E-4</v>
      </c>
      <c r="X398" s="6">
        <v>5.0287300000000004E-4</v>
      </c>
      <c r="Y398" s="6">
        <v>0.141807869</v>
      </c>
      <c r="Z398" s="6">
        <v>1.9089209999999999E-2</v>
      </c>
      <c r="AA398" s="6">
        <v>8.5762436999999997E-2</v>
      </c>
      <c r="AB398" s="6">
        <v>1.246252E-2</v>
      </c>
      <c r="AC398" s="6">
        <v>6.0262775999999997E-2</v>
      </c>
      <c r="AD398" s="6">
        <v>9.5687600000000008E-3</v>
      </c>
      <c r="AE398" s="6">
        <v>9.6064880000000005E-2</v>
      </c>
      <c r="AF398" s="6">
        <v>1.3530166999999999E-2</v>
      </c>
      <c r="AG398" s="6">
        <v>7.1390974409999997</v>
      </c>
      <c r="AH398" s="6">
        <v>0.60787745400000004</v>
      </c>
      <c r="AI398" s="6">
        <v>-9.9258323019999999</v>
      </c>
      <c r="AJ398" s="6">
        <v>1.0301185660000001</v>
      </c>
      <c r="AK398" s="6">
        <v>12.230406958</v>
      </c>
      <c r="AL398" s="6">
        <v>1.156096295</v>
      </c>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row>
    <row r="399" spans="1:84" ht="16" x14ac:dyDescent="0.2">
      <c r="A399" s="4">
        <v>45875</v>
      </c>
      <c r="B399" s="19">
        <v>25218</v>
      </c>
      <c r="C399" s="5" t="s">
        <v>49</v>
      </c>
      <c r="D399" s="5">
        <v>61</v>
      </c>
      <c r="E399" s="53" t="s">
        <v>1448</v>
      </c>
      <c r="F399">
        <v>-5</v>
      </c>
      <c r="G399" s="5" t="s">
        <v>2</v>
      </c>
      <c r="H399" s="5" t="s">
        <v>6</v>
      </c>
      <c r="I399" s="5">
        <v>0.3</v>
      </c>
      <c r="J399" s="5">
        <v>25.6</v>
      </c>
      <c r="K399" s="5" t="s">
        <v>8</v>
      </c>
      <c r="L399" s="5" t="s">
        <v>8</v>
      </c>
      <c r="M399" s="5"/>
      <c r="N399" s="5"/>
      <c r="O399" t="s">
        <v>787</v>
      </c>
      <c r="P399" s="6">
        <v>7.6819212999999997E-2</v>
      </c>
      <c r="Q399" s="6">
        <v>1.5450391000000001E-2</v>
      </c>
      <c r="R399" s="6">
        <v>480</v>
      </c>
      <c r="S399" s="6">
        <v>1.514177E-3</v>
      </c>
      <c r="T399" s="6">
        <v>5.6568542449999999</v>
      </c>
      <c r="U399" s="6">
        <v>9.8007334000000002E-2</v>
      </c>
      <c r="V399" s="6">
        <v>1.5449631E-2</v>
      </c>
      <c r="W399" s="6">
        <v>8.5831299999999998E-4</v>
      </c>
      <c r="X399" s="6">
        <v>5.7525899999999995E-4</v>
      </c>
      <c r="Y399" s="6">
        <v>0.10606570999999999</v>
      </c>
      <c r="Z399" s="6">
        <v>2.0790631E-2</v>
      </c>
      <c r="AA399" s="6">
        <v>7.1120137999999999E-2</v>
      </c>
      <c r="AB399" s="6">
        <v>1.4468709999999999E-2</v>
      </c>
      <c r="AC399" s="6">
        <v>5.1713698000000002E-2</v>
      </c>
      <c r="AD399" s="6">
        <v>1.0792751E-2</v>
      </c>
      <c r="AE399" s="6">
        <v>7.6819212999999997E-2</v>
      </c>
      <c r="AF399" s="6">
        <v>1.5450391000000001E-2</v>
      </c>
      <c r="AG399" s="6">
        <v>5.6809651939999997</v>
      </c>
      <c r="AH399" s="6">
        <v>0.21859158000000001</v>
      </c>
      <c r="AI399" s="6">
        <v>-8.5061153219999994</v>
      </c>
      <c r="AJ399" s="6">
        <v>0.33818736100000002</v>
      </c>
      <c r="AK399" s="6">
        <v>10.231195742000001</v>
      </c>
      <c r="AL399" s="6">
        <v>0.33473245200000001</v>
      </c>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row>
    <row r="400" spans="1:84" ht="16" x14ac:dyDescent="0.2">
      <c r="A400" s="4">
        <v>45875</v>
      </c>
      <c r="B400" s="19">
        <v>25218</v>
      </c>
      <c r="C400" s="5" t="s">
        <v>49</v>
      </c>
      <c r="D400" s="5">
        <v>62</v>
      </c>
      <c r="E400" s="53" t="s">
        <v>1449</v>
      </c>
      <c r="F400">
        <v>33.799999999999997</v>
      </c>
      <c r="G400" s="5" t="s">
        <v>2</v>
      </c>
      <c r="H400" s="5" t="s">
        <v>6</v>
      </c>
      <c r="I400" s="5">
        <v>0.25</v>
      </c>
      <c r="J400" s="5">
        <v>25.7</v>
      </c>
      <c r="K400" s="5" t="s">
        <v>8</v>
      </c>
      <c r="L400" s="5" t="s">
        <v>8</v>
      </c>
      <c r="M400" s="5"/>
      <c r="N400" s="5"/>
      <c r="O400" t="s">
        <v>788</v>
      </c>
      <c r="P400" s="6">
        <v>6.3148158999999995E-2</v>
      </c>
      <c r="Q400" s="6">
        <v>1.0347380999999999E-2</v>
      </c>
      <c r="R400" s="6">
        <v>455</v>
      </c>
      <c r="S400" s="6">
        <v>1.0855560000000001E-3</v>
      </c>
      <c r="T400" s="6">
        <v>31.999999932000001</v>
      </c>
      <c r="U400" s="6">
        <v>0.104236118</v>
      </c>
      <c r="V400" s="6">
        <v>1.0414394E-2</v>
      </c>
      <c r="W400" s="6">
        <v>5.7857700000000004E-4</v>
      </c>
      <c r="X400" s="6">
        <v>4.65487E-4</v>
      </c>
      <c r="Y400" s="6">
        <v>9.3184925000000002E-2</v>
      </c>
      <c r="Z400" s="6">
        <v>1.5031353000000001E-2</v>
      </c>
      <c r="AA400" s="6">
        <v>5.5718464000000002E-2</v>
      </c>
      <c r="AB400" s="6">
        <v>9.2301859999999996E-3</v>
      </c>
      <c r="AC400" s="6">
        <v>4.2638637E-2</v>
      </c>
      <c r="AD400" s="6">
        <v>7.5210479999999998E-3</v>
      </c>
      <c r="AE400" s="6">
        <v>6.3148158999999995E-2</v>
      </c>
      <c r="AF400" s="6">
        <v>1.0347380999999999E-2</v>
      </c>
      <c r="AG400" s="6">
        <v>7.2930716069999999</v>
      </c>
      <c r="AH400" s="6">
        <v>0.445724222</v>
      </c>
      <c r="AI400" s="6">
        <v>-8.6180676389999995</v>
      </c>
      <c r="AJ400" s="6">
        <v>0.828961261</v>
      </c>
      <c r="AK400" s="6">
        <v>11.294393795</v>
      </c>
      <c r="AL400" s="6">
        <v>0.88446101499999996</v>
      </c>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row>
    <row r="401" spans="1:84" ht="16" x14ac:dyDescent="0.2">
      <c r="A401" s="4">
        <v>45875</v>
      </c>
      <c r="B401" s="19">
        <v>25218</v>
      </c>
      <c r="C401" s="5" t="s">
        <v>49</v>
      </c>
      <c r="D401" s="5">
        <v>63</v>
      </c>
      <c r="E401" s="53" t="s">
        <v>1450</v>
      </c>
      <c r="F401">
        <v>-35.700000000000003</v>
      </c>
      <c r="G401" s="5" t="s">
        <v>2</v>
      </c>
      <c r="H401" s="5" t="s">
        <v>3</v>
      </c>
      <c r="I401" s="5">
        <v>0.85</v>
      </c>
      <c r="J401" s="5">
        <v>34.5</v>
      </c>
      <c r="K401" s="5">
        <v>8</v>
      </c>
      <c r="L401" s="5">
        <v>4.9000000000000004</v>
      </c>
      <c r="M401" s="5"/>
      <c r="N401" s="5"/>
      <c r="O401" t="s">
        <v>789</v>
      </c>
      <c r="P401" s="6">
        <v>8.4149205000000005E-2</v>
      </c>
      <c r="Q401" s="6">
        <v>1.2849894000000001E-2</v>
      </c>
      <c r="R401" s="6">
        <v>788</v>
      </c>
      <c r="S401" s="6">
        <v>1.523815E-3</v>
      </c>
      <c r="T401" s="6">
        <v>5.6568542449999999</v>
      </c>
      <c r="U401" s="6">
        <v>0.12891919900000001</v>
      </c>
      <c r="V401" s="6">
        <v>1.1819925E-2</v>
      </c>
      <c r="W401" s="6">
        <v>6.5666200000000002E-4</v>
      </c>
      <c r="X401" s="6">
        <v>5.35558E-4</v>
      </c>
      <c r="Y401" s="6">
        <v>0.11989683499999999</v>
      </c>
      <c r="Z401" s="6">
        <v>1.7925015999999998E-2</v>
      </c>
      <c r="AA401" s="6">
        <v>7.7382938999999998E-2</v>
      </c>
      <c r="AB401" s="6">
        <v>1.1841318E-2</v>
      </c>
      <c r="AC401" s="6">
        <v>5.3094616999999997E-2</v>
      </c>
      <c r="AD401" s="6">
        <v>9.0294880000000004E-3</v>
      </c>
      <c r="AE401" s="6">
        <v>8.4149205000000005E-2</v>
      </c>
      <c r="AF401" s="6">
        <v>1.2849894000000001E-2</v>
      </c>
      <c r="AG401" s="6">
        <v>6.198320506</v>
      </c>
      <c r="AH401" s="6">
        <v>0.26365741999999998</v>
      </c>
      <c r="AI401" s="6">
        <v>-9.7696394509999998</v>
      </c>
      <c r="AJ401" s="6">
        <v>0.72967115699999996</v>
      </c>
      <c r="AK401" s="6">
        <v>11.572867587999999</v>
      </c>
      <c r="AL401" s="6">
        <v>0.73185956500000005</v>
      </c>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row>
    <row r="402" spans="1:84" ht="16" x14ac:dyDescent="0.2">
      <c r="A402" s="4">
        <v>45875</v>
      </c>
      <c r="B402" s="19">
        <v>25218</v>
      </c>
      <c r="C402" s="5" t="s">
        <v>49</v>
      </c>
      <c r="D402" s="5">
        <v>64</v>
      </c>
      <c r="E402" s="53" t="s">
        <v>1451</v>
      </c>
      <c r="F402">
        <v>-41.3</v>
      </c>
      <c r="G402" s="5" t="s">
        <v>2</v>
      </c>
      <c r="H402" s="5" t="s">
        <v>6</v>
      </c>
      <c r="I402" s="5">
        <v>0.4</v>
      </c>
      <c r="J402" s="5">
        <v>25.85</v>
      </c>
      <c r="K402" s="5" t="s">
        <v>8</v>
      </c>
      <c r="L402" s="5" t="s">
        <v>8</v>
      </c>
      <c r="M402" s="5"/>
      <c r="N402" s="5"/>
      <c r="O402" t="s">
        <v>790</v>
      </c>
      <c r="P402" s="6">
        <v>6.1395647999999997E-2</v>
      </c>
      <c r="Q402" s="6">
        <v>1.8952832999999999E-2</v>
      </c>
      <c r="R402" s="6">
        <v>438</v>
      </c>
      <c r="S402" s="6">
        <v>2.034915E-3</v>
      </c>
      <c r="T402" s="6">
        <v>3.9999999979999998</v>
      </c>
      <c r="U402" s="6">
        <v>0.114656751</v>
      </c>
      <c r="V402" s="6">
        <v>1.7747887E-2</v>
      </c>
      <c r="W402" s="6">
        <v>9.8599400000000002E-4</v>
      </c>
      <c r="X402" s="6">
        <v>7.1746600000000005E-4</v>
      </c>
      <c r="Y402" s="6">
        <v>9.3198146999999995E-2</v>
      </c>
      <c r="Z402" s="6">
        <v>2.9301997999999999E-2</v>
      </c>
      <c r="AA402" s="6">
        <v>5.4653656000000002E-2</v>
      </c>
      <c r="AB402" s="6">
        <v>1.6847124000000002E-2</v>
      </c>
      <c r="AC402" s="6">
        <v>3.4720739E-2</v>
      </c>
      <c r="AD402" s="6">
        <v>1.0113069000000001E-2</v>
      </c>
      <c r="AE402" s="6">
        <v>6.1395647999999997E-2</v>
      </c>
      <c r="AF402" s="6">
        <v>1.8952832999999999E-2</v>
      </c>
      <c r="AG402" s="6">
        <v>7.4852059710000001</v>
      </c>
      <c r="AH402" s="6">
        <v>0.39097957</v>
      </c>
      <c r="AI402" s="6">
        <v>-11.606233571000001</v>
      </c>
      <c r="AJ402" s="6">
        <v>0.72799481899999996</v>
      </c>
      <c r="AK402" s="6">
        <v>13.813739096999999</v>
      </c>
      <c r="AL402" s="6">
        <v>0.77215463100000004</v>
      </c>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row>
    <row r="403" spans="1:84" ht="16" x14ac:dyDescent="0.2">
      <c r="A403" s="4">
        <v>45875</v>
      </c>
      <c r="B403" s="19">
        <v>25218</v>
      </c>
      <c r="C403" s="5" t="s">
        <v>49</v>
      </c>
      <c r="D403" s="28">
        <v>65</v>
      </c>
      <c r="E403" s="53" t="s">
        <v>1452</v>
      </c>
      <c r="F403">
        <v>-15.6</v>
      </c>
      <c r="G403" s="5" t="s">
        <v>2</v>
      </c>
      <c r="H403" s="5" t="s">
        <v>6</v>
      </c>
      <c r="I403" s="5">
        <v>0.1</v>
      </c>
      <c r="J403" s="5">
        <v>31.9</v>
      </c>
      <c r="K403" s="5">
        <v>8.1</v>
      </c>
      <c r="L403" s="5">
        <v>4.3</v>
      </c>
      <c r="M403" s="5"/>
      <c r="N403" s="5"/>
      <c r="O403" t="s">
        <v>791</v>
      </c>
      <c r="P403" s="6">
        <v>7.4471238999999995E-2</v>
      </c>
      <c r="Q403" s="6">
        <v>1.3478532E-2</v>
      </c>
      <c r="R403" s="6">
        <v>623</v>
      </c>
      <c r="S403" s="6">
        <v>1.3504719999999999E-3</v>
      </c>
      <c r="T403" s="6">
        <v>3.9999999979999998</v>
      </c>
      <c r="U403" s="6">
        <v>9.9874483999999999E-2</v>
      </c>
      <c r="V403" s="6">
        <v>1.3521689E-2</v>
      </c>
      <c r="W403" s="6">
        <v>7.5120500000000002E-4</v>
      </c>
      <c r="X403" s="6">
        <v>4.8513700000000001E-4</v>
      </c>
      <c r="Y403" s="6">
        <v>0.11099441</v>
      </c>
      <c r="Z403" s="6">
        <v>2.0009092999999999E-2</v>
      </c>
      <c r="AA403" s="6">
        <v>6.6156065E-2</v>
      </c>
      <c r="AB403" s="6">
        <v>1.1916602E-2</v>
      </c>
      <c r="AC403" s="6">
        <v>4.6270628000000001E-2</v>
      </c>
      <c r="AD403" s="6">
        <v>9.380177E-3</v>
      </c>
      <c r="AE403" s="6">
        <v>7.4471238999999995E-2</v>
      </c>
      <c r="AF403" s="6">
        <v>1.3478532E-2</v>
      </c>
      <c r="AG403" s="6">
        <v>7.3266085500000004</v>
      </c>
      <c r="AH403" s="6">
        <v>0.52261433899999998</v>
      </c>
      <c r="AI403" s="6">
        <v>-10.162614445999999</v>
      </c>
      <c r="AJ403" s="6">
        <v>0.95956677499999998</v>
      </c>
      <c r="AK403" s="6">
        <v>12.534088193000001</v>
      </c>
      <c r="AL403" s="6">
        <v>1.023825416</v>
      </c>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row>
    <row r="404" spans="1:84" ht="16" x14ac:dyDescent="0.2">
      <c r="A404" s="4">
        <v>45875</v>
      </c>
      <c r="B404" s="19">
        <v>25218</v>
      </c>
      <c r="C404" s="5" t="s">
        <v>49</v>
      </c>
      <c r="D404" s="5">
        <v>66</v>
      </c>
      <c r="E404" s="53" t="s">
        <v>1453</v>
      </c>
      <c r="F404">
        <v>12.2</v>
      </c>
      <c r="G404" s="43" t="s">
        <v>12</v>
      </c>
      <c r="H404" s="5" t="s">
        <v>6</v>
      </c>
      <c r="I404" s="5">
        <v>0.3</v>
      </c>
      <c r="J404" s="5">
        <v>25.2</v>
      </c>
      <c r="K404" s="5" t="s">
        <v>8</v>
      </c>
      <c r="L404" s="5" t="s">
        <v>8</v>
      </c>
      <c r="M404" s="5"/>
      <c r="N404" s="5"/>
      <c r="O404" t="s">
        <v>679</v>
      </c>
      <c r="P404" s="6">
        <v>4.3080177999999997E-2</v>
      </c>
      <c r="Q404" s="6">
        <v>1.4519892E-2</v>
      </c>
      <c r="R404" s="6">
        <v>596</v>
      </c>
      <c r="S404" s="6">
        <v>1.6169769999999999E-3</v>
      </c>
      <c r="T404" s="6">
        <v>2.8284271240000001</v>
      </c>
      <c r="U404" s="6">
        <v>0.13611357900000001</v>
      </c>
      <c r="V404" s="6">
        <v>1.1879618999999999E-2</v>
      </c>
      <c r="W404" s="6">
        <v>6.5997899999999999E-4</v>
      </c>
      <c r="X404" s="6">
        <v>6.16819E-4</v>
      </c>
      <c r="Y404" s="6">
        <v>4.8605000000000002E-2</v>
      </c>
      <c r="Z404" s="6">
        <v>1.6533234000000001E-2</v>
      </c>
      <c r="AA404" s="6">
        <v>4.2795487E-2</v>
      </c>
      <c r="AB404" s="6">
        <v>1.436949E-2</v>
      </c>
      <c r="AC404" s="6">
        <v>3.9499076000000001E-2</v>
      </c>
      <c r="AD404" s="6">
        <v>1.3429755E-2</v>
      </c>
      <c r="AE404" s="6">
        <v>4.3080177999999997E-2</v>
      </c>
      <c r="AF404" s="6">
        <v>1.4519892E-2</v>
      </c>
      <c r="AG404" s="6">
        <v>1.70122649</v>
      </c>
      <c r="AH404" s="6">
        <v>0.56054618899999997</v>
      </c>
      <c r="AI404" s="6">
        <v>-2.3171072279999998</v>
      </c>
      <c r="AJ404" s="6">
        <v>0.51683040899999999</v>
      </c>
      <c r="AK404" s="6">
        <v>2.8961133960000001</v>
      </c>
      <c r="AL404" s="6">
        <v>0.67587085000000002</v>
      </c>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row>
    <row r="405" spans="1:84" ht="16" x14ac:dyDescent="0.2">
      <c r="A405" s="4">
        <v>45880</v>
      </c>
      <c r="B405" s="20">
        <v>25223</v>
      </c>
      <c r="C405" s="5" t="s">
        <v>52</v>
      </c>
      <c r="D405" s="5">
        <v>22</v>
      </c>
      <c r="E405" s="53" t="s">
        <v>1454</v>
      </c>
      <c r="F405">
        <v>21.4</v>
      </c>
      <c r="G405" s="5" t="s">
        <v>2</v>
      </c>
      <c r="H405" s="5" t="s">
        <v>6</v>
      </c>
      <c r="I405" s="5">
        <v>0.3</v>
      </c>
      <c r="J405" s="5">
        <v>25</v>
      </c>
      <c r="K405" s="5" t="s">
        <v>8</v>
      </c>
      <c r="L405" s="5" t="s">
        <v>8</v>
      </c>
      <c r="M405" s="5"/>
      <c r="N405" s="5"/>
      <c r="O405" t="s">
        <v>792</v>
      </c>
      <c r="P405" s="6">
        <v>5.8106156999999999E-2</v>
      </c>
      <c r="Q405" s="6">
        <v>1.6220773000000001E-2</v>
      </c>
      <c r="R405" s="6">
        <v>421</v>
      </c>
      <c r="S405" s="6">
        <v>1.709426E-3</v>
      </c>
      <c r="T405" s="6">
        <v>3.9999999979999998</v>
      </c>
      <c r="U405" s="6">
        <v>0.110289636</v>
      </c>
      <c r="V405" s="6">
        <v>1.5499422000000001E-2</v>
      </c>
      <c r="W405" s="6">
        <v>8.6107899999999995E-4</v>
      </c>
      <c r="X405" s="6">
        <v>6.0812500000000005E-4</v>
      </c>
      <c r="Y405" s="6">
        <v>8.9094109000000005E-2</v>
      </c>
      <c r="Z405" s="6">
        <v>2.5944305000000001E-2</v>
      </c>
      <c r="AA405" s="6">
        <v>5.0849067999999997E-2</v>
      </c>
      <c r="AB405" s="6">
        <v>1.4037971999999999E-2</v>
      </c>
      <c r="AC405" s="6">
        <v>3.4370682999999999E-2</v>
      </c>
      <c r="AD405" s="6">
        <v>9.0656150000000008E-3</v>
      </c>
      <c r="AE405" s="6">
        <v>5.8106156999999999E-2</v>
      </c>
      <c r="AF405" s="6">
        <v>1.6220773000000001E-2</v>
      </c>
      <c r="AG405" s="6">
        <v>7.8731837779999996</v>
      </c>
      <c r="AH405" s="6">
        <v>0.85068657700000005</v>
      </c>
      <c r="AI405" s="6">
        <v>-10.920314833999999</v>
      </c>
      <c r="AJ405" s="6">
        <v>1.2672005230000001</v>
      </c>
      <c r="AK405" s="6">
        <v>13.468363163999999</v>
      </c>
      <c r="AL405" s="6">
        <v>1.473969307</v>
      </c>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row>
    <row r="406" spans="1:84" ht="16" x14ac:dyDescent="0.2">
      <c r="A406" s="4">
        <v>45880</v>
      </c>
      <c r="B406" s="20">
        <v>25223</v>
      </c>
      <c r="C406" s="5" t="s">
        <v>52</v>
      </c>
      <c r="D406" s="5">
        <v>23</v>
      </c>
      <c r="E406" s="53" t="s">
        <v>1455</v>
      </c>
      <c r="F406">
        <v>58.4</v>
      </c>
      <c r="G406" s="5" t="s">
        <v>2</v>
      </c>
      <c r="H406" s="5" t="s">
        <v>6</v>
      </c>
      <c r="I406" s="5">
        <v>0.35</v>
      </c>
      <c r="J406" s="5">
        <v>28.3</v>
      </c>
      <c r="K406" s="5">
        <v>7.45</v>
      </c>
      <c r="L406" s="5">
        <v>4.05</v>
      </c>
      <c r="M406" s="5"/>
      <c r="N406" s="5"/>
      <c r="O406" t="s">
        <v>793</v>
      </c>
      <c r="P406" s="6">
        <v>8.3887395000000003E-2</v>
      </c>
      <c r="Q406" s="6">
        <v>1.5632074999999999E-2</v>
      </c>
      <c r="R406" s="6">
        <v>561</v>
      </c>
      <c r="S406" s="6">
        <v>1.5141569999999999E-3</v>
      </c>
      <c r="T406" s="6">
        <v>3.9999999979999998</v>
      </c>
      <c r="U406" s="6">
        <v>0.105840933</v>
      </c>
      <c r="V406" s="6">
        <v>1.4305971000000001E-2</v>
      </c>
      <c r="W406" s="6">
        <v>7.9477599999999997E-4</v>
      </c>
      <c r="X406" s="6">
        <v>6.0212099999999995E-4</v>
      </c>
      <c r="Y406" s="6">
        <v>0.12733599100000001</v>
      </c>
      <c r="Z406" s="6">
        <v>2.3261646E-2</v>
      </c>
      <c r="AA406" s="6">
        <v>7.4244559000000002E-2</v>
      </c>
      <c r="AB406" s="6">
        <v>1.4259262999999999E-2</v>
      </c>
      <c r="AC406" s="6">
        <v>4.8664509000000002E-2</v>
      </c>
      <c r="AD406" s="6">
        <v>8.9160139999999999E-3</v>
      </c>
      <c r="AE406" s="6">
        <v>8.3887395000000003E-2</v>
      </c>
      <c r="AF406" s="6">
        <v>1.5632074999999999E-2</v>
      </c>
      <c r="AG406" s="6">
        <v>7.6686515489999998</v>
      </c>
      <c r="AH406" s="6">
        <v>0.28379833799999998</v>
      </c>
      <c r="AI406" s="6">
        <v>-11.283551328</v>
      </c>
      <c r="AJ406" s="6">
        <v>0.92277195700000003</v>
      </c>
      <c r="AK406" s="6">
        <v>13.654355292</v>
      </c>
      <c r="AL406" s="6">
        <v>0.78537689200000005</v>
      </c>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row>
    <row r="407" spans="1:84" ht="16" x14ac:dyDescent="0.2">
      <c r="A407" s="4">
        <v>45880</v>
      </c>
      <c r="B407" s="20">
        <v>25223</v>
      </c>
      <c r="C407" s="5" t="s">
        <v>52</v>
      </c>
      <c r="D407" s="5">
        <v>24</v>
      </c>
      <c r="E407" s="53" t="s">
        <v>1456</v>
      </c>
      <c r="F407">
        <v>26.1</v>
      </c>
      <c r="G407" s="5" t="s">
        <v>2</v>
      </c>
      <c r="H407" s="5" t="s">
        <v>5</v>
      </c>
      <c r="I407" s="5">
        <v>0.65</v>
      </c>
      <c r="J407" s="5">
        <v>33.5</v>
      </c>
      <c r="K407" s="5">
        <v>7.95</v>
      </c>
      <c r="L407" s="5">
        <v>4.8</v>
      </c>
      <c r="M407" s="5"/>
      <c r="N407" s="5"/>
      <c r="O407" t="s">
        <v>794</v>
      </c>
      <c r="P407" s="6">
        <v>6.6291450000000002E-2</v>
      </c>
      <c r="Q407" s="6">
        <v>9.7214160000000001E-3</v>
      </c>
      <c r="R407" s="6">
        <v>752</v>
      </c>
      <c r="S407" s="6">
        <v>9.8815100000000005E-4</v>
      </c>
      <c r="T407" s="6">
        <v>7.9999999920000002</v>
      </c>
      <c r="U407" s="6">
        <v>9.7907525999999995E-2</v>
      </c>
      <c r="V407" s="6">
        <v>1.0092698000000001E-2</v>
      </c>
      <c r="W407" s="6">
        <v>5.6070499999999999E-4</v>
      </c>
      <c r="X407" s="6">
        <v>3.7419599999999998E-4</v>
      </c>
      <c r="Y407" s="6">
        <v>8.9655181E-2</v>
      </c>
      <c r="Z407" s="6">
        <v>1.2323422000000001E-2</v>
      </c>
      <c r="AA407" s="6">
        <v>6.1805686999999998E-2</v>
      </c>
      <c r="AB407" s="6">
        <v>9.4780349999999992E-3</v>
      </c>
      <c r="AC407" s="6">
        <v>4.8516284E-2</v>
      </c>
      <c r="AD407" s="6">
        <v>7.5998899999999998E-3</v>
      </c>
      <c r="AE407" s="6">
        <v>6.6291450000000002E-2</v>
      </c>
      <c r="AF407" s="6">
        <v>9.7214160000000001E-3</v>
      </c>
      <c r="AG407" s="6">
        <v>5.3082455099999999</v>
      </c>
      <c r="AH407" s="6">
        <v>0.59516185099999996</v>
      </c>
      <c r="AI407" s="6">
        <v>-7.0321183999999999</v>
      </c>
      <c r="AJ407" s="6">
        <v>0.591496786</v>
      </c>
      <c r="AK407" s="6">
        <v>8.8123142479999998</v>
      </c>
      <c r="AL407" s="6">
        <v>0.82178172400000005</v>
      </c>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row>
    <row r="408" spans="1:84" ht="16" x14ac:dyDescent="0.2">
      <c r="A408" s="4">
        <v>45880</v>
      </c>
      <c r="B408" s="20">
        <v>25223</v>
      </c>
      <c r="C408" s="5" t="s">
        <v>52</v>
      </c>
      <c r="D408" s="5">
        <v>25</v>
      </c>
      <c r="E408" s="53" t="s">
        <v>1457</v>
      </c>
      <c r="F408">
        <v>-9.6999999999999993</v>
      </c>
      <c r="G408" s="5" t="s">
        <v>2</v>
      </c>
      <c r="H408" s="5" t="s">
        <v>6</v>
      </c>
      <c r="I408" s="5">
        <v>0.25</v>
      </c>
      <c r="J408" s="5">
        <v>23.1</v>
      </c>
      <c r="K408" s="5" t="s">
        <v>8</v>
      </c>
      <c r="L408" s="5" t="s">
        <v>8</v>
      </c>
      <c r="M408" s="5"/>
      <c r="N408" s="5"/>
      <c r="O408" t="s">
        <v>795</v>
      </c>
      <c r="P408" s="6">
        <v>7.3624426000000007E-2</v>
      </c>
      <c r="Q408" s="6">
        <v>1.6908171E-2</v>
      </c>
      <c r="R408" s="6">
        <v>413</v>
      </c>
      <c r="S408" s="6">
        <v>1.9090940000000001E-3</v>
      </c>
      <c r="T408" s="6">
        <v>3.9999999979999998</v>
      </c>
      <c r="U408" s="6">
        <v>0.127665422</v>
      </c>
      <c r="V408" s="6">
        <v>1.4953888E-2</v>
      </c>
      <c r="W408" s="6">
        <v>8.3077200000000002E-4</v>
      </c>
      <c r="X408" s="6">
        <v>7.0811300000000001E-4</v>
      </c>
      <c r="Y408" s="6">
        <v>0.11585612300000001</v>
      </c>
      <c r="Z408" s="6">
        <v>2.8742341000000001E-2</v>
      </c>
      <c r="AA408" s="6">
        <v>6.4053009999999994E-2</v>
      </c>
      <c r="AB408" s="6">
        <v>1.4138671E-2</v>
      </c>
      <c r="AC408" s="6">
        <v>3.9063599999999997E-2</v>
      </c>
      <c r="AD408" s="6">
        <v>7.6623630000000002E-3</v>
      </c>
      <c r="AE408" s="6">
        <v>7.3624426000000007E-2</v>
      </c>
      <c r="AF408" s="6">
        <v>1.6908171E-2</v>
      </c>
      <c r="AG408" s="6">
        <v>8.28081435</v>
      </c>
      <c r="AH408" s="6">
        <v>0.65994569599999997</v>
      </c>
      <c r="AI408" s="6">
        <v>-12.762854807</v>
      </c>
      <c r="AJ408" s="6">
        <v>1.2519187650000001</v>
      </c>
      <c r="AK408" s="6">
        <v>15.215374947000001</v>
      </c>
      <c r="AL408" s="6">
        <v>1.399083587</v>
      </c>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row>
    <row r="409" spans="1:84" ht="16" x14ac:dyDescent="0.2">
      <c r="A409" s="4">
        <v>45880</v>
      </c>
      <c r="B409" s="20">
        <v>25223</v>
      </c>
      <c r="C409" s="5" t="s">
        <v>52</v>
      </c>
      <c r="D409" s="5">
        <v>26</v>
      </c>
      <c r="E409" s="53" t="s">
        <v>1458</v>
      </c>
      <c r="F409">
        <v>-5.2</v>
      </c>
      <c r="G409" s="5" t="s">
        <v>2</v>
      </c>
      <c r="H409" s="5" t="s">
        <v>6</v>
      </c>
      <c r="I409" s="5">
        <v>0.35</v>
      </c>
      <c r="J409" s="5">
        <v>27</v>
      </c>
      <c r="K409" s="5" t="s">
        <v>8</v>
      </c>
      <c r="L409" s="5" t="s">
        <v>8</v>
      </c>
      <c r="M409" s="5"/>
      <c r="N409" s="5"/>
      <c r="O409" t="s">
        <v>796</v>
      </c>
      <c r="P409" s="6">
        <v>7.6578727999999999E-2</v>
      </c>
      <c r="Q409" s="6">
        <v>9.9781539999999995E-3</v>
      </c>
      <c r="R409" s="6">
        <v>542</v>
      </c>
      <c r="S409" s="6">
        <v>1.2788700000000001E-3</v>
      </c>
      <c r="T409" s="6">
        <v>7.9999999920000002</v>
      </c>
      <c r="U409" s="6">
        <v>0.108893237</v>
      </c>
      <c r="V409" s="6">
        <v>1.1744259E-2</v>
      </c>
      <c r="W409" s="6">
        <v>6.5245899999999998E-4</v>
      </c>
      <c r="X409" s="6">
        <v>4.6014100000000001E-4</v>
      </c>
      <c r="Y409" s="6">
        <v>0.1199016</v>
      </c>
      <c r="Z409" s="6">
        <v>1.6044358000000002E-2</v>
      </c>
      <c r="AA409" s="6">
        <v>6.5948795000000004E-2</v>
      </c>
      <c r="AB409" s="6">
        <v>8.7202549999999997E-3</v>
      </c>
      <c r="AC409" s="6">
        <v>4.4668258000000002E-2</v>
      </c>
      <c r="AD409" s="6">
        <v>5.7097010000000002E-3</v>
      </c>
      <c r="AE409" s="6">
        <v>7.6578727999999999E-2</v>
      </c>
      <c r="AF409" s="6">
        <v>9.9781539999999995E-3</v>
      </c>
      <c r="AG409" s="6">
        <v>8.4585741890000001</v>
      </c>
      <c r="AH409" s="6">
        <v>0.614230096</v>
      </c>
      <c r="AI409" s="6">
        <v>-11.232540910000001</v>
      </c>
      <c r="AJ409" s="6">
        <v>0.69049057700000005</v>
      </c>
      <c r="AK409" s="6">
        <v>14.064733305000001</v>
      </c>
      <c r="AL409" s="6">
        <v>0.868677951</v>
      </c>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row>
    <row r="410" spans="1:84" ht="16" x14ac:dyDescent="0.2">
      <c r="A410" s="4">
        <v>45880</v>
      </c>
      <c r="B410" s="20">
        <v>25223</v>
      </c>
      <c r="C410" s="5" t="s">
        <v>52</v>
      </c>
      <c r="D410" s="5">
        <v>27</v>
      </c>
      <c r="E410" s="53" t="s">
        <v>1459</v>
      </c>
      <c r="F410">
        <v>-13.3</v>
      </c>
      <c r="G410" s="5" t="s">
        <v>2</v>
      </c>
      <c r="H410" s="5" t="s">
        <v>6</v>
      </c>
      <c r="I410" s="5">
        <v>0.15</v>
      </c>
      <c r="J410" s="5">
        <v>26</v>
      </c>
      <c r="K410" s="5" t="s">
        <v>8</v>
      </c>
      <c r="L410" s="5" t="s">
        <v>8</v>
      </c>
      <c r="M410" s="5"/>
      <c r="N410" s="5"/>
      <c r="O410" t="s">
        <v>797</v>
      </c>
      <c r="P410" s="6">
        <v>0.110673438</v>
      </c>
      <c r="Q410" s="6">
        <v>1.6436411000000001E-2</v>
      </c>
      <c r="R410" s="6">
        <v>524</v>
      </c>
      <c r="S410" s="6">
        <v>1.8800830000000001E-3</v>
      </c>
      <c r="T410" s="6">
        <v>7.9999999920000002</v>
      </c>
      <c r="U410" s="6">
        <v>0.116283527</v>
      </c>
      <c r="V410" s="6">
        <v>1.6168096999999999E-2</v>
      </c>
      <c r="W410" s="6">
        <v>8.9822800000000005E-4</v>
      </c>
      <c r="X410" s="6">
        <v>7.5636300000000002E-4</v>
      </c>
      <c r="Y410" s="6">
        <v>0.17535246299999999</v>
      </c>
      <c r="Z410" s="6">
        <v>2.6079221999999999E-2</v>
      </c>
      <c r="AA410" s="6">
        <v>9.5983918000000001E-2</v>
      </c>
      <c r="AB410" s="6">
        <v>1.4024717000000001E-2</v>
      </c>
      <c r="AC410" s="6">
        <v>5.6499523000000003E-2</v>
      </c>
      <c r="AD410" s="6">
        <v>9.4481960000000007E-3</v>
      </c>
      <c r="AE410" s="6">
        <v>0.110673438</v>
      </c>
      <c r="AF410" s="6">
        <v>1.6436411000000001E-2</v>
      </c>
      <c r="AG410" s="6">
        <v>8.5186914310000006</v>
      </c>
      <c r="AH410" s="6">
        <v>0.24980377100000001</v>
      </c>
      <c r="AI410" s="6">
        <v>-13.636782604</v>
      </c>
      <c r="AJ410" s="6">
        <v>0.48924481399999997</v>
      </c>
      <c r="AK410" s="6">
        <v>16.082139468000001</v>
      </c>
      <c r="AL410" s="6">
        <v>0.443052114</v>
      </c>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row>
    <row r="411" spans="1:84" ht="16" x14ac:dyDescent="0.2">
      <c r="A411" s="4">
        <v>45880</v>
      </c>
      <c r="B411" s="20">
        <v>25223</v>
      </c>
      <c r="C411" s="5" t="s">
        <v>52</v>
      </c>
      <c r="D411" s="5">
        <v>28</v>
      </c>
      <c r="E411" s="53" t="s">
        <v>1460</v>
      </c>
      <c r="F411">
        <v>-19.3</v>
      </c>
      <c r="G411" s="5" t="s">
        <v>2</v>
      </c>
      <c r="H411" s="5" t="s">
        <v>6</v>
      </c>
      <c r="I411" s="5">
        <v>0.35</v>
      </c>
      <c r="J411" s="5">
        <v>24.5</v>
      </c>
      <c r="K411" s="5" t="s">
        <v>8</v>
      </c>
      <c r="L411" s="5" t="s">
        <v>8</v>
      </c>
      <c r="M411" s="5"/>
      <c r="N411" s="5"/>
      <c r="O411" t="s">
        <v>798</v>
      </c>
      <c r="P411" s="6">
        <v>9.2793450999999999E-2</v>
      </c>
      <c r="Q411" s="6">
        <v>1.7437223000000002E-2</v>
      </c>
      <c r="R411" s="6">
        <v>425</v>
      </c>
      <c r="S411" s="6">
        <v>1.9321430000000001E-3</v>
      </c>
      <c r="T411" s="6">
        <v>5.6568542449999999</v>
      </c>
      <c r="U411" s="6">
        <v>0.119344265</v>
      </c>
      <c r="V411" s="6">
        <v>1.6189655000000001E-2</v>
      </c>
      <c r="W411" s="6">
        <v>8.9942500000000003E-4</v>
      </c>
      <c r="X411" s="6">
        <v>8.1854200000000001E-4</v>
      </c>
      <c r="Y411" s="6">
        <v>0.13900857999999999</v>
      </c>
      <c r="Z411" s="6">
        <v>2.5511872000000001E-2</v>
      </c>
      <c r="AA411" s="6">
        <v>8.3891466999999997E-2</v>
      </c>
      <c r="AB411" s="6">
        <v>1.6085866000000001E-2</v>
      </c>
      <c r="AC411" s="6">
        <v>4.9430090000000003E-2</v>
      </c>
      <c r="AD411" s="6">
        <v>9.3429680000000001E-3</v>
      </c>
      <c r="AE411" s="6">
        <v>9.2793450999999999E-2</v>
      </c>
      <c r="AF411" s="6">
        <v>1.7437223000000002E-2</v>
      </c>
      <c r="AG411" s="6">
        <v>7.1729157749999999</v>
      </c>
      <c r="AH411" s="6">
        <v>0.241872318</v>
      </c>
      <c r="AI411" s="6">
        <v>-12.771653595</v>
      </c>
      <c r="AJ411" s="6">
        <v>0.28968112899999998</v>
      </c>
      <c r="AK411" s="6">
        <v>14.649413084000001</v>
      </c>
      <c r="AL411" s="6">
        <v>0.32074422299999999</v>
      </c>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row>
    <row r="412" spans="1:84" ht="16" x14ac:dyDescent="0.2">
      <c r="A412" s="4">
        <v>45880</v>
      </c>
      <c r="B412" s="20">
        <v>25223</v>
      </c>
      <c r="C412" s="5" t="s">
        <v>52</v>
      </c>
      <c r="D412" s="5">
        <v>29</v>
      </c>
      <c r="E412" s="53" t="s">
        <v>1461</v>
      </c>
      <c r="F412">
        <v>24.5</v>
      </c>
      <c r="G412" s="5" t="s">
        <v>2</v>
      </c>
      <c r="H412" s="5" t="s">
        <v>3</v>
      </c>
      <c r="I412" s="5">
        <v>1</v>
      </c>
      <c r="J412" s="5">
        <v>38.25</v>
      </c>
      <c r="K412" s="5">
        <v>9.8000000000000007</v>
      </c>
      <c r="L412" s="5">
        <v>5.05</v>
      </c>
      <c r="M412" s="5"/>
      <c r="N412" s="5"/>
      <c r="O412" t="s">
        <v>799</v>
      </c>
      <c r="P412" s="6">
        <v>7.2014931000000004E-2</v>
      </c>
      <c r="Q412" s="6">
        <v>8.4065300000000006E-3</v>
      </c>
      <c r="R412" s="6">
        <v>1124</v>
      </c>
      <c r="S412" s="6">
        <v>1.0588609999999999E-3</v>
      </c>
      <c r="T412" s="6">
        <v>5.6568542449999999</v>
      </c>
      <c r="U412" s="6">
        <v>0.13349142999999999</v>
      </c>
      <c r="V412" s="6">
        <v>7.9320550000000004E-3</v>
      </c>
      <c r="W412" s="6">
        <v>4.4066999999999999E-4</v>
      </c>
      <c r="X412" s="6">
        <v>3.7166800000000002E-4</v>
      </c>
      <c r="Y412" s="6">
        <v>0.10623324100000001</v>
      </c>
      <c r="Z412" s="6">
        <v>1.2856230999999999E-2</v>
      </c>
      <c r="AA412" s="6">
        <v>6.4456791999999999E-2</v>
      </c>
      <c r="AB412" s="6">
        <v>7.491022E-3</v>
      </c>
      <c r="AC412" s="6">
        <v>4.7417174999999999E-2</v>
      </c>
      <c r="AD412" s="6">
        <v>5.3583900000000002E-3</v>
      </c>
      <c r="AE412" s="6">
        <v>7.2014931000000004E-2</v>
      </c>
      <c r="AF412" s="6">
        <v>8.4065300000000006E-3</v>
      </c>
      <c r="AG412" s="6">
        <v>7.0601796370000001</v>
      </c>
      <c r="AH412" s="6">
        <v>0.417773954</v>
      </c>
      <c r="AI412" s="6">
        <v>-9.082462477</v>
      </c>
      <c r="AJ412" s="6">
        <v>0.59204774000000004</v>
      </c>
      <c r="AK412" s="6">
        <v>11.512378563</v>
      </c>
      <c r="AL412" s="6">
        <v>0.57208436100000004</v>
      </c>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row>
    <row r="413" spans="1:84" ht="16" x14ac:dyDescent="0.2">
      <c r="A413" s="4">
        <v>45880</v>
      </c>
      <c r="B413" s="20">
        <v>25223</v>
      </c>
      <c r="C413" s="5" t="s">
        <v>52</v>
      </c>
      <c r="D413" s="5">
        <v>30</v>
      </c>
      <c r="E413" s="53" t="s">
        <v>1462</v>
      </c>
      <c r="F413">
        <v>33.200000000000003</v>
      </c>
      <c r="G413" s="5" t="s">
        <v>2</v>
      </c>
      <c r="H413" s="5" t="s">
        <v>6</v>
      </c>
      <c r="I413" s="5">
        <v>0.25</v>
      </c>
      <c r="J413" s="5">
        <v>26.45</v>
      </c>
      <c r="K413" s="5" t="s">
        <v>8</v>
      </c>
      <c r="L413" s="5" t="s">
        <v>8</v>
      </c>
      <c r="M413" s="5"/>
      <c r="N413" s="5"/>
      <c r="O413" t="s">
        <v>800</v>
      </c>
      <c r="P413" s="6">
        <v>6.2702620000000001E-2</v>
      </c>
      <c r="Q413" s="6">
        <v>2.0895093E-2</v>
      </c>
      <c r="R413" s="6">
        <v>436</v>
      </c>
      <c r="S413" s="6">
        <v>2.3931289999999999E-3</v>
      </c>
      <c r="T413" s="6">
        <v>3.9999999979999998</v>
      </c>
      <c r="U413" s="6">
        <v>0.12519996999999999</v>
      </c>
      <c r="V413" s="6">
        <v>1.9114453999999999E-2</v>
      </c>
      <c r="W413" s="6">
        <v>1.061914E-3</v>
      </c>
      <c r="X413" s="6">
        <v>8.5090199999999995E-4</v>
      </c>
      <c r="Y413" s="6">
        <v>9.4291428999999996E-2</v>
      </c>
      <c r="Z413" s="6">
        <v>3.2397192999999998E-2</v>
      </c>
      <c r="AA413" s="6">
        <v>5.5651401000000003E-2</v>
      </c>
      <c r="AB413" s="6">
        <v>1.8252026000000001E-2</v>
      </c>
      <c r="AC413" s="6">
        <v>3.7756522000000001E-2</v>
      </c>
      <c r="AD413" s="6">
        <v>1.222519E-2</v>
      </c>
      <c r="AE413" s="6">
        <v>6.2702620000000001E-2</v>
      </c>
      <c r="AF413" s="6">
        <v>2.0895093E-2</v>
      </c>
      <c r="AG413" s="6">
        <v>7.3191616320000001</v>
      </c>
      <c r="AH413" s="6">
        <v>0.77638088400000005</v>
      </c>
      <c r="AI413" s="6">
        <v>-10.497039336</v>
      </c>
      <c r="AJ413" s="6">
        <v>0.61792651499999995</v>
      </c>
      <c r="AK413" s="6">
        <v>12.804451516</v>
      </c>
      <c r="AL413" s="6">
        <v>0.88776851599999995</v>
      </c>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row>
    <row r="414" spans="1:84" ht="16" x14ac:dyDescent="0.2">
      <c r="A414" s="4">
        <v>45880</v>
      </c>
      <c r="B414" s="20">
        <v>25223</v>
      </c>
      <c r="C414" s="5" t="s">
        <v>52</v>
      </c>
      <c r="D414" s="5">
        <v>31</v>
      </c>
      <c r="E414" s="53" t="s">
        <v>1463</v>
      </c>
      <c r="F414">
        <v>56</v>
      </c>
      <c r="G414" s="5" t="s">
        <v>2</v>
      </c>
      <c r="H414" s="5" t="s">
        <v>6</v>
      </c>
      <c r="I414" s="5">
        <v>0.25</v>
      </c>
      <c r="J414" s="5">
        <v>25</v>
      </c>
      <c r="K414" s="5" t="s">
        <v>8</v>
      </c>
      <c r="L414" s="5" t="s">
        <v>8</v>
      </c>
      <c r="M414" s="5"/>
      <c r="N414" s="5"/>
      <c r="O414" t="s">
        <v>801</v>
      </c>
      <c r="P414" s="6">
        <v>7.5089273999999998E-2</v>
      </c>
      <c r="Q414" s="6">
        <v>1.2284447E-2</v>
      </c>
      <c r="R414" s="6">
        <v>466</v>
      </c>
      <c r="S414" s="6">
        <v>1.36169E-3</v>
      </c>
      <c r="T414" s="6">
        <v>3.9999999979999998</v>
      </c>
      <c r="U414" s="6">
        <v>0.12520914599999999</v>
      </c>
      <c r="V414" s="6">
        <v>1.0875327000000001E-2</v>
      </c>
      <c r="W414" s="6">
        <v>6.0418500000000003E-4</v>
      </c>
      <c r="X414" s="6">
        <v>5.7423999999999995E-4</v>
      </c>
      <c r="Y414" s="6">
        <v>0.115721222</v>
      </c>
      <c r="Z414" s="6">
        <v>1.8304705000000001E-2</v>
      </c>
      <c r="AA414" s="6">
        <v>6.5102453000000005E-2</v>
      </c>
      <c r="AB414" s="6">
        <v>1.1200777E-2</v>
      </c>
      <c r="AC414" s="6">
        <v>4.6268251000000003E-2</v>
      </c>
      <c r="AD414" s="6">
        <v>7.0329149999999998E-3</v>
      </c>
      <c r="AE414" s="6">
        <v>7.5089273999999998E-2</v>
      </c>
      <c r="AF414" s="6">
        <v>1.2284447E-2</v>
      </c>
      <c r="AG414" s="6">
        <v>8.1752566170000005</v>
      </c>
      <c r="AH414" s="6">
        <v>0.38598569999999999</v>
      </c>
      <c r="AI414" s="6">
        <v>-10.225254515</v>
      </c>
      <c r="AJ414" s="6">
        <v>0.57960511999999997</v>
      </c>
      <c r="AK414" s="6">
        <v>13.098968388999999</v>
      </c>
      <c r="AL414" s="6">
        <v>0.54054772900000003</v>
      </c>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row>
    <row r="415" spans="1:84" ht="16" x14ac:dyDescent="0.2">
      <c r="A415" s="4">
        <v>45880</v>
      </c>
      <c r="B415" s="20">
        <v>25223</v>
      </c>
      <c r="C415" s="5" t="s">
        <v>52</v>
      </c>
      <c r="D415" s="5">
        <v>32</v>
      </c>
      <c r="E415" s="53" t="s">
        <v>1464</v>
      </c>
      <c r="F415">
        <v>-33.299999999999997</v>
      </c>
      <c r="G415" s="5" t="s">
        <v>2</v>
      </c>
      <c r="H415" s="5" t="s">
        <v>6</v>
      </c>
      <c r="I415" s="5">
        <v>0.3</v>
      </c>
      <c r="J415" s="5">
        <v>27.55</v>
      </c>
      <c r="K415" s="5" t="s">
        <v>8</v>
      </c>
      <c r="L415" s="5" t="s">
        <v>8</v>
      </c>
      <c r="M415" s="5"/>
      <c r="N415" s="5"/>
      <c r="O415" t="s">
        <v>802</v>
      </c>
      <c r="P415" s="6">
        <v>8.3357826999999995E-2</v>
      </c>
      <c r="Q415" s="6">
        <v>9.3535049999999998E-3</v>
      </c>
      <c r="R415" s="6">
        <v>536</v>
      </c>
      <c r="S415" s="6">
        <v>1.1565659999999999E-3</v>
      </c>
      <c r="T415" s="6">
        <v>7.9999999920000002</v>
      </c>
      <c r="U415" s="6">
        <v>0.12779673999999999</v>
      </c>
      <c r="V415" s="6">
        <v>9.0500400000000005E-3</v>
      </c>
      <c r="W415" s="6">
        <v>5.0277999999999998E-4</v>
      </c>
      <c r="X415" s="6">
        <v>4.6129599999999998E-4</v>
      </c>
      <c r="Y415" s="6">
        <v>0.13340546</v>
      </c>
      <c r="Z415" s="6">
        <v>1.4621649E-2</v>
      </c>
      <c r="AA415" s="6">
        <v>7.0847160000000006E-2</v>
      </c>
      <c r="AB415" s="6">
        <v>8.0023509999999996E-3</v>
      </c>
      <c r="AC415" s="6">
        <v>4.7044996999999998E-2</v>
      </c>
      <c r="AD415" s="6">
        <v>6.3592570000000001E-3</v>
      </c>
      <c r="AE415" s="6">
        <v>8.3357826999999995E-2</v>
      </c>
      <c r="AF415" s="6">
        <v>9.3535049999999998E-3</v>
      </c>
      <c r="AG415" s="6">
        <v>8.9581768319999995</v>
      </c>
      <c r="AH415" s="6">
        <v>0.17899669300000001</v>
      </c>
      <c r="AI415" s="6">
        <v>-11.904114872999999</v>
      </c>
      <c r="AJ415" s="6">
        <v>0.96810846399999995</v>
      </c>
      <c r="AK415" s="6">
        <v>14.912339348</v>
      </c>
      <c r="AL415" s="6">
        <v>0.73993651000000005</v>
      </c>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row>
    <row r="416" spans="1:84" ht="16" x14ac:dyDescent="0.2">
      <c r="A416" s="4">
        <v>45880</v>
      </c>
      <c r="B416" s="20">
        <v>25223</v>
      </c>
      <c r="C416" s="5" t="s">
        <v>52</v>
      </c>
      <c r="D416" s="5">
        <v>33</v>
      </c>
      <c r="E416" s="53" t="s">
        <v>1465</v>
      </c>
      <c r="F416">
        <v>3.7</v>
      </c>
      <c r="G416" s="5" t="s">
        <v>2</v>
      </c>
      <c r="H416" s="5" t="s">
        <v>6</v>
      </c>
      <c r="I416" s="5">
        <v>0.2</v>
      </c>
      <c r="J416" s="5">
        <v>25.85</v>
      </c>
      <c r="K416" s="5" t="s">
        <v>8</v>
      </c>
      <c r="L416" s="5" t="s">
        <v>8</v>
      </c>
      <c r="M416" s="5"/>
      <c r="N416" s="5"/>
      <c r="O416" t="s">
        <v>803</v>
      </c>
      <c r="P416" s="6">
        <v>7.1177229999999994E-2</v>
      </c>
      <c r="Q416" s="6">
        <v>1.2505499E-2</v>
      </c>
      <c r="R416" s="6">
        <v>491</v>
      </c>
      <c r="S416" s="6">
        <v>1.583873E-3</v>
      </c>
      <c r="T416" s="6">
        <v>7.9999999920000002</v>
      </c>
      <c r="U416" s="6">
        <v>0.124894663</v>
      </c>
      <c r="V416" s="6">
        <v>1.2681670000000001E-2</v>
      </c>
      <c r="W416" s="6">
        <v>7.0453699999999998E-4</v>
      </c>
      <c r="X416" s="6">
        <v>5.9752399999999999E-4</v>
      </c>
      <c r="Y416" s="6">
        <v>0.112041132</v>
      </c>
      <c r="Z416" s="6">
        <v>1.8977964E-2</v>
      </c>
      <c r="AA416" s="6">
        <v>6.1060934999999997E-2</v>
      </c>
      <c r="AB416" s="6">
        <v>1.1166778E-2</v>
      </c>
      <c r="AC416" s="6">
        <v>4.1583215E-2</v>
      </c>
      <c r="AD416" s="6">
        <v>7.4241719999999997E-3</v>
      </c>
      <c r="AE416" s="6">
        <v>7.1177229999999994E-2</v>
      </c>
      <c r="AF416" s="6">
        <v>1.2505499E-2</v>
      </c>
      <c r="AG416" s="6">
        <v>8.6232457290000006</v>
      </c>
      <c r="AH416" s="6">
        <v>0.40906648800000001</v>
      </c>
      <c r="AI416" s="6">
        <v>-11.250341013</v>
      </c>
      <c r="AJ416" s="6">
        <v>0.59633846599999996</v>
      </c>
      <c r="AK416" s="6">
        <v>14.188809587</v>
      </c>
      <c r="AL416" s="6">
        <v>0.36107816700000001</v>
      </c>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row>
    <row r="417" spans="1:84" ht="16" x14ac:dyDescent="0.2">
      <c r="A417" s="4">
        <v>45880</v>
      </c>
      <c r="B417" s="20">
        <v>25223</v>
      </c>
      <c r="C417" s="5" t="s">
        <v>52</v>
      </c>
      <c r="D417" s="26">
        <v>34</v>
      </c>
      <c r="E417" s="53" t="s">
        <v>1466</v>
      </c>
      <c r="G417" s="5"/>
      <c r="H417" s="5"/>
      <c r="I417" s="5"/>
      <c r="J417" s="5"/>
      <c r="K417" s="5"/>
      <c r="L417" s="5"/>
      <c r="M417" s="5"/>
      <c r="N417" s="5"/>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row>
    <row r="418" spans="1:84" ht="16" x14ac:dyDescent="0.2">
      <c r="A418" s="4">
        <v>45880</v>
      </c>
      <c r="B418" s="20">
        <v>25223</v>
      </c>
      <c r="C418" s="5" t="s">
        <v>52</v>
      </c>
      <c r="D418" s="5">
        <v>35</v>
      </c>
      <c r="E418" s="53" t="s">
        <v>1467</v>
      </c>
      <c r="F418">
        <v>-18.3</v>
      </c>
      <c r="G418" s="5" t="s">
        <v>2</v>
      </c>
      <c r="H418" s="5" t="s">
        <v>6</v>
      </c>
      <c r="I418" s="5">
        <v>0.2</v>
      </c>
      <c r="J418" s="5">
        <v>27.35</v>
      </c>
      <c r="K418" s="5" t="s">
        <v>8</v>
      </c>
      <c r="L418" s="5" t="s">
        <v>8</v>
      </c>
      <c r="M418" s="5"/>
      <c r="N418" s="5"/>
      <c r="O418" t="s">
        <v>804</v>
      </c>
      <c r="P418" s="6">
        <v>9.5118369999999994E-2</v>
      </c>
      <c r="Q418" s="6">
        <v>9.6061959999999991E-3</v>
      </c>
      <c r="R418" s="6">
        <v>595</v>
      </c>
      <c r="S418" s="6">
        <v>1.3263649999999999E-3</v>
      </c>
      <c r="T418" s="6">
        <v>7.9999999920000002</v>
      </c>
      <c r="U418" s="6">
        <v>0.13990486899999999</v>
      </c>
      <c r="V418" s="6">
        <v>9.480479E-3</v>
      </c>
      <c r="W418" s="6">
        <v>5.2669299999999995E-4</v>
      </c>
      <c r="X418" s="6">
        <v>5.0378200000000004E-4</v>
      </c>
      <c r="Y418" s="6">
        <v>0.15899065600000001</v>
      </c>
      <c r="Z418" s="6">
        <v>1.5441132E-2</v>
      </c>
      <c r="AA418" s="6">
        <v>7.8305567000000006E-2</v>
      </c>
      <c r="AB418" s="6">
        <v>8.3433770000000008E-3</v>
      </c>
      <c r="AC418" s="6">
        <v>4.9860873999999999E-2</v>
      </c>
      <c r="AD418" s="6">
        <v>4.9963780000000001E-3</v>
      </c>
      <c r="AE418" s="6">
        <v>9.5118369999999994E-2</v>
      </c>
      <c r="AF418" s="6">
        <v>9.6061959999999991E-3</v>
      </c>
      <c r="AG418" s="6">
        <v>10.03265796</v>
      </c>
      <c r="AH418" s="6">
        <v>0.24972259999999999</v>
      </c>
      <c r="AI418" s="6">
        <v>-13.150942245</v>
      </c>
      <c r="AJ418" s="6">
        <v>0.65180615600000003</v>
      </c>
      <c r="AK418" s="6">
        <v>16.545368154999998</v>
      </c>
      <c r="AL418" s="6">
        <v>0.582463587</v>
      </c>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row>
    <row r="419" spans="1:84" ht="16" x14ac:dyDescent="0.2">
      <c r="A419" s="4">
        <v>45881</v>
      </c>
      <c r="B419" s="20">
        <v>25224</v>
      </c>
      <c r="C419" s="5" t="s">
        <v>53</v>
      </c>
      <c r="D419" s="5">
        <v>13</v>
      </c>
      <c r="E419" s="53" t="s">
        <v>1468</v>
      </c>
      <c r="F419">
        <v>39.5</v>
      </c>
      <c r="G419" s="5" t="s">
        <v>2</v>
      </c>
      <c r="H419" s="5" t="s">
        <v>6</v>
      </c>
      <c r="I419" s="5">
        <v>0.35</v>
      </c>
      <c r="J419" s="5">
        <v>27.95</v>
      </c>
      <c r="K419" s="5" t="s">
        <v>8</v>
      </c>
      <c r="L419" s="5" t="s">
        <v>8</v>
      </c>
      <c r="M419" s="5"/>
      <c r="N419" s="5"/>
      <c r="O419" t="s">
        <v>805</v>
      </c>
      <c r="P419" s="6">
        <v>0.108003137</v>
      </c>
      <c r="Q419" s="6">
        <v>1.9849601000000001E-2</v>
      </c>
      <c r="R419" s="6">
        <v>550</v>
      </c>
      <c r="S419" s="6">
        <v>1.9646249999999998E-3</v>
      </c>
      <c r="T419" s="6">
        <v>3.9999999979999998</v>
      </c>
      <c r="U419" s="6">
        <v>0.106248021</v>
      </c>
      <c r="V419" s="6">
        <v>1.8490935E-2</v>
      </c>
      <c r="W419" s="6">
        <v>1.0272739999999999E-3</v>
      </c>
      <c r="X419" s="6">
        <v>7.9630100000000002E-4</v>
      </c>
      <c r="Y419" s="6">
        <v>0.166860494</v>
      </c>
      <c r="Z419" s="6">
        <v>3.0978182E-2</v>
      </c>
      <c r="AA419" s="6">
        <v>9.5387186999999998E-2</v>
      </c>
      <c r="AB419" s="6">
        <v>1.7475358E-2</v>
      </c>
      <c r="AC419" s="6">
        <v>5.6416960000000002E-2</v>
      </c>
      <c r="AD419" s="6">
        <v>1.0250990999999999E-2</v>
      </c>
      <c r="AE419" s="6">
        <v>0.108003137</v>
      </c>
      <c r="AF419" s="6">
        <v>1.9849601000000001E-2</v>
      </c>
      <c r="AG419" s="6">
        <v>7.9044180759999998</v>
      </c>
      <c r="AH419" s="6">
        <v>0.19649976999999999</v>
      </c>
      <c r="AI419" s="6">
        <v>-13.127227131</v>
      </c>
      <c r="AJ419" s="6">
        <v>0.40064560700000001</v>
      </c>
      <c r="AK419" s="6">
        <v>15.32493077</v>
      </c>
      <c r="AL419" s="6">
        <v>0.38659250499999998</v>
      </c>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row>
    <row r="420" spans="1:84" ht="16" x14ac:dyDescent="0.2">
      <c r="A420" s="4">
        <v>45881</v>
      </c>
      <c r="B420" s="20">
        <v>25224</v>
      </c>
      <c r="C420" s="5" t="s">
        <v>53</v>
      </c>
      <c r="D420" s="5">
        <v>14</v>
      </c>
      <c r="E420" s="53" t="s">
        <v>1469</v>
      </c>
      <c r="F420">
        <v>34.9</v>
      </c>
      <c r="G420" s="5" t="s">
        <v>2</v>
      </c>
      <c r="H420" s="5" t="s">
        <v>5</v>
      </c>
      <c r="I420" s="5">
        <v>0.55000000000000004</v>
      </c>
      <c r="J420" s="5">
        <v>31.35</v>
      </c>
      <c r="K420" s="5">
        <v>8.15</v>
      </c>
      <c r="L420" s="5">
        <v>4.4000000000000004</v>
      </c>
      <c r="M420" s="5"/>
      <c r="N420" s="5"/>
      <c r="O420" t="s">
        <v>806</v>
      </c>
      <c r="P420" s="6">
        <v>9.6654825E-2</v>
      </c>
      <c r="Q420" s="6">
        <v>1.1250977000000001E-2</v>
      </c>
      <c r="R420" s="6">
        <v>793</v>
      </c>
      <c r="S420" s="6">
        <v>1.3684120000000001E-3</v>
      </c>
      <c r="T420" s="6">
        <v>5.6568542449999999</v>
      </c>
      <c r="U420" s="6">
        <v>0.13257090499999999</v>
      </c>
      <c r="V420" s="6">
        <v>1.0322114E-2</v>
      </c>
      <c r="W420" s="6">
        <v>5.73451E-4</v>
      </c>
      <c r="X420" s="6">
        <v>4.9856499999999997E-4</v>
      </c>
      <c r="Y420" s="6">
        <v>0.147570903</v>
      </c>
      <c r="Z420" s="6">
        <v>1.6932309E-2</v>
      </c>
      <c r="AA420" s="6">
        <v>8.4876478000000005E-2</v>
      </c>
      <c r="AB420" s="6">
        <v>1.0380268999999999E-2</v>
      </c>
      <c r="AC420" s="6">
        <v>5.6986958999999997E-2</v>
      </c>
      <c r="AD420" s="6">
        <v>6.037326E-3</v>
      </c>
      <c r="AE420" s="6">
        <v>9.6654825E-2</v>
      </c>
      <c r="AF420" s="6">
        <v>1.1250977000000001E-2</v>
      </c>
      <c r="AG420" s="6">
        <v>7.8440899130000004</v>
      </c>
      <c r="AH420" s="6">
        <v>0.42577415899999999</v>
      </c>
      <c r="AI420" s="6">
        <v>-10.996268585999999</v>
      </c>
      <c r="AJ420" s="6">
        <v>0.68305696500000002</v>
      </c>
      <c r="AK420" s="6">
        <v>13.515372909</v>
      </c>
      <c r="AL420" s="6">
        <v>0.65569849800000002</v>
      </c>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row>
    <row r="421" spans="1:84" ht="16" x14ac:dyDescent="0.2">
      <c r="A421" s="4">
        <v>45881</v>
      </c>
      <c r="B421" s="20">
        <v>25224</v>
      </c>
      <c r="C421" s="5" t="s">
        <v>53</v>
      </c>
      <c r="D421" s="28">
        <v>15</v>
      </c>
      <c r="E421" s="53" t="s">
        <v>1470</v>
      </c>
      <c r="F421">
        <v>-4.7</v>
      </c>
      <c r="G421" s="5" t="s">
        <v>2</v>
      </c>
      <c r="H421" s="5" t="s">
        <v>6</v>
      </c>
      <c r="I421" s="5">
        <v>0.3</v>
      </c>
      <c r="J421" s="5">
        <v>26.1</v>
      </c>
      <c r="K421" s="5" t="s">
        <v>8</v>
      </c>
      <c r="L421" s="5" t="s">
        <v>8</v>
      </c>
      <c r="M421" s="5"/>
      <c r="N421" s="5"/>
      <c r="O421" t="s">
        <v>807</v>
      </c>
      <c r="P421" s="6">
        <v>0.11231756699999999</v>
      </c>
      <c r="Q421" s="6">
        <v>1.8020885E-2</v>
      </c>
      <c r="R421" s="6">
        <v>612</v>
      </c>
      <c r="S421" s="6">
        <v>2.108164E-3</v>
      </c>
      <c r="T421" s="6">
        <v>45.254833888</v>
      </c>
      <c r="U421" s="6">
        <v>0.109732992</v>
      </c>
      <c r="V421" s="6">
        <v>1.9211762E-2</v>
      </c>
      <c r="W421" s="6">
        <v>1.0673200000000001E-3</v>
      </c>
      <c r="X421" s="6">
        <v>7.6948299999999995E-4</v>
      </c>
      <c r="Y421" s="6">
        <v>0.183398385</v>
      </c>
      <c r="Z421" s="6">
        <v>2.8715060000000001E-2</v>
      </c>
      <c r="AA421" s="6">
        <v>9.5369841999999996E-2</v>
      </c>
      <c r="AB421" s="6">
        <v>1.5669812000000002E-2</v>
      </c>
      <c r="AC421" s="6">
        <v>5.5304200999999997E-2</v>
      </c>
      <c r="AD421" s="6">
        <v>8.9327550000000006E-3</v>
      </c>
      <c r="AE421" s="6">
        <v>0.11231756699999999</v>
      </c>
      <c r="AF421" s="6">
        <v>1.8020885E-2</v>
      </c>
      <c r="AG421" s="6">
        <v>9.2732432419999995</v>
      </c>
      <c r="AH421" s="6">
        <v>0.22508694500000001</v>
      </c>
      <c r="AI421" s="6">
        <v>-14.242037719000001</v>
      </c>
      <c r="AJ421" s="6">
        <v>0.26003320099999999</v>
      </c>
      <c r="AK421" s="6">
        <v>16.996384614</v>
      </c>
      <c r="AL421" s="6">
        <v>0.26417825099999998</v>
      </c>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row>
    <row r="422" spans="1:84" ht="16" x14ac:dyDescent="0.2">
      <c r="A422" s="4">
        <v>45881</v>
      </c>
      <c r="B422" s="20">
        <v>25224</v>
      </c>
      <c r="C422" s="5" t="s">
        <v>53</v>
      </c>
      <c r="D422" s="5">
        <v>16</v>
      </c>
      <c r="E422" s="53" t="s">
        <v>1471</v>
      </c>
      <c r="F422">
        <v>31.1</v>
      </c>
      <c r="G422" s="5" t="s">
        <v>2</v>
      </c>
      <c r="H422" s="5" t="s">
        <v>6</v>
      </c>
      <c r="I422" s="5">
        <v>0.35</v>
      </c>
      <c r="J422" s="5">
        <v>26.55</v>
      </c>
      <c r="K422" s="5" t="s">
        <v>8</v>
      </c>
      <c r="L422" s="5" t="s">
        <v>8</v>
      </c>
      <c r="M422" s="5"/>
      <c r="N422" s="5"/>
      <c r="O422" t="s">
        <v>808</v>
      </c>
      <c r="P422" s="6">
        <v>9.2342984000000003E-2</v>
      </c>
      <c r="Q422" s="6">
        <v>1.4166276E-2</v>
      </c>
      <c r="R422" s="6">
        <v>542</v>
      </c>
      <c r="S422" s="6">
        <v>1.593255E-3</v>
      </c>
      <c r="T422" s="6">
        <v>11.313708483999999</v>
      </c>
      <c r="U422" s="6">
        <v>0.112540241</v>
      </c>
      <c r="V422" s="6">
        <v>1.4157199000000001E-2</v>
      </c>
      <c r="W422" s="6">
        <v>7.8651100000000005E-4</v>
      </c>
      <c r="X422" s="6">
        <v>6.2278099999999999E-4</v>
      </c>
      <c r="Y422" s="6">
        <v>0.146733847</v>
      </c>
      <c r="Z422" s="6">
        <v>2.1640296E-2</v>
      </c>
      <c r="AA422" s="6">
        <v>7.8795110000000002E-2</v>
      </c>
      <c r="AB422" s="6">
        <v>1.2968087E-2</v>
      </c>
      <c r="AC422" s="6">
        <v>5.1689240999999997E-2</v>
      </c>
      <c r="AD422" s="6">
        <v>1.0672119000000001E-2</v>
      </c>
      <c r="AE422" s="6">
        <v>9.2342984000000003E-2</v>
      </c>
      <c r="AF422" s="6">
        <v>1.4166276E-2</v>
      </c>
      <c r="AG422" s="6">
        <v>8.8348642260000005</v>
      </c>
      <c r="AH422" s="6">
        <v>1.1395164870000001</v>
      </c>
      <c r="AI422" s="6">
        <v>-12.093048326</v>
      </c>
      <c r="AJ422" s="6">
        <v>1.699976664</v>
      </c>
      <c r="AK422" s="6">
        <v>14.979816386</v>
      </c>
      <c r="AL422" s="6">
        <v>2.0223699040000001</v>
      </c>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row>
    <row r="423" spans="1:84" ht="16" x14ac:dyDescent="0.2">
      <c r="A423" s="4">
        <v>45881</v>
      </c>
      <c r="B423" s="20">
        <v>25224</v>
      </c>
      <c r="C423" s="5" t="s">
        <v>53</v>
      </c>
      <c r="D423" s="5">
        <v>17</v>
      </c>
      <c r="E423" s="53" t="s">
        <v>1472</v>
      </c>
      <c r="F423">
        <v>27.7</v>
      </c>
      <c r="G423" s="5" t="s">
        <v>2</v>
      </c>
      <c r="H423" s="5" t="s">
        <v>5</v>
      </c>
      <c r="I423" s="5">
        <v>1.2</v>
      </c>
      <c r="J423" s="5">
        <v>40.700000000000003</v>
      </c>
      <c r="K423" s="5">
        <v>9.5</v>
      </c>
      <c r="L423" s="5">
        <v>5.8</v>
      </c>
      <c r="M423" s="5"/>
      <c r="N423" s="5"/>
      <c r="O423" t="s">
        <v>809</v>
      </c>
      <c r="P423" s="6">
        <v>8.5072672000000002E-2</v>
      </c>
      <c r="Q423" s="6">
        <v>7.5712100000000001E-3</v>
      </c>
      <c r="R423" s="6">
        <v>1215</v>
      </c>
      <c r="S423" s="6">
        <v>8.9648799999999997E-4</v>
      </c>
      <c r="T423" s="6">
        <v>5.6568542449999999</v>
      </c>
      <c r="U423" s="6">
        <v>0.118930615</v>
      </c>
      <c r="V423" s="6">
        <v>7.5379089999999998E-3</v>
      </c>
      <c r="W423" s="6">
        <v>4.18773E-4</v>
      </c>
      <c r="X423" s="6">
        <v>3.43269E-4</v>
      </c>
      <c r="Y423" s="6">
        <v>0.12584946499999999</v>
      </c>
      <c r="Z423" s="6">
        <v>1.2934223E-2</v>
      </c>
      <c r="AA423" s="6">
        <v>7.5474721999999994E-2</v>
      </c>
      <c r="AB423" s="6">
        <v>6.5191370000000004E-3</v>
      </c>
      <c r="AC423" s="6">
        <v>5.6206455000000002E-2</v>
      </c>
      <c r="AD423" s="6">
        <v>6.0909889999999998E-3</v>
      </c>
      <c r="AE423" s="6">
        <v>8.5072672000000002E-2</v>
      </c>
      <c r="AF423" s="6">
        <v>7.5712100000000001E-3</v>
      </c>
      <c r="AG423" s="6">
        <v>7.2122267769999997</v>
      </c>
      <c r="AH423" s="6">
        <v>0.72444646800000001</v>
      </c>
      <c r="AI423" s="6">
        <v>-9.0174857090000007</v>
      </c>
      <c r="AJ423" s="6">
        <v>1.4738567090000001</v>
      </c>
      <c r="AK423" s="6">
        <v>11.552989617</v>
      </c>
      <c r="AL423" s="6">
        <v>1.598954494</v>
      </c>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row>
    <row r="424" spans="1:84" ht="16" x14ac:dyDescent="0.2">
      <c r="A424" s="4">
        <v>45881</v>
      </c>
      <c r="B424" s="20">
        <v>25224</v>
      </c>
      <c r="C424" s="5" t="s">
        <v>53</v>
      </c>
      <c r="D424" s="26">
        <v>18</v>
      </c>
      <c r="E424" s="53" t="s">
        <v>1473</v>
      </c>
      <c r="G424" s="5"/>
      <c r="H424" s="5"/>
      <c r="I424" s="5"/>
      <c r="J424" s="5"/>
      <c r="K424" s="5"/>
      <c r="L424" s="5"/>
      <c r="M424" s="5"/>
      <c r="N424" s="5"/>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row>
    <row r="425" spans="1:84" ht="16" x14ac:dyDescent="0.2">
      <c r="A425" s="4">
        <v>45881</v>
      </c>
      <c r="B425" s="20">
        <v>25224</v>
      </c>
      <c r="C425" s="5" t="s">
        <v>53</v>
      </c>
      <c r="D425" s="5">
        <v>19</v>
      </c>
      <c r="E425" s="53" t="s">
        <v>1474</v>
      </c>
      <c r="F425">
        <v>-51</v>
      </c>
      <c r="G425" s="5" t="s">
        <v>2</v>
      </c>
      <c r="H425" s="5" t="s">
        <v>6</v>
      </c>
      <c r="I425" s="5">
        <v>0.3</v>
      </c>
      <c r="J425" s="5">
        <v>24.7</v>
      </c>
      <c r="K425" s="5" t="s">
        <v>8</v>
      </c>
      <c r="L425" s="5" t="s">
        <v>8</v>
      </c>
      <c r="M425" s="5"/>
      <c r="N425" s="5"/>
      <c r="O425" t="s">
        <v>810</v>
      </c>
      <c r="P425" s="6">
        <v>9.0109482000000005E-2</v>
      </c>
      <c r="Q425" s="6">
        <v>1.2109794E-2</v>
      </c>
      <c r="R425" s="6">
        <v>452</v>
      </c>
      <c r="S425" s="6">
        <v>1.320182E-3</v>
      </c>
      <c r="T425" s="6">
        <v>3.9999999979999998</v>
      </c>
      <c r="U425" s="6">
        <v>0.122922581</v>
      </c>
      <c r="V425" s="6">
        <v>1.0739946E-2</v>
      </c>
      <c r="W425" s="6">
        <v>5.9666400000000001E-4</v>
      </c>
      <c r="X425" s="6">
        <v>5.7178800000000005E-4</v>
      </c>
      <c r="Y425" s="6">
        <v>0.141579488</v>
      </c>
      <c r="Z425" s="6">
        <v>1.8744324999999999E-2</v>
      </c>
      <c r="AA425" s="6">
        <v>7.7109873999999995E-2</v>
      </c>
      <c r="AB425" s="6">
        <v>1.0392963E-2</v>
      </c>
      <c r="AC425" s="6">
        <v>5.2811156999999997E-2</v>
      </c>
      <c r="AD425" s="6">
        <v>7.7544290000000002E-3</v>
      </c>
      <c r="AE425" s="6">
        <v>9.0109482000000005E-2</v>
      </c>
      <c r="AF425" s="6">
        <v>1.2109794E-2</v>
      </c>
      <c r="AG425" s="6">
        <v>8.6016050229999994</v>
      </c>
      <c r="AH425" s="6">
        <v>0.21140493499999999</v>
      </c>
      <c r="AI425" s="6">
        <v>-11.186491217</v>
      </c>
      <c r="AJ425" s="6">
        <v>0.56992798</v>
      </c>
      <c r="AK425" s="6">
        <v>14.114930693</v>
      </c>
      <c r="AL425" s="6">
        <v>0.513030659</v>
      </c>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row>
    <row r="426" spans="1:84" ht="16" x14ac:dyDescent="0.2">
      <c r="A426" s="4">
        <v>45881</v>
      </c>
      <c r="B426" s="20">
        <v>25224</v>
      </c>
      <c r="C426" s="5" t="s">
        <v>53</v>
      </c>
      <c r="D426" s="25">
        <v>20</v>
      </c>
      <c r="E426" s="53" t="s">
        <v>1475</v>
      </c>
      <c r="F426">
        <v>34.5</v>
      </c>
      <c r="G426" s="5" t="s">
        <v>2</v>
      </c>
      <c r="H426" s="5" t="s">
        <v>5</v>
      </c>
      <c r="I426" s="5">
        <v>0.6</v>
      </c>
      <c r="J426" s="5">
        <v>32.700000000000003</v>
      </c>
      <c r="K426" s="5">
        <v>8.3000000000000007</v>
      </c>
      <c r="L426" s="5">
        <v>4.5999999999999996</v>
      </c>
      <c r="M426" s="5"/>
      <c r="N426" s="5"/>
      <c r="O426" t="s">
        <v>811</v>
      </c>
      <c r="P426" s="6">
        <v>6.6377692000000002E-2</v>
      </c>
      <c r="Q426" s="6">
        <v>1.8185461E-2</v>
      </c>
      <c r="R426" s="6">
        <v>589</v>
      </c>
      <c r="S426" s="6">
        <v>2.0123049999999998E-3</v>
      </c>
      <c r="T426" s="6">
        <v>3.9999999979999998</v>
      </c>
      <c r="U426" s="6">
        <v>0.111939472</v>
      </c>
      <c r="V426" s="6">
        <v>1.7976723999999999E-2</v>
      </c>
      <c r="W426" s="6">
        <v>9.9870699999999994E-4</v>
      </c>
      <c r="X426" s="6">
        <v>7.7393399999999999E-4</v>
      </c>
      <c r="Y426" s="6">
        <v>9.7411608999999996E-2</v>
      </c>
      <c r="Z426" s="6">
        <v>2.5669989000000001E-2</v>
      </c>
      <c r="AA426" s="6">
        <v>6.0392235000000002E-2</v>
      </c>
      <c r="AB426" s="6">
        <v>1.6846241000000001E-2</v>
      </c>
      <c r="AC426" s="6">
        <v>3.9395302E-2</v>
      </c>
      <c r="AD426" s="6">
        <v>1.1873048000000001E-2</v>
      </c>
      <c r="AE426" s="6">
        <v>6.6377692000000002E-2</v>
      </c>
      <c r="AF426" s="6">
        <v>1.8185461E-2</v>
      </c>
      <c r="AG426" s="6">
        <v>6.8522206429999999</v>
      </c>
      <c r="AH426" s="6">
        <v>0.44664865799999998</v>
      </c>
      <c r="AI426" s="6">
        <v>-11.118237057</v>
      </c>
      <c r="AJ426" s="6">
        <v>0.93803925899999996</v>
      </c>
      <c r="AK426" s="6">
        <v>13.063814335</v>
      </c>
      <c r="AL426" s="6">
        <v>0.992032672</v>
      </c>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row>
    <row r="427" spans="1:84" ht="16" x14ac:dyDescent="0.2">
      <c r="A427" s="4">
        <v>45881</v>
      </c>
      <c r="B427" s="20">
        <v>25224</v>
      </c>
      <c r="C427" s="5" t="s">
        <v>53</v>
      </c>
      <c r="D427" s="25">
        <v>21</v>
      </c>
      <c r="E427" s="53" t="s">
        <v>1476</v>
      </c>
      <c r="F427">
        <v>28.8</v>
      </c>
      <c r="G427" s="5" t="s">
        <v>2</v>
      </c>
      <c r="H427" s="5" t="s">
        <v>5</v>
      </c>
      <c r="I427" s="5">
        <v>1.1000000000000001</v>
      </c>
      <c r="J427" s="5">
        <v>40</v>
      </c>
      <c r="K427" s="5">
        <v>10</v>
      </c>
      <c r="L427" s="5">
        <v>5.4</v>
      </c>
      <c r="M427" s="5"/>
      <c r="N427" s="5"/>
      <c r="O427" t="s">
        <v>812</v>
      </c>
      <c r="P427" s="6">
        <v>0.11939217000000001</v>
      </c>
      <c r="Q427" s="6">
        <v>1.5881558E-2</v>
      </c>
      <c r="R427" s="6">
        <v>1026</v>
      </c>
      <c r="S427" s="6">
        <v>1.7266639999999999E-3</v>
      </c>
      <c r="T427" s="6">
        <v>3.9999999979999998</v>
      </c>
      <c r="U427" s="6">
        <v>0.10568214200000001</v>
      </c>
      <c r="V427" s="6">
        <v>1.6338275999999999E-2</v>
      </c>
      <c r="W427" s="6">
        <v>9.0768200000000004E-4</v>
      </c>
      <c r="X427" s="6">
        <v>5.7220399999999999E-4</v>
      </c>
      <c r="Y427" s="6">
        <v>0.178395522</v>
      </c>
      <c r="Z427" s="6">
        <v>2.1018887E-2</v>
      </c>
      <c r="AA427" s="6">
        <v>0.106986525</v>
      </c>
      <c r="AB427" s="6">
        <v>1.5394667000000001E-2</v>
      </c>
      <c r="AC427" s="6">
        <v>6.8034958000000006E-2</v>
      </c>
      <c r="AD427" s="6">
        <v>1.0500203E-2</v>
      </c>
      <c r="AE427" s="6">
        <v>0.11939217000000001</v>
      </c>
      <c r="AF427" s="6">
        <v>1.5881558E-2</v>
      </c>
      <c r="AG427" s="6">
        <v>7.2933876340000001</v>
      </c>
      <c r="AH427" s="6">
        <v>0.65438696900000004</v>
      </c>
      <c r="AI427" s="6">
        <v>-11.628106435999999</v>
      </c>
      <c r="AJ427" s="6">
        <v>0.68383409900000003</v>
      </c>
      <c r="AK427" s="6">
        <v>13.72976368</v>
      </c>
      <c r="AL427" s="6">
        <v>0.89202346600000004</v>
      </c>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row>
    <row r="428" spans="1:84" ht="16" x14ac:dyDescent="0.2">
      <c r="A428" s="4">
        <v>45881</v>
      </c>
      <c r="B428" s="20">
        <v>25224</v>
      </c>
      <c r="C428" s="5" t="s">
        <v>53</v>
      </c>
      <c r="D428" s="5">
        <v>22</v>
      </c>
      <c r="E428" s="53" t="s">
        <v>1477</v>
      </c>
      <c r="F428">
        <v>3.4</v>
      </c>
      <c r="G428" s="5" t="s">
        <v>2</v>
      </c>
      <c r="H428" s="5" t="s">
        <v>6</v>
      </c>
      <c r="I428" s="5">
        <v>0.25</v>
      </c>
      <c r="J428" s="5">
        <v>23</v>
      </c>
      <c r="K428" s="5" t="s">
        <v>8</v>
      </c>
      <c r="L428" s="5" t="s">
        <v>8</v>
      </c>
      <c r="M428" s="5"/>
      <c r="N428" s="5"/>
      <c r="O428" t="s">
        <v>813</v>
      </c>
      <c r="P428" s="6">
        <v>6.7489166000000003E-2</v>
      </c>
      <c r="Q428" s="6">
        <v>1.5705942000000001E-2</v>
      </c>
      <c r="R428" s="6">
        <v>377</v>
      </c>
      <c r="S428" s="6">
        <v>1.7790379999999999E-3</v>
      </c>
      <c r="T428" s="6">
        <v>7.9999999920000002</v>
      </c>
      <c r="U428" s="6">
        <v>0.12125288400000001</v>
      </c>
      <c r="V428" s="6">
        <v>1.467213E-2</v>
      </c>
      <c r="W428" s="6">
        <v>8.1511799999999998E-4</v>
      </c>
      <c r="X428" s="6">
        <v>7.0819399999999999E-4</v>
      </c>
      <c r="Y428" s="6">
        <v>0.109403783</v>
      </c>
      <c r="Z428" s="6">
        <v>2.4831738999999999E-2</v>
      </c>
      <c r="AA428" s="6">
        <v>5.7385685999999998E-2</v>
      </c>
      <c r="AB428" s="6">
        <v>1.3757350999999999E-2</v>
      </c>
      <c r="AC428" s="6">
        <v>3.4928008000000003E-2</v>
      </c>
      <c r="AD428" s="6">
        <v>7.9449670000000007E-3</v>
      </c>
      <c r="AE428" s="6">
        <v>6.7489166000000003E-2</v>
      </c>
      <c r="AF428" s="6">
        <v>1.5705942000000001E-2</v>
      </c>
      <c r="AG428" s="6">
        <v>9.1756727110000007</v>
      </c>
      <c r="AH428" s="6">
        <v>0.40443249799999997</v>
      </c>
      <c r="AI428" s="6">
        <v>-13.354302712000001</v>
      </c>
      <c r="AJ428" s="6">
        <v>0.28990908100000001</v>
      </c>
      <c r="AK428" s="6">
        <v>16.207348676999999</v>
      </c>
      <c r="AL428" s="6">
        <v>0.315340599</v>
      </c>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row>
    <row r="429" spans="1:84" ht="16" x14ac:dyDescent="0.2">
      <c r="A429" s="4">
        <v>45881</v>
      </c>
      <c r="B429" s="20">
        <v>25224</v>
      </c>
      <c r="C429" s="5" t="s">
        <v>53</v>
      </c>
      <c r="D429" s="26">
        <v>23</v>
      </c>
      <c r="E429" s="53" t="s">
        <v>1478</v>
      </c>
      <c r="G429" s="5"/>
      <c r="H429" s="5"/>
      <c r="I429" s="5"/>
      <c r="J429" s="5"/>
      <c r="K429" s="5"/>
      <c r="L429" s="5"/>
      <c r="M429" s="5"/>
      <c r="N429" s="5"/>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row>
    <row r="430" spans="1:84" ht="16" x14ac:dyDescent="0.2">
      <c r="A430" s="4">
        <v>45881</v>
      </c>
      <c r="B430" s="20">
        <v>25224</v>
      </c>
      <c r="C430" s="5" t="s">
        <v>53</v>
      </c>
      <c r="D430" s="26">
        <v>24</v>
      </c>
      <c r="E430" s="53" t="s">
        <v>1479</v>
      </c>
      <c r="G430" s="5" t="s">
        <v>2</v>
      </c>
      <c r="H430" s="5" t="s">
        <v>5</v>
      </c>
      <c r="I430" s="5">
        <v>0.7</v>
      </c>
      <c r="J430" s="5">
        <v>40.200000000000003</v>
      </c>
      <c r="K430" s="5">
        <v>9.85</v>
      </c>
      <c r="L430" s="5">
        <v>5</v>
      </c>
      <c r="M430" s="5"/>
      <c r="N430" s="5"/>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row>
    <row r="431" spans="1:84" ht="16" x14ac:dyDescent="0.2">
      <c r="A431" s="4">
        <v>45881</v>
      </c>
      <c r="B431" s="20">
        <v>25224</v>
      </c>
      <c r="C431" s="5" t="s">
        <v>53</v>
      </c>
      <c r="D431" s="5">
        <v>25</v>
      </c>
      <c r="E431" s="53" t="s">
        <v>1480</v>
      </c>
      <c r="F431">
        <v>25.4</v>
      </c>
      <c r="G431" s="5" t="s">
        <v>2</v>
      </c>
      <c r="H431" s="5" t="s">
        <v>5</v>
      </c>
      <c r="I431" s="5">
        <v>0.65</v>
      </c>
      <c r="J431" s="5">
        <v>32.9</v>
      </c>
      <c r="K431" s="5">
        <v>8</v>
      </c>
      <c r="L431" s="5">
        <v>5</v>
      </c>
      <c r="M431" s="5"/>
      <c r="N431" s="5"/>
      <c r="O431" t="s">
        <v>814</v>
      </c>
      <c r="P431" s="6">
        <v>9.3891464999999993E-2</v>
      </c>
      <c r="Q431" s="6">
        <v>8.7934929999999994E-3</v>
      </c>
      <c r="R431" s="6">
        <v>884</v>
      </c>
      <c r="S431" s="6">
        <v>9.5860599999999998E-4</v>
      </c>
      <c r="T431" s="6">
        <v>3.9999999979999998</v>
      </c>
      <c r="U431" s="6">
        <v>0.120311135</v>
      </c>
      <c r="V431" s="6">
        <v>7.9677280000000003E-3</v>
      </c>
      <c r="W431" s="6">
        <v>4.4265199999999998E-4</v>
      </c>
      <c r="X431" s="6">
        <v>3.7249400000000002E-4</v>
      </c>
      <c r="Y431" s="6">
        <v>0.14118983800000001</v>
      </c>
      <c r="Z431" s="6">
        <v>1.2889505000000001E-2</v>
      </c>
      <c r="AA431" s="6">
        <v>8.2983890000000005E-2</v>
      </c>
      <c r="AB431" s="6">
        <v>7.8735220000000009E-3</v>
      </c>
      <c r="AC431" s="6">
        <v>5.7847585E-2</v>
      </c>
      <c r="AD431" s="6">
        <v>5.8722069999999999E-3</v>
      </c>
      <c r="AE431" s="6">
        <v>9.3891464999999993E-2</v>
      </c>
      <c r="AF431" s="6">
        <v>8.7934929999999994E-3</v>
      </c>
      <c r="AG431" s="6">
        <v>7.5219290799999996</v>
      </c>
      <c r="AH431" s="6">
        <v>0.122854492</v>
      </c>
      <c r="AI431" s="6">
        <v>-10.249734555</v>
      </c>
      <c r="AJ431" s="6">
        <v>0.40377073200000002</v>
      </c>
      <c r="AK431" s="6">
        <v>12.715130016</v>
      </c>
      <c r="AL431" s="6">
        <v>0.37419901999999999</v>
      </c>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row>
    <row r="432" spans="1:84" ht="16" x14ac:dyDescent="0.2">
      <c r="A432" s="4">
        <v>45881</v>
      </c>
      <c r="B432" s="20">
        <v>25224</v>
      </c>
      <c r="C432" s="5" t="s">
        <v>53</v>
      </c>
      <c r="D432" s="5">
        <v>26</v>
      </c>
      <c r="E432" s="53" t="s">
        <v>1481</v>
      </c>
      <c r="F432">
        <v>1.1000000000000001</v>
      </c>
      <c r="G432" s="5" t="s">
        <v>2</v>
      </c>
      <c r="H432" s="5" t="s">
        <v>3</v>
      </c>
      <c r="I432" s="5">
        <v>0.45</v>
      </c>
      <c r="J432" s="5">
        <v>33.35</v>
      </c>
      <c r="K432" s="5">
        <v>8.15</v>
      </c>
      <c r="L432" s="5">
        <v>4.6500000000000004</v>
      </c>
      <c r="M432" s="5"/>
      <c r="N432" s="5"/>
      <c r="O432" t="s">
        <v>815</v>
      </c>
      <c r="P432" s="6">
        <v>9.2437097999999995E-2</v>
      </c>
      <c r="Q432" s="6">
        <v>7.9585079999999996E-3</v>
      </c>
      <c r="R432" s="6">
        <v>872</v>
      </c>
      <c r="S432" s="6">
        <v>8.44315E-4</v>
      </c>
      <c r="T432" s="6">
        <v>5.6568542449999999</v>
      </c>
      <c r="U432" s="6">
        <v>0.11415612</v>
      </c>
      <c r="V432" s="6">
        <v>7.3961399999999998E-3</v>
      </c>
      <c r="W432" s="6">
        <v>4.1089700000000002E-4</v>
      </c>
      <c r="X432" s="6">
        <v>3.56542E-4</v>
      </c>
      <c r="Y432" s="6">
        <v>0.13531445</v>
      </c>
      <c r="Z432" s="6">
        <v>1.0811921E-2</v>
      </c>
      <c r="AA432" s="6">
        <v>8.3080509999999996E-2</v>
      </c>
      <c r="AB432" s="6">
        <v>7.6830589999999999E-3</v>
      </c>
      <c r="AC432" s="6">
        <v>5.8633279000000003E-2</v>
      </c>
      <c r="AD432" s="6">
        <v>5.3391070000000001E-3</v>
      </c>
      <c r="AE432" s="6">
        <v>9.2437097999999995E-2</v>
      </c>
      <c r="AF432" s="6">
        <v>7.9585079999999996E-3</v>
      </c>
      <c r="AG432" s="6">
        <v>6.9156980209999999</v>
      </c>
      <c r="AH432" s="6">
        <v>0.42979569000000001</v>
      </c>
      <c r="AI432" s="6">
        <v>-9.6835240660000004</v>
      </c>
      <c r="AJ432" s="6">
        <v>0.37989891599999998</v>
      </c>
      <c r="AK432" s="6">
        <v>11.907497642999999</v>
      </c>
      <c r="AL432" s="6">
        <v>0.37127580900000001</v>
      </c>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row>
    <row r="433" spans="1:84" ht="16" x14ac:dyDescent="0.2">
      <c r="A433" s="4">
        <v>45881</v>
      </c>
      <c r="B433" s="20">
        <v>25224</v>
      </c>
      <c r="C433" s="5" t="s">
        <v>53</v>
      </c>
      <c r="D433" s="5">
        <v>27</v>
      </c>
      <c r="E433" s="53" t="s">
        <v>1482</v>
      </c>
      <c r="F433">
        <v>31.2</v>
      </c>
      <c r="G433" s="5" t="s">
        <v>2</v>
      </c>
      <c r="H433" s="5" t="s">
        <v>6</v>
      </c>
      <c r="I433" s="5">
        <v>0.25</v>
      </c>
      <c r="J433" s="5">
        <v>22.45</v>
      </c>
      <c r="K433" s="5" t="s">
        <v>8</v>
      </c>
      <c r="L433" s="5" t="s">
        <v>8</v>
      </c>
      <c r="M433" s="5"/>
      <c r="N433" s="5"/>
      <c r="O433" t="s">
        <v>816</v>
      </c>
      <c r="P433" s="6">
        <v>4.6226567000000003E-2</v>
      </c>
      <c r="Q433" s="6">
        <v>1.5652781000000001E-2</v>
      </c>
      <c r="R433" s="6">
        <v>312</v>
      </c>
      <c r="S433" s="6">
        <v>1.6841740000000001E-3</v>
      </c>
      <c r="T433" s="6">
        <v>3.9999999979999998</v>
      </c>
      <c r="U433" s="6">
        <v>0.122884482</v>
      </c>
      <c r="V433" s="6">
        <v>1.3705340999999999E-2</v>
      </c>
      <c r="W433" s="6">
        <v>7.6140799999999998E-4</v>
      </c>
      <c r="X433" s="6">
        <v>6.5738099999999996E-4</v>
      </c>
      <c r="Y433" s="6">
        <v>6.8837488000000002E-2</v>
      </c>
      <c r="Z433" s="6">
        <v>2.3288105E-2</v>
      </c>
      <c r="AA433" s="6">
        <v>4.1602936E-2</v>
      </c>
      <c r="AB433" s="6">
        <v>1.4142333999999999E-2</v>
      </c>
      <c r="AC433" s="6">
        <v>2.7063935000000001E-2</v>
      </c>
      <c r="AD433" s="6">
        <v>9.0446009999999993E-3</v>
      </c>
      <c r="AE433" s="6">
        <v>4.6226567000000003E-2</v>
      </c>
      <c r="AF433" s="6">
        <v>1.5652781000000001E-2</v>
      </c>
      <c r="AG433" s="6">
        <v>7.1296919949999999</v>
      </c>
      <c r="AH433" s="6">
        <v>0.25476679800000002</v>
      </c>
      <c r="AI433" s="6">
        <v>-11.126769821</v>
      </c>
      <c r="AJ433" s="6">
        <v>0.30725797999999999</v>
      </c>
      <c r="AK433" s="6">
        <v>13.218515476</v>
      </c>
      <c r="AL433" s="6">
        <v>0.25957909400000001</v>
      </c>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row>
    <row r="434" spans="1:84" ht="16" x14ac:dyDescent="0.2">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row>
    <row r="435" spans="1:84" ht="16" x14ac:dyDescent="0.2">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row>
    <row r="436" spans="1:84" ht="16" x14ac:dyDescent="0.2">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row>
    <row r="437" spans="1:84" ht="16" x14ac:dyDescent="0.2">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row>
    <row r="438" spans="1:84" ht="16" x14ac:dyDescent="0.2">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row>
    <row r="439" spans="1:84" ht="16" x14ac:dyDescent="0.2">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row>
    <row r="440" spans="1:84" ht="16" x14ac:dyDescent="0.2">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row>
    <row r="441" spans="1:84" ht="16" x14ac:dyDescent="0.2">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row>
    <row r="442" spans="1:84" ht="16" x14ac:dyDescent="0.2">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row>
    <row r="443" spans="1:84" ht="16" x14ac:dyDescent="0.2">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row>
    <row r="444" spans="1:84" ht="16" x14ac:dyDescent="0.2">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row>
    <row r="445" spans="1:84" ht="16" x14ac:dyDescent="0.2">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row>
    <row r="446" spans="1:84" ht="16" x14ac:dyDescent="0.2">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row>
    <row r="447" spans="1:84" ht="16" x14ac:dyDescent="0.2">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row>
    <row r="448" spans="1:84" ht="16" x14ac:dyDescent="0.2">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row>
    <row r="449" spans="16:84" ht="16" x14ac:dyDescent="0.2">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row>
    <row r="450" spans="16:84" ht="16" x14ac:dyDescent="0.2">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row>
    <row r="451" spans="16:84" ht="16" x14ac:dyDescent="0.2">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row>
    <row r="452" spans="16:84" ht="16" x14ac:dyDescent="0.2">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row>
    <row r="453" spans="16:84" ht="16" x14ac:dyDescent="0.2">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row>
    <row r="454" spans="16:84" ht="16" x14ac:dyDescent="0.2">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row>
    <row r="455" spans="16:84" ht="16" x14ac:dyDescent="0.2">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row>
    <row r="456" spans="16:84" ht="16" x14ac:dyDescent="0.2">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row>
    <row r="457" spans="16:84" ht="16" x14ac:dyDescent="0.2">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row>
    <row r="458" spans="16:84" ht="16" x14ac:dyDescent="0.2">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row>
    <row r="459" spans="16:84" ht="16" x14ac:dyDescent="0.2">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row>
    <row r="460" spans="16:84" ht="16" x14ac:dyDescent="0.2">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row>
    <row r="461" spans="16:84" ht="16" x14ac:dyDescent="0.2">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row>
    <row r="462" spans="16:84" ht="16" x14ac:dyDescent="0.2">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row>
  </sheetData>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D729-002D-EA4A-B66F-36CDE06FB81E}">
  <dimension ref="A1:C5779"/>
  <sheetViews>
    <sheetView workbookViewId="0">
      <selection activeCell="F5328" sqref="F5328"/>
    </sheetView>
  </sheetViews>
  <sheetFormatPr baseColWidth="10" defaultRowHeight="13" x14ac:dyDescent="0.15"/>
  <sheetData>
    <row r="1" spans="1:3" x14ac:dyDescent="0.15">
      <c r="A1" s="9" t="s">
        <v>744</v>
      </c>
      <c r="B1" s="9" t="s">
        <v>377</v>
      </c>
      <c r="C1" s="9" t="s">
        <v>378</v>
      </c>
    </row>
    <row r="2" spans="1:3" x14ac:dyDescent="0.15">
      <c r="A2" t="s">
        <v>719</v>
      </c>
      <c r="B2">
        <v>2</v>
      </c>
      <c r="C2">
        <v>1.1188610000000001E-3</v>
      </c>
    </row>
    <row r="3" spans="1:3" x14ac:dyDescent="0.15">
      <c r="A3" t="s">
        <v>719</v>
      </c>
      <c r="B3">
        <v>2.8283999999999998</v>
      </c>
      <c r="C3">
        <v>1.3815349999999999E-3</v>
      </c>
    </row>
    <row r="4" spans="1:3" x14ac:dyDescent="0.15">
      <c r="A4" t="s">
        <v>719</v>
      </c>
      <c r="B4">
        <v>4</v>
      </c>
      <c r="C4">
        <v>1.582132E-3</v>
      </c>
    </row>
    <row r="5" spans="1:3" x14ac:dyDescent="0.15">
      <c r="A5" t="s">
        <v>719</v>
      </c>
      <c r="B5">
        <v>5.6569000000000003</v>
      </c>
      <c r="C5">
        <v>1.5209360000000001E-3</v>
      </c>
    </row>
    <row r="6" spans="1:3" x14ac:dyDescent="0.15">
      <c r="A6" t="s">
        <v>719</v>
      </c>
      <c r="B6">
        <v>8</v>
      </c>
      <c r="C6">
        <v>1.565725E-3</v>
      </c>
    </row>
    <row r="7" spans="1:3" x14ac:dyDescent="0.15">
      <c r="A7" t="s">
        <v>719</v>
      </c>
      <c r="B7">
        <v>11.313700000000001</v>
      </c>
      <c r="C7">
        <v>1.607102E-3</v>
      </c>
    </row>
    <row r="8" spans="1:3" x14ac:dyDescent="0.15">
      <c r="A8" t="s">
        <v>719</v>
      </c>
      <c r="B8">
        <v>16</v>
      </c>
      <c r="C8">
        <v>1.276016E-3</v>
      </c>
    </row>
    <row r="9" spans="1:3" x14ac:dyDescent="0.15">
      <c r="A9" t="s">
        <v>719</v>
      </c>
      <c r="B9">
        <v>22.627400000000002</v>
      </c>
      <c r="C9">
        <v>1.118286E-3</v>
      </c>
    </row>
    <row r="10" spans="1:3" x14ac:dyDescent="0.15">
      <c r="A10" t="s">
        <v>719</v>
      </c>
      <c r="B10">
        <v>32</v>
      </c>
      <c r="C10">
        <v>1.3592439999999999E-3</v>
      </c>
    </row>
    <row r="11" spans="1:3" x14ac:dyDescent="0.15">
      <c r="A11" t="s">
        <v>719</v>
      </c>
      <c r="B11">
        <v>45.254800000000003</v>
      </c>
      <c r="C11">
        <v>1.4257370000000001E-3</v>
      </c>
    </row>
    <row r="12" spans="1:3" x14ac:dyDescent="0.15">
      <c r="A12" t="s">
        <v>719</v>
      </c>
      <c r="B12">
        <v>64</v>
      </c>
      <c r="C12">
        <v>1.0927000000000001E-3</v>
      </c>
    </row>
    <row r="13" spans="1:3" x14ac:dyDescent="0.15">
      <c r="A13" t="s">
        <v>719</v>
      </c>
      <c r="B13">
        <v>90.509699999999995</v>
      </c>
      <c r="C13">
        <v>7.4054399999999999E-4</v>
      </c>
    </row>
    <row r="14" spans="1:3" x14ac:dyDescent="0.15">
      <c r="A14" t="s">
        <v>719</v>
      </c>
      <c r="B14">
        <v>128</v>
      </c>
      <c r="C14">
        <v>5.0807399999999996E-4</v>
      </c>
    </row>
    <row r="15" spans="1:3" x14ac:dyDescent="0.15">
      <c r="A15" t="s">
        <v>719</v>
      </c>
      <c r="B15">
        <v>181.01929999999999</v>
      </c>
      <c r="C15">
        <v>2.3864200000000001E-4</v>
      </c>
    </row>
    <row r="16" spans="1:3" x14ac:dyDescent="0.15">
      <c r="A16" t="s">
        <v>719</v>
      </c>
      <c r="B16">
        <v>256</v>
      </c>
      <c r="C16">
        <v>3.6483000000000003E-5</v>
      </c>
    </row>
    <row r="17" spans="1:3" x14ac:dyDescent="0.15">
      <c r="A17" t="s">
        <v>719</v>
      </c>
      <c r="B17">
        <v>362.03870000000001</v>
      </c>
      <c r="C17">
        <v>6.7999999999999995E-7</v>
      </c>
    </row>
    <row r="18" spans="1:3" x14ac:dyDescent="0.15">
      <c r="A18" t="s">
        <v>719</v>
      </c>
      <c r="B18">
        <v>512</v>
      </c>
      <c r="C18">
        <v>0</v>
      </c>
    </row>
    <row r="19" spans="1:3" x14ac:dyDescent="0.15">
      <c r="A19" t="s">
        <v>719</v>
      </c>
      <c r="B19">
        <v>724.07730000000004</v>
      </c>
      <c r="C19">
        <v>0</v>
      </c>
    </row>
    <row r="20" spans="1:3" x14ac:dyDescent="0.15">
      <c r="A20" t="s">
        <v>708</v>
      </c>
      <c r="B20">
        <v>2</v>
      </c>
      <c r="C20">
        <v>1.11151E-3</v>
      </c>
    </row>
    <row r="21" spans="1:3" x14ac:dyDescent="0.15">
      <c r="A21" t="s">
        <v>708</v>
      </c>
      <c r="B21">
        <v>2.8283999999999998</v>
      </c>
      <c r="C21">
        <v>1.1671349999999999E-3</v>
      </c>
    </row>
    <row r="22" spans="1:3" x14ac:dyDescent="0.15">
      <c r="A22" t="s">
        <v>708</v>
      </c>
      <c r="B22">
        <v>4</v>
      </c>
      <c r="C22">
        <v>1.1617089999999999E-3</v>
      </c>
    </row>
    <row r="23" spans="1:3" x14ac:dyDescent="0.15">
      <c r="A23" t="s">
        <v>708</v>
      </c>
      <c r="B23">
        <v>5.6569000000000003</v>
      </c>
      <c r="C23">
        <v>1.087621E-3</v>
      </c>
    </row>
    <row r="24" spans="1:3" x14ac:dyDescent="0.15">
      <c r="A24" t="s">
        <v>708</v>
      </c>
      <c r="B24">
        <v>8</v>
      </c>
      <c r="C24">
        <v>9.8435600000000003E-4</v>
      </c>
    </row>
    <row r="25" spans="1:3" x14ac:dyDescent="0.15">
      <c r="A25" t="s">
        <v>708</v>
      </c>
      <c r="B25">
        <v>11.313700000000001</v>
      </c>
      <c r="C25">
        <v>8.5959999999999997E-4</v>
      </c>
    </row>
    <row r="26" spans="1:3" x14ac:dyDescent="0.15">
      <c r="A26" t="s">
        <v>708</v>
      </c>
      <c r="B26">
        <v>16</v>
      </c>
      <c r="C26">
        <v>7.0153200000000005E-4</v>
      </c>
    </row>
    <row r="27" spans="1:3" x14ac:dyDescent="0.15">
      <c r="A27" t="s">
        <v>708</v>
      </c>
      <c r="B27">
        <v>22.627400000000002</v>
      </c>
      <c r="C27">
        <v>4.8959100000000005E-4</v>
      </c>
    </row>
    <row r="28" spans="1:3" x14ac:dyDescent="0.15">
      <c r="A28" t="s">
        <v>708</v>
      </c>
      <c r="B28">
        <v>32</v>
      </c>
      <c r="C28">
        <v>2.8146900000000001E-4</v>
      </c>
    </row>
    <row r="29" spans="1:3" x14ac:dyDescent="0.15">
      <c r="A29" t="s">
        <v>708</v>
      </c>
      <c r="B29">
        <v>45.254800000000003</v>
      </c>
      <c r="C29">
        <v>1.8657499999999999E-4</v>
      </c>
    </row>
    <row r="30" spans="1:3" x14ac:dyDescent="0.15">
      <c r="A30" t="s">
        <v>708</v>
      </c>
      <c r="B30">
        <v>64</v>
      </c>
      <c r="C30">
        <v>1.7725600000000001E-4</v>
      </c>
    </row>
    <row r="31" spans="1:3" x14ac:dyDescent="0.15">
      <c r="A31" t="s">
        <v>708</v>
      </c>
      <c r="B31">
        <v>90.509699999999995</v>
      </c>
      <c r="C31">
        <v>1.74248E-4</v>
      </c>
    </row>
    <row r="32" spans="1:3" x14ac:dyDescent="0.15">
      <c r="A32" t="s">
        <v>708</v>
      </c>
      <c r="B32">
        <v>128</v>
      </c>
      <c r="C32">
        <v>1.41571E-4</v>
      </c>
    </row>
    <row r="33" spans="1:3" x14ac:dyDescent="0.15">
      <c r="A33" t="s">
        <v>708</v>
      </c>
      <c r="B33">
        <v>181.01929999999999</v>
      </c>
      <c r="C33">
        <v>6.9213000000000003E-5</v>
      </c>
    </row>
    <row r="34" spans="1:3" x14ac:dyDescent="0.15">
      <c r="A34" t="s">
        <v>708</v>
      </c>
      <c r="B34">
        <v>256</v>
      </c>
      <c r="C34">
        <v>1.0654E-5</v>
      </c>
    </row>
    <row r="35" spans="1:3" x14ac:dyDescent="0.15">
      <c r="A35" t="s">
        <v>708</v>
      </c>
      <c r="B35">
        <v>362.03870000000001</v>
      </c>
      <c r="C35">
        <v>1.99E-7</v>
      </c>
    </row>
    <row r="36" spans="1:3" x14ac:dyDescent="0.15">
      <c r="A36" t="s">
        <v>708</v>
      </c>
      <c r="B36">
        <v>512</v>
      </c>
      <c r="C36">
        <v>0</v>
      </c>
    </row>
    <row r="37" spans="1:3" x14ac:dyDescent="0.15">
      <c r="A37" t="s">
        <v>708</v>
      </c>
      <c r="B37">
        <v>724.07730000000004</v>
      </c>
      <c r="C37">
        <v>0</v>
      </c>
    </row>
    <row r="38" spans="1:3" x14ac:dyDescent="0.15">
      <c r="A38" t="s">
        <v>709</v>
      </c>
      <c r="B38">
        <v>2</v>
      </c>
      <c r="C38">
        <v>1.045172E-3</v>
      </c>
    </row>
    <row r="39" spans="1:3" x14ac:dyDescent="0.15">
      <c r="A39" t="s">
        <v>709</v>
      </c>
      <c r="B39">
        <v>2.8283999999999998</v>
      </c>
      <c r="C39">
        <v>1.2390910000000001E-3</v>
      </c>
    </row>
    <row r="40" spans="1:3" x14ac:dyDescent="0.15">
      <c r="A40" t="s">
        <v>709</v>
      </c>
      <c r="B40">
        <v>4</v>
      </c>
      <c r="C40">
        <v>1.402241E-3</v>
      </c>
    </row>
    <row r="41" spans="1:3" x14ac:dyDescent="0.15">
      <c r="A41" t="s">
        <v>709</v>
      </c>
      <c r="B41">
        <v>5.6569000000000003</v>
      </c>
      <c r="C41">
        <v>1.3988200000000001E-3</v>
      </c>
    </row>
    <row r="42" spans="1:3" x14ac:dyDescent="0.15">
      <c r="A42" t="s">
        <v>709</v>
      </c>
      <c r="B42">
        <v>8</v>
      </c>
      <c r="C42">
        <v>1.265553E-3</v>
      </c>
    </row>
    <row r="43" spans="1:3" x14ac:dyDescent="0.15">
      <c r="A43" t="s">
        <v>709</v>
      </c>
      <c r="B43">
        <v>11.313700000000001</v>
      </c>
      <c r="C43">
        <v>1.1087790000000001E-3</v>
      </c>
    </row>
    <row r="44" spans="1:3" x14ac:dyDescent="0.15">
      <c r="A44" t="s">
        <v>709</v>
      </c>
      <c r="B44">
        <v>16</v>
      </c>
      <c r="C44">
        <v>9.1511499999999998E-4</v>
      </c>
    </row>
    <row r="45" spans="1:3" x14ac:dyDescent="0.15">
      <c r="A45" t="s">
        <v>709</v>
      </c>
      <c r="B45">
        <v>22.627400000000002</v>
      </c>
      <c r="C45">
        <v>7.4125500000000002E-4</v>
      </c>
    </row>
    <row r="46" spans="1:3" x14ac:dyDescent="0.15">
      <c r="A46" t="s">
        <v>709</v>
      </c>
      <c r="B46">
        <v>32</v>
      </c>
      <c r="C46">
        <v>7.5975700000000001E-4</v>
      </c>
    </row>
    <row r="47" spans="1:3" x14ac:dyDescent="0.15">
      <c r="A47" t="s">
        <v>709</v>
      </c>
      <c r="B47">
        <v>45.254800000000003</v>
      </c>
      <c r="C47">
        <v>7.7059299999999997E-4</v>
      </c>
    </row>
    <row r="48" spans="1:3" x14ac:dyDescent="0.15">
      <c r="A48" t="s">
        <v>709</v>
      </c>
      <c r="B48">
        <v>64</v>
      </c>
      <c r="C48">
        <v>6.6648900000000004E-4</v>
      </c>
    </row>
    <row r="49" spans="1:3" x14ac:dyDescent="0.15">
      <c r="A49" t="s">
        <v>709</v>
      </c>
      <c r="B49">
        <v>90.509699999999995</v>
      </c>
      <c r="C49">
        <v>5.0218699999999997E-4</v>
      </c>
    </row>
    <row r="50" spans="1:3" x14ac:dyDescent="0.15">
      <c r="A50" t="s">
        <v>709</v>
      </c>
      <c r="B50">
        <v>128</v>
      </c>
      <c r="C50">
        <v>3.0025400000000002E-4</v>
      </c>
    </row>
    <row r="51" spans="1:3" x14ac:dyDescent="0.15">
      <c r="A51" t="s">
        <v>709</v>
      </c>
      <c r="B51">
        <v>181.01929999999999</v>
      </c>
      <c r="C51">
        <v>1.33695E-4</v>
      </c>
    </row>
    <row r="52" spans="1:3" x14ac:dyDescent="0.15">
      <c r="A52" t="s">
        <v>709</v>
      </c>
      <c r="B52">
        <v>256</v>
      </c>
      <c r="C52">
        <v>2.0440000000000001E-5</v>
      </c>
    </row>
    <row r="53" spans="1:3" x14ac:dyDescent="0.15">
      <c r="A53" t="s">
        <v>709</v>
      </c>
      <c r="B53">
        <v>362.03870000000001</v>
      </c>
      <c r="C53">
        <v>3.8099999999999998E-7</v>
      </c>
    </row>
    <row r="54" spans="1:3" x14ac:dyDescent="0.15">
      <c r="A54" t="s">
        <v>709</v>
      </c>
      <c r="B54">
        <v>512</v>
      </c>
      <c r="C54">
        <v>0</v>
      </c>
    </row>
    <row r="55" spans="1:3" x14ac:dyDescent="0.15">
      <c r="A55" t="s">
        <v>709</v>
      </c>
      <c r="B55">
        <v>724.07730000000004</v>
      </c>
      <c r="C55">
        <v>0</v>
      </c>
    </row>
    <row r="56" spans="1:3" x14ac:dyDescent="0.15">
      <c r="A56" t="s">
        <v>720</v>
      </c>
      <c r="B56">
        <v>2</v>
      </c>
      <c r="C56">
        <v>6.9917999999999998E-4</v>
      </c>
    </row>
    <row r="57" spans="1:3" x14ac:dyDescent="0.15">
      <c r="A57" t="s">
        <v>720</v>
      </c>
      <c r="B57">
        <v>2.8283999999999998</v>
      </c>
      <c r="C57">
        <v>8.1718399999999999E-4</v>
      </c>
    </row>
    <row r="58" spans="1:3" x14ac:dyDescent="0.15">
      <c r="A58" t="s">
        <v>720</v>
      </c>
      <c r="B58">
        <v>4</v>
      </c>
      <c r="C58">
        <v>9.8021499999999999E-4</v>
      </c>
    </row>
    <row r="59" spans="1:3" x14ac:dyDescent="0.15">
      <c r="A59" t="s">
        <v>720</v>
      </c>
      <c r="B59">
        <v>5.6569000000000003</v>
      </c>
      <c r="C59">
        <v>1.0736750000000001E-3</v>
      </c>
    </row>
    <row r="60" spans="1:3" x14ac:dyDescent="0.15">
      <c r="A60" t="s">
        <v>720</v>
      </c>
      <c r="B60">
        <v>8</v>
      </c>
      <c r="C60">
        <v>9.8634599999999992E-4</v>
      </c>
    </row>
    <row r="61" spans="1:3" x14ac:dyDescent="0.15">
      <c r="A61" t="s">
        <v>720</v>
      </c>
      <c r="B61">
        <v>11.313700000000001</v>
      </c>
      <c r="C61">
        <v>8.4961200000000002E-4</v>
      </c>
    </row>
    <row r="62" spans="1:3" x14ac:dyDescent="0.15">
      <c r="A62" t="s">
        <v>720</v>
      </c>
      <c r="B62">
        <v>16</v>
      </c>
      <c r="C62">
        <v>8.2078100000000003E-4</v>
      </c>
    </row>
    <row r="63" spans="1:3" x14ac:dyDescent="0.15">
      <c r="A63" t="s">
        <v>720</v>
      </c>
      <c r="B63">
        <v>22.627400000000002</v>
      </c>
      <c r="C63">
        <v>8.0088000000000002E-4</v>
      </c>
    </row>
    <row r="64" spans="1:3" x14ac:dyDescent="0.15">
      <c r="A64" t="s">
        <v>720</v>
      </c>
      <c r="B64">
        <v>32</v>
      </c>
      <c r="C64">
        <v>5.8552500000000004E-4</v>
      </c>
    </row>
    <row r="65" spans="1:3" x14ac:dyDescent="0.15">
      <c r="A65" t="s">
        <v>720</v>
      </c>
      <c r="B65">
        <v>45.254800000000003</v>
      </c>
      <c r="C65">
        <v>2.9412699999999998E-4</v>
      </c>
    </row>
    <row r="66" spans="1:3" x14ac:dyDescent="0.15">
      <c r="A66" t="s">
        <v>720</v>
      </c>
      <c r="B66">
        <v>64</v>
      </c>
      <c r="C66">
        <v>2.9744199999999998E-4</v>
      </c>
    </row>
    <row r="67" spans="1:3" x14ac:dyDescent="0.15">
      <c r="A67" t="s">
        <v>720</v>
      </c>
      <c r="B67">
        <v>90.509699999999995</v>
      </c>
      <c r="C67">
        <v>3.9083299999999999E-4</v>
      </c>
    </row>
    <row r="68" spans="1:3" x14ac:dyDescent="0.15">
      <c r="A68" t="s">
        <v>720</v>
      </c>
      <c r="B68">
        <v>128</v>
      </c>
      <c r="C68">
        <v>3.70138E-4</v>
      </c>
    </row>
    <row r="69" spans="1:3" x14ac:dyDescent="0.15">
      <c r="A69" t="s">
        <v>720</v>
      </c>
      <c r="B69">
        <v>181.01929999999999</v>
      </c>
      <c r="C69">
        <v>1.84647E-4</v>
      </c>
    </row>
    <row r="70" spans="1:3" x14ac:dyDescent="0.15">
      <c r="A70" t="s">
        <v>720</v>
      </c>
      <c r="B70">
        <v>256</v>
      </c>
      <c r="C70">
        <v>2.832E-5</v>
      </c>
    </row>
    <row r="71" spans="1:3" x14ac:dyDescent="0.15">
      <c r="A71" t="s">
        <v>720</v>
      </c>
      <c r="B71">
        <v>362.03870000000001</v>
      </c>
      <c r="C71">
        <v>5.2799999999999996E-7</v>
      </c>
    </row>
    <row r="72" spans="1:3" x14ac:dyDescent="0.15">
      <c r="A72" t="s">
        <v>720</v>
      </c>
      <c r="B72">
        <v>512</v>
      </c>
      <c r="C72">
        <v>0</v>
      </c>
    </row>
    <row r="73" spans="1:3" x14ac:dyDescent="0.15">
      <c r="A73" t="s">
        <v>720</v>
      </c>
      <c r="B73">
        <v>724.07730000000004</v>
      </c>
      <c r="C73">
        <v>0</v>
      </c>
    </row>
    <row r="74" spans="1:3" x14ac:dyDescent="0.15">
      <c r="A74" t="s">
        <v>721</v>
      </c>
      <c r="B74">
        <v>2</v>
      </c>
      <c r="C74">
        <v>5.0017599999999996E-4</v>
      </c>
    </row>
    <row r="75" spans="1:3" x14ac:dyDescent="0.15">
      <c r="A75" t="s">
        <v>721</v>
      </c>
      <c r="B75">
        <v>2.8283999999999998</v>
      </c>
      <c r="C75">
        <v>5.5523300000000003E-4</v>
      </c>
    </row>
    <row r="76" spans="1:3" x14ac:dyDescent="0.15">
      <c r="A76" t="s">
        <v>721</v>
      </c>
      <c r="B76">
        <v>4</v>
      </c>
      <c r="C76">
        <v>5.5886800000000002E-4</v>
      </c>
    </row>
    <row r="77" spans="1:3" x14ac:dyDescent="0.15">
      <c r="A77" t="s">
        <v>721</v>
      </c>
      <c r="B77">
        <v>5.6569000000000003</v>
      </c>
      <c r="C77">
        <v>5.1338499999999999E-4</v>
      </c>
    </row>
    <row r="78" spans="1:3" x14ac:dyDescent="0.15">
      <c r="A78" t="s">
        <v>721</v>
      </c>
      <c r="B78">
        <v>8</v>
      </c>
      <c r="C78">
        <v>4.2696599999999998E-4</v>
      </c>
    </row>
    <row r="79" spans="1:3" x14ac:dyDescent="0.15">
      <c r="A79" t="s">
        <v>721</v>
      </c>
      <c r="B79">
        <v>11.313700000000001</v>
      </c>
      <c r="C79">
        <v>3.22539E-4</v>
      </c>
    </row>
    <row r="80" spans="1:3" x14ac:dyDescent="0.15">
      <c r="A80" t="s">
        <v>721</v>
      </c>
      <c r="B80">
        <v>16</v>
      </c>
      <c r="C80">
        <v>2.0245899999999999E-4</v>
      </c>
    </row>
    <row r="81" spans="1:3" x14ac:dyDescent="0.15">
      <c r="A81" t="s">
        <v>721</v>
      </c>
      <c r="B81">
        <v>22.627400000000002</v>
      </c>
      <c r="C81">
        <v>9.9371999999999997E-5</v>
      </c>
    </row>
    <row r="82" spans="1:3" x14ac:dyDescent="0.15">
      <c r="A82" t="s">
        <v>721</v>
      </c>
      <c r="B82">
        <v>32</v>
      </c>
      <c r="C82">
        <v>7.3708999999999995E-5</v>
      </c>
    </row>
    <row r="83" spans="1:3" x14ac:dyDescent="0.15">
      <c r="A83" t="s">
        <v>721</v>
      </c>
      <c r="B83">
        <v>45.254800000000003</v>
      </c>
      <c r="C83">
        <v>8.3965E-5</v>
      </c>
    </row>
    <row r="84" spans="1:3" x14ac:dyDescent="0.15">
      <c r="A84" t="s">
        <v>721</v>
      </c>
      <c r="B84">
        <v>64</v>
      </c>
      <c r="C84">
        <v>1.06439E-4</v>
      </c>
    </row>
    <row r="85" spans="1:3" x14ac:dyDescent="0.15">
      <c r="A85" t="s">
        <v>721</v>
      </c>
      <c r="B85">
        <v>90.509699999999995</v>
      </c>
      <c r="C85">
        <v>1.1263499999999999E-4</v>
      </c>
    </row>
    <row r="86" spans="1:3" x14ac:dyDescent="0.15">
      <c r="A86" t="s">
        <v>721</v>
      </c>
      <c r="B86">
        <v>128</v>
      </c>
      <c r="C86">
        <v>9.1055000000000001E-5</v>
      </c>
    </row>
    <row r="87" spans="1:3" x14ac:dyDescent="0.15">
      <c r="A87" t="s">
        <v>721</v>
      </c>
      <c r="B87">
        <v>181.01929999999999</v>
      </c>
      <c r="C87">
        <v>4.4291E-5</v>
      </c>
    </row>
    <row r="88" spans="1:3" x14ac:dyDescent="0.15">
      <c r="A88" t="s">
        <v>721</v>
      </c>
      <c r="B88">
        <v>256</v>
      </c>
      <c r="C88">
        <v>6.8090000000000004E-6</v>
      </c>
    </row>
    <row r="89" spans="1:3" x14ac:dyDescent="0.15">
      <c r="A89" t="s">
        <v>721</v>
      </c>
      <c r="B89">
        <v>362.03870000000001</v>
      </c>
      <c r="C89">
        <v>1.2700000000000001E-7</v>
      </c>
    </row>
    <row r="90" spans="1:3" x14ac:dyDescent="0.15">
      <c r="A90" t="s">
        <v>721</v>
      </c>
      <c r="B90">
        <v>512</v>
      </c>
      <c r="C90">
        <v>0</v>
      </c>
    </row>
    <row r="91" spans="1:3" x14ac:dyDescent="0.15">
      <c r="A91" t="s">
        <v>721</v>
      </c>
      <c r="B91">
        <v>724.07730000000004</v>
      </c>
      <c r="C91">
        <v>0</v>
      </c>
    </row>
    <row r="92" spans="1:3" x14ac:dyDescent="0.15">
      <c r="A92" t="s">
        <v>722</v>
      </c>
      <c r="B92">
        <v>2</v>
      </c>
      <c r="C92">
        <v>8.2447399999999995E-4</v>
      </c>
    </row>
    <row r="93" spans="1:3" x14ac:dyDescent="0.15">
      <c r="A93" t="s">
        <v>722</v>
      </c>
      <c r="B93">
        <v>2.8283999999999998</v>
      </c>
      <c r="C93">
        <v>9.5780500000000005E-4</v>
      </c>
    </row>
    <row r="94" spans="1:3" x14ac:dyDescent="0.15">
      <c r="A94" t="s">
        <v>722</v>
      </c>
      <c r="B94">
        <v>4</v>
      </c>
      <c r="C94">
        <v>9.9177800000000002E-4</v>
      </c>
    </row>
    <row r="95" spans="1:3" x14ac:dyDescent="0.15">
      <c r="A95" t="s">
        <v>722</v>
      </c>
      <c r="B95">
        <v>5.6569000000000003</v>
      </c>
      <c r="C95">
        <v>9.4185899999999997E-4</v>
      </c>
    </row>
    <row r="96" spans="1:3" x14ac:dyDescent="0.15">
      <c r="A96" t="s">
        <v>722</v>
      </c>
      <c r="B96">
        <v>8</v>
      </c>
      <c r="C96">
        <v>8.5760199999999995E-4</v>
      </c>
    </row>
    <row r="97" spans="1:3" x14ac:dyDescent="0.15">
      <c r="A97" t="s">
        <v>722</v>
      </c>
      <c r="B97">
        <v>11.313700000000001</v>
      </c>
      <c r="C97">
        <v>7.6633799999999998E-4</v>
      </c>
    </row>
    <row r="98" spans="1:3" x14ac:dyDescent="0.15">
      <c r="A98" t="s">
        <v>722</v>
      </c>
      <c r="B98">
        <v>16</v>
      </c>
      <c r="C98">
        <v>6.57411E-4</v>
      </c>
    </row>
    <row r="99" spans="1:3" x14ac:dyDescent="0.15">
      <c r="A99" t="s">
        <v>722</v>
      </c>
      <c r="B99">
        <v>22.627400000000002</v>
      </c>
      <c r="C99">
        <v>5.7039000000000005E-4</v>
      </c>
    </row>
    <row r="100" spans="1:3" x14ac:dyDescent="0.15">
      <c r="A100" t="s">
        <v>722</v>
      </c>
      <c r="B100">
        <v>32</v>
      </c>
      <c r="C100">
        <v>5.0586999999999995E-4</v>
      </c>
    </row>
    <row r="101" spans="1:3" x14ac:dyDescent="0.15">
      <c r="A101" t="s">
        <v>722</v>
      </c>
      <c r="B101">
        <v>45.254800000000003</v>
      </c>
      <c r="C101">
        <v>3.9956799999999999E-4</v>
      </c>
    </row>
    <row r="102" spans="1:3" x14ac:dyDescent="0.15">
      <c r="A102" t="s">
        <v>722</v>
      </c>
      <c r="B102">
        <v>64</v>
      </c>
      <c r="C102">
        <v>2.35498E-4</v>
      </c>
    </row>
    <row r="103" spans="1:3" x14ac:dyDescent="0.15">
      <c r="A103" t="s">
        <v>722</v>
      </c>
      <c r="B103">
        <v>90.509699999999995</v>
      </c>
      <c r="C103">
        <v>1.54196E-4</v>
      </c>
    </row>
    <row r="104" spans="1:3" x14ac:dyDescent="0.15">
      <c r="A104" t="s">
        <v>722</v>
      </c>
      <c r="B104">
        <v>128</v>
      </c>
      <c r="C104">
        <v>1.2756200000000001E-4</v>
      </c>
    </row>
    <row r="105" spans="1:3" x14ac:dyDescent="0.15">
      <c r="A105" t="s">
        <v>722</v>
      </c>
      <c r="B105">
        <v>181.01929999999999</v>
      </c>
      <c r="C105">
        <v>6.1932000000000003E-5</v>
      </c>
    </row>
    <row r="106" spans="1:3" x14ac:dyDescent="0.15">
      <c r="A106" t="s">
        <v>722</v>
      </c>
      <c r="B106">
        <v>256</v>
      </c>
      <c r="C106">
        <v>9.4280000000000002E-6</v>
      </c>
    </row>
    <row r="107" spans="1:3" x14ac:dyDescent="0.15">
      <c r="A107" t="s">
        <v>722</v>
      </c>
      <c r="B107">
        <v>362.03870000000001</v>
      </c>
      <c r="C107">
        <v>1.7599999999999999E-7</v>
      </c>
    </row>
    <row r="108" spans="1:3" x14ac:dyDescent="0.15">
      <c r="A108" t="s">
        <v>722</v>
      </c>
      <c r="B108">
        <v>512</v>
      </c>
      <c r="C108">
        <v>0</v>
      </c>
    </row>
    <row r="109" spans="1:3" x14ac:dyDescent="0.15">
      <c r="A109" t="s">
        <v>722</v>
      </c>
      <c r="B109">
        <v>724.07730000000004</v>
      </c>
      <c r="C109">
        <v>0</v>
      </c>
    </row>
    <row r="110" spans="1:3" x14ac:dyDescent="0.15">
      <c r="A110" t="s">
        <v>723</v>
      </c>
      <c r="B110">
        <v>2</v>
      </c>
      <c r="C110">
        <v>1.07446E-3</v>
      </c>
    </row>
    <row r="111" spans="1:3" x14ac:dyDescent="0.15">
      <c r="A111" t="s">
        <v>723</v>
      </c>
      <c r="B111">
        <v>2.8283999999999998</v>
      </c>
      <c r="C111">
        <v>1.2896299999999999E-3</v>
      </c>
    </row>
    <row r="112" spans="1:3" x14ac:dyDescent="0.15">
      <c r="A112" t="s">
        <v>723</v>
      </c>
      <c r="B112">
        <v>4</v>
      </c>
      <c r="C112">
        <v>1.3526740000000001E-3</v>
      </c>
    </row>
    <row r="113" spans="1:3" x14ac:dyDescent="0.15">
      <c r="A113" t="s">
        <v>723</v>
      </c>
      <c r="B113">
        <v>5.6569000000000003</v>
      </c>
      <c r="C113">
        <v>1.343529E-3</v>
      </c>
    </row>
    <row r="114" spans="1:3" x14ac:dyDescent="0.15">
      <c r="A114" t="s">
        <v>723</v>
      </c>
      <c r="B114">
        <v>8</v>
      </c>
      <c r="C114">
        <v>1.3015209999999999E-3</v>
      </c>
    </row>
    <row r="115" spans="1:3" x14ac:dyDescent="0.15">
      <c r="A115" t="s">
        <v>723</v>
      </c>
      <c r="B115">
        <v>11.313700000000001</v>
      </c>
      <c r="C115">
        <v>1.206202E-3</v>
      </c>
    </row>
    <row r="116" spans="1:3" x14ac:dyDescent="0.15">
      <c r="A116" t="s">
        <v>723</v>
      </c>
      <c r="B116">
        <v>16</v>
      </c>
      <c r="C116">
        <v>1.085085E-3</v>
      </c>
    </row>
    <row r="117" spans="1:3" x14ac:dyDescent="0.15">
      <c r="A117" t="s">
        <v>723</v>
      </c>
      <c r="B117">
        <v>22.627400000000002</v>
      </c>
      <c r="C117">
        <v>9.3317300000000003E-4</v>
      </c>
    </row>
    <row r="118" spans="1:3" x14ac:dyDescent="0.15">
      <c r="A118" t="s">
        <v>723</v>
      </c>
      <c r="B118">
        <v>32</v>
      </c>
      <c r="C118">
        <v>7.1350299999999999E-4</v>
      </c>
    </row>
    <row r="119" spans="1:3" x14ac:dyDescent="0.15">
      <c r="A119" t="s">
        <v>723</v>
      </c>
      <c r="B119">
        <v>45.254800000000003</v>
      </c>
      <c r="C119">
        <v>5.6149800000000001E-4</v>
      </c>
    </row>
    <row r="120" spans="1:3" x14ac:dyDescent="0.15">
      <c r="A120" t="s">
        <v>723</v>
      </c>
      <c r="B120">
        <v>64</v>
      </c>
      <c r="C120">
        <v>4.3008100000000002E-4</v>
      </c>
    </row>
    <row r="121" spans="1:3" x14ac:dyDescent="0.15">
      <c r="A121" t="s">
        <v>723</v>
      </c>
      <c r="B121">
        <v>90.509699999999995</v>
      </c>
      <c r="C121">
        <v>2.0131500000000001E-4</v>
      </c>
    </row>
    <row r="122" spans="1:3" x14ac:dyDescent="0.15">
      <c r="A122" t="s">
        <v>723</v>
      </c>
      <c r="B122">
        <v>128</v>
      </c>
      <c r="C122">
        <v>9.2176000000000007E-5</v>
      </c>
    </row>
    <row r="123" spans="1:3" x14ac:dyDescent="0.15">
      <c r="A123" t="s">
        <v>723</v>
      </c>
      <c r="B123">
        <v>181.01929999999999</v>
      </c>
      <c r="C123">
        <v>4.9597E-5</v>
      </c>
    </row>
    <row r="124" spans="1:3" x14ac:dyDescent="0.15">
      <c r="A124" t="s">
        <v>723</v>
      </c>
      <c r="B124">
        <v>256</v>
      </c>
      <c r="C124">
        <v>7.6939999999999995E-6</v>
      </c>
    </row>
    <row r="125" spans="1:3" x14ac:dyDescent="0.15">
      <c r="A125" t="s">
        <v>723</v>
      </c>
      <c r="B125">
        <v>362.03870000000001</v>
      </c>
      <c r="C125">
        <v>1.4399999999999999E-7</v>
      </c>
    </row>
    <row r="126" spans="1:3" x14ac:dyDescent="0.15">
      <c r="A126" t="s">
        <v>723</v>
      </c>
      <c r="B126">
        <v>512</v>
      </c>
      <c r="C126">
        <v>0</v>
      </c>
    </row>
    <row r="127" spans="1:3" x14ac:dyDescent="0.15">
      <c r="A127" t="s">
        <v>723</v>
      </c>
      <c r="B127">
        <v>724.07730000000004</v>
      </c>
      <c r="C127">
        <v>0</v>
      </c>
    </row>
    <row r="128" spans="1:3" x14ac:dyDescent="0.15">
      <c r="A128" t="s">
        <v>724</v>
      </c>
      <c r="B128">
        <v>2</v>
      </c>
      <c r="C128">
        <v>7.6668799999999996E-4</v>
      </c>
    </row>
    <row r="129" spans="1:3" x14ac:dyDescent="0.15">
      <c r="A129" t="s">
        <v>724</v>
      </c>
      <c r="B129">
        <v>2.8283999999999998</v>
      </c>
      <c r="C129">
        <v>9.6891399999999997E-4</v>
      </c>
    </row>
    <row r="130" spans="1:3" x14ac:dyDescent="0.15">
      <c r="A130" t="s">
        <v>724</v>
      </c>
      <c r="B130">
        <v>4</v>
      </c>
      <c r="C130">
        <v>1.078074E-3</v>
      </c>
    </row>
    <row r="131" spans="1:3" x14ac:dyDescent="0.15">
      <c r="A131" t="s">
        <v>724</v>
      </c>
      <c r="B131">
        <v>5.6569000000000003</v>
      </c>
      <c r="C131">
        <v>1.1379459999999999E-3</v>
      </c>
    </row>
    <row r="132" spans="1:3" x14ac:dyDescent="0.15">
      <c r="A132" t="s">
        <v>724</v>
      </c>
      <c r="B132">
        <v>8</v>
      </c>
      <c r="C132">
        <v>1.194131E-3</v>
      </c>
    </row>
    <row r="133" spans="1:3" x14ac:dyDescent="0.15">
      <c r="A133" t="s">
        <v>724</v>
      </c>
      <c r="B133">
        <v>11.313700000000001</v>
      </c>
      <c r="C133">
        <v>1.1430940000000001E-3</v>
      </c>
    </row>
    <row r="134" spans="1:3" x14ac:dyDescent="0.15">
      <c r="A134" t="s">
        <v>724</v>
      </c>
      <c r="B134">
        <v>16</v>
      </c>
      <c r="C134">
        <v>8.86519E-4</v>
      </c>
    </row>
    <row r="135" spans="1:3" x14ac:dyDescent="0.15">
      <c r="A135" t="s">
        <v>724</v>
      </c>
      <c r="B135">
        <v>22.627400000000002</v>
      </c>
      <c r="C135">
        <v>6.2539200000000001E-4</v>
      </c>
    </row>
    <row r="136" spans="1:3" x14ac:dyDescent="0.15">
      <c r="A136" t="s">
        <v>724</v>
      </c>
      <c r="B136">
        <v>32</v>
      </c>
      <c r="C136">
        <v>6.0088100000000005E-4</v>
      </c>
    </row>
    <row r="137" spans="1:3" x14ac:dyDescent="0.15">
      <c r="A137" t="s">
        <v>724</v>
      </c>
      <c r="B137">
        <v>45.254800000000003</v>
      </c>
      <c r="C137">
        <v>5.9951099999999995E-4</v>
      </c>
    </row>
    <row r="138" spans="1:3" x14ac:dyDescent="0.15">
      <c r="A138" t="s">
        <v>724</v>
      </c>
      <c r="B138">
        <v>64</v>
      </c>
      <c r="C138">
        <v>5.0337999999999999E-4</v>
      </c>
    </row>
    <row r="139" spans="1:3" x14ac:dyDescent="0.15">
      <c r="A139" t="s">
        <v>724</v>
      </c>
      <c r="B139">
        <v>90.509699999999995</v>
      </c>
      <c r="C139">
        <v>2.4651799999999999E-4</v>
      </c>
    </row>
    <row r="140" spans="1:3" x14ac:dyDescent="0.15">
      <c r="A140" t="s">
        <v>724</v>
      </c>
      <c r="B140">
        <v>128</v>
      </c>
      <c r="C140">
        <v>3.7741000000000003E-5</v>
      </c>
    </row>
    <row r="141" spans="1:3" x14ac:dyDescent="0.15">
      <c r="A141" t="s">
        <v>724</v>
      </c>
      <c r="B141">
        <v>181.01929999999999</v>
      </c>
      <c r="C141">
        <v>7.0399999999999995E-7</v>
      </c>
    </row>
    <row r="142" spans="1:3" x14ac:dyDescent="0.15">
      <c r="A142" t="s">
        <v>724</v>
      </c>
      <c r="B142">
        <v>256</v>
      </c>
      <c r="C142">
        <v>0</v>
      </c>
    </row>
    <row r="143" spans="1:3" x14ac:dyDescent="0.15">
      <c r="A143" t="s">
        <v>724</v>
      </c>
      <c r="B143">
        <v>362.03870000000001</v>
      </c>
      <c r="C143">
        <v>0</v>
      </c>
    </row>
    <row r="144" spans="1:3" x14ac:dyDescent="0.15">
      <c r="A144" t="s">
        <v>724</v>
      </c>
      <c r="B144">
        <v>512</v>
      </c>
      <c r="C144">
        <v>0</v>
      </c>
    </row>
    <row r="145" spans="1:3" x14ac:dyDescent="0.15">
      <c r="A145" t="s">
        <v>724</v>
      </c>
      <c r="B145">
        <v>724.07730000000004</v>
      </c>
      <c r="C145">
        <v>0</v>
      </c>
    </row>
    <row r="146" spans="1:3" x14ac:dyDescent="0.15">
      <c r="A146" t="s">
        <v>725</v>
      </c>
      <c r="B146">
        <v>2</v>
      </c>
      <c r="C146">
        <v>7.3641799999999997E-4</v>
      </c>
    </row>
    <row r="147" spans="1:3" x14ac:dyDescent="0.15">
      <c r="A147" t="s">
        <v>725</v>
      </c>
      <c r="B147">
        <v>2.8283999999999998</v>
      </c>
      <c r="C147">
        <v>9.0072500000000001E-4</v>
      </c>
    </row>
    <row r="148" spans="1:3" x14ac:dyDescent="0.15">
      <c r="A148" t="s">
        <v>725</v>
      </c>
      <c r="B148">
        <v>4</v>
      </c>
      <c r="C148">
        <v>9.8986800000000008E-4</v>
      </c>
    </row>
    <row r="149" spans="1:3" x14ac:dyDescent="0.15">
      <c r="A149" t="s">
        <v>725</v>
      </c>
      <c r="B149">
        <v>5.6569000000000003</v>
      </c>
      <c r="C149">
        <v>9.6483400000000003E-4</v>
      </c>
    </row>
    <row r="150" spans="1:3" x14ac:dyDescent="0.15">
      <c r="A150" t="s">
        <v>725</v>
      </c>
      <c r="B150">
        <v>8</v>
      </c>
      <c r="C150">
        <v>8.633E-4</v>
      </c>
    </row>
    <row r="151" spans="1:3" x14ac:dyDescent="0.15">
      <c r="A151" t="s">
        <v>725</v>
      </c>
      <c r="B151">
        <v>11.313700000000001</v>
      </c>
      <c r="C151">
        <v>7.3530899999999996E-4</v>
      </c>
    </row>
    <row r="152" spans="1:3" x14ac:dyDescent="0.15">
      <c r="A152" t="s">
        <v>725</v>
      </c>
      <c r="B152">
        <v>16</v>
      </c>
      <c r="C152">
        <v>6.0591799999999999E-4</v>
      </c>
    </row>
    <row r="153" spans="1:3" x14ac:dyDescent="0.15">
      <c r="A153" t="s">
        <v>725</v>
      </c>
      <c r="B153">
        <v>22.627400000000002</v>
      </c>
      <c r="C153">
        <v>5.0363000000000003E-4</v>
      </c>
    </row>
    <row r="154" spans="1:3" x14ac:dyDescent="0.15">
      <c r="A154" t="s">
        <v>725</v>
      </c>
      <c r="B154">
        <v>32</v>
      </c>
      <c r="C154">
        <v>3.75829E-4</v>
      </c>
    </row>
    <row r="155" spans="1:3" x14ac:dyDescent="0.15">
      <c r="A155" t="s">
        <v>725</v>
      </c>
      <c r="B155">
        <v>45.254800000000003</v>
      </c>
      <c r="C155">
        <v>1.63797E-4</v>
      </c>
    </row>
    <row r="156" spans="1:3" x14ac:dyDescent="0.15">
      <c r="A156" t="s">
        <v>725</v>
      </c>
      <c r="B156">
        <v>64</v>
      </c>
      <c r="C156">
        <v>6.4602000000000003E-5</v>
      </c>
    </row>
    <row r="157" spans="1:3" x14ac:dyDescent="0.15">
      <c r="A157" t="s">
        <v>725</v>
      </c>
      <c r="B157">
        <v>90.509699999999995</v>
      </c>
      <c r="C157">
        <v>3.7421E-5</v>
      </c>
    </row>
    <row r="158" spans="1:3" x14ac:dyDescent="0.15">
      <c r="A158" t="s">
        <v>725</v>
      </c>
      <c r="B158">
        <v>128</v>
      </c>
      <c r="C158">
        <v>5.9859999999999999E-6</v>
      </c>
    </row>
    <row r="159" spans="1:3" x14ac:dyDescent="0.15">
      <c r="A159" t="s">
        <v>725</v>
      </c>
      <c r="B159">
        <v>181.01929999999999</v>
      </c>
      <c r="C159">
        <v>1.12E-7</v>
      </c>
    </row>
    <row r="160" spans="1:3" x14ac:dyDescent="0.15">
      <c r="A160" t="s">
        <v>725</v>
      </c>
      <c r="B160">
        <v>256</v>
      </c>
      <c r="C160">
        <v>0</v>
      </c>
    </row>
    <row r="161" spans="1:3" x14ac:dyDescent="0.15">
      <c r="A161" t="s">
        <v>725</v>
      </c>
      <c r="B161">
        <v>362.03870000000001</v>
      </c>
      <c r="C161">
        <v>0</v>
      </c>
    </row>
    <row r="162" spans="1:3" x14ac:dyDescent="0.15">
      <c r="A162" t="s">
        <v>725</v>
      </c>
      <c r="B162">
        <v>512</v>
      </c>
      <c r="C162">
        <v>0</v>
      </c>
    </row>
    <row r="163" spans="1:3" x14ac:dyDescent="0.15">
      <c r="A163" t="s">
        <v>725</v>
      </c>
      <c r="B163">
        <v>724.07730000000004</v>
      </c>
      <c r="C163">
        <v>0</v>
      </c>
    </row>
    <row r="164" spans="1:3" x14ac:dyDescent="0.15">
      <c r="A164" t="s">
        <v>726</v>
      </c>
      <c r="B164">
        <v>2</v>
      </c>
      <c r="C164">
        <v>5.9524899999999995E-4</v>
      </c>
    </row>
    <row r="165" spans="1:3" x14ac:dyDescent="0.15">
      <c r="A165" t="s">
        <v>726</v>
      </c>
      <c r="B165">
        <v>2.8283999999999998</v>
      </c>
      <c r="C165">
        <v>6.8261699999999995E-4</v>
      </c>
    </row>
    <row r="166" spans="1:3" x14ac:dyDescent="0.15">
      <c r="A166" t="s">
        <v>726</v>
      </c>
      <c r="B166">
        <v>4</v>
      </c>
      <c r="C166">
        <v>8.0167300000000003E-4</v>
      </c>
    </row>
    <row r="167" spans="1:3" x14ac:dyDescent="0.15">
      <c r="A167" t="s">
        <v>726</v>
      </c>
      <c r="B167">
        <v>5.6569000000000003</v>
      </c>
      <c r="C167">
        <v>8.7679000000000001E-4</v>
      </c>
    </row>
    <row r="168" spans="1:3" x14ac:dyDescent="0.15">
      <c r="A168" t="s">
        <v>726</v>
      </c>
      <c r="B168">
        <v>8</v>
      </c>
      <c r="C168">
        <v>8.8280800000000001E-4</v>
      </c>
    </row>
    <row r="169" spans="1:3" x14ac:dyDescent="0.15">
      <c r="A169" t="s">
        <v>726</v>
      </c>
      <c r="B169">
        <v>11.313700000000001</v>
      </c>
      <c r="C169">
        <v>8.2231199999999996E-4</v>
      </c>
    </row>
    <row r="170" spans="1:3" x14ac:dyDescent="0.15">
      <c r="A170" t="s">
        <v>726</v>
      </c>
      <c r="B170">
        <v>16</v>
      </c>
      <c r="C170">
        <v>6.9003000000000001E-4</v>
      </c>
    </row>
    <row r="171" spans="1:3" x14ac:dyDescent="0.15">
      <c r="A171" t="s">
        <v>726</v>
      </c>
      <c r="B171">
        <v>22.627400000000002</v>
      </c>
      <c r="C171">
        <v>5.1608999999999997E-4</v>
      </c>
    </row>
    <row r="172" spans="1:3" x14ac:dyDescent="0.15">
      <c r="A172" t="s">
        <v>726</v>
      </c>
      <c r="B172">
        <v>32</v>
      </c>
      <c r="C172">
        <v>3.4463700000000001E-4</v>
      </c>
    </row>
    <row r="173" spans="1:3" x14ac:dyDescent="0.15">
      <c r="A173" t="s">
        <v>726</v>
      </c>
      <c r="B173">
        <v>45.254800000000003</v>
      </c>
      <c r="C173">
        <v>2.32456E-4</v>
      </c>
    </row>
    <row r="174" spans="1:3" x14ac:dyDescent="0.15">
      <c r="A174" t="s">
        <v>726</v>
      </c>
      <c r="B174">
        <v>64</v>
      </c>
      <c r="C174">
        <v>1.9730299999999999E-4</v>
      </c>
    </row>
    <row r="175" spans="1:3" x14ac:dyDescent="0.15">
      <c r="A175" t="s">
        <v>726</v>
      </c>
      <c r="B175">
        <v>90.509699999999995</v>
      </c>
      <c r="C175">
        <v>1.8944400000000001E-4</v>
      </c>
    </row>
    <row r="176" spans="1:3" x14ac:dyDescent="0.15">
      <c r="A176" t="s">
        <v>726</v>
      </c>
      <c r="B176">
        <v>128</v>
      </c>
      <c r="C176">
        <v>1.6258599999999999E-4</v>
      </c>
    </row>
    <row r="177" spans="1:3" x14ac:dyDescent="0.15">
      <c r="A177" t="s">
        <v>726</v>
      </c>
      <c r="B177">
        <v>181.01929999999999</v>
      </c>
      <c r="C177">
        <v>7.8956999999999996E-5</v>
      </c>
    </row>
    <row r="178" spans="1:3" x14ac:dyDescent="0.15">
      <c r="A178" t="s">
        <v>726</v>
      </c>
      <c r="B178">
        <v>256</v>
      </c>
      <c r="C178">
        <v>1.2026E-5</v>
      </c>
    </row>
    <row r="179" spans="1:3" x14ac:dyDescent="0.15">
      <c r="A179" t="s">
        <v>726</v>
      </c>
      <c r="B179">
        <v>362.03870000000001</v>
      </c>
      <c r="C179">
        <v>2.2399999999999999E-7</v>
      </c>
    </row>
    <row r="180" spans="1:3" x14ac:dyDescent="0.15">
      <c r="A180" t="s">
        <v>726</v>
      </c>
      <c r="B180">
        <v>512</v>
      </c>
      <c r="C180">
        <v>0</v>
      </c>
    </row>
    <row r="181" spans="1:3" x14ac:dyDescent="0.15">
      <c r="A181" t="s">
        <v>726</v>
      </c>
      <c r="B181">
        <v>724.07730000000004</v>
      </c>
      <c r="C181">
        <v>0</v>
      </c>
    </row>
    <row r="182" spans="1:3" x14ac:dyDescent="0.15">
      <c r="A182" t="s">
        <v>727</v>
      </c>
      <c r="B182">
        <v>2</v>
      </c>
      <c r="C182">
        <v>8.4248999999999999E-4</v>
      </c>
    </row>
    <row r="183" spans="1:3" x14ac:dyDescent="0.15">
      <c r="A183" t="s">
        <v>727</v>
      </c>
      <c r="B183">
        <v>2.8283999999999998</v>
      </c>
      <c r="C183">
        <v>1.029659E-3</v>
      </c>
    </row>
    <row r="184" spans="1:3" x14ac:dyDescent="0.15">
      <c r="A184" t="s">
        <v>727</v>
      </c>
      <c r="B184">
        <v>4</v>
      </c>
      <c r="C184">
        <v>1.181388E-3</v>
      </c>
    </row>
    <row r="185" spans="1:3" x14ac:dyDescent="0.15">
      <c r="A185" t="s">
        <v>727</v>
      </c>
      <c r="B185">
        <v>5.6569000000000003</v>
      </c>
      <c r="C185">
        <v>1.164572E-3</v>
      </c>
    </row>
    <row r="186" spans="1:3" x14ac:dyDescent="0.15">
      <c r="A186" t="s">
        <v>727</v>
      </c>
      <c r="B186">
        <v>8</v>
      </c>
      <c r="C186">
        <v>1.0399649999999999E-3</v>
      </c>
    </row>
    <row r="187" spans="1:3" x14ac:dyDescent="0.15">
      <c r="A187" t="s">
        <v>727</v>
      </c>
      <c r="B187">
        <v>11.313700000000001</v>
      </c>
      <c r="C187">
        <v>9.1029900000000005E-4</v>
      </c>
    </row>
    <row r="188" spans="1:3" x14ac:dyDescent="0.15">
      <c r="A188" t="s">
        <v>727</v>
      </c>
      <c r="B188">
        <v>16</v>
      </c>
      <c r="C188">
        <v>8.3478299999999997E-4</v>
      </c>
    </row>
    <row r="189" spans="1:3" x14ac:dyDescent="0.15">
      <c r="A189" t="s">
        <v>727</v>
      </c>
      <c r="B189">
        <v>22.627400000000002</v>
      </c>
      <c r="C189">
        <v>8.1050299999999996E-4</v>
      </c>
    </row>
    <row r="190" spans="1:3" x14ac:dyDescent="0.15">
      <c r="A190" t="s">
        <v>727</v>
      </c>
      <c r="B190">
        <v>32</v>
      </c>
      <c r="C190">
        <v>7.8964499999999995E-4</v>
      </c>
    </row>
    <row r="191" spans="1:3" x14ac:dyDescent="0.15">
      <c r="A191" t="s">
        <v>727</v>
      </c>
      <c r="B191">
        <v>45.254800000000003</v>
      </c>
      <c r="C191">
        <v>6.2716099999999999E-4</v>
      </c>
    </row>
    <row r="192" spans="1:3" x14ac:dyDescent="0.15">
      <c r="A192" t="s">
        <v>727</v>
      </c>
      <c r="B192">
        <v>64</v>
      </c>
      <c r="C192">
        <v>2.99578E-4</v>
      </c>
    </row>
    <row r="193" spans="1:3" x14ac:dyDescent="0.15">
      <c r="A193" t="s">
        <v>727</v>
      </c>
      <c r="B193">
        <v>90.509699999999995</v>
      </c>
      <c r="C193">
        <v>1.4910300000000001E-4</v>
      </c>
    </row>
    <row r="194" spans="1:3" x14ac:dyDescent="0.15">
      <c r="A194" t="s">
        <v>727</v>
      </c>
      <c r="B194">
        <v>128</v>
      </c>
      <c r="C194">
        <v>9.4213000000000001E-5</v>
      </c>
    </row>
    <row r="195" spans="1:3" x14ac:dyDescent="0.15">
      <c r="A195" t="s">
        <v>727</v>
      </c>
      <c r="B195">
        <v>181.01929999999999</v>
      </c>
      <c r="C195">
        <v>4.2672000000000001E-5</v>
      </c>
    </row>
    <row r="196" spans="1:3" x14ac:dyDescent="0.15">
      <c r="A196" t="s">
        <v>727</v>
      </c>
      <c r="B196">
        <v>256</v>
      </c>
      <c r="C196">
        <v>6.5119999999999997E-6</v>
      </c>
    </row>
    <row r="197" spans="1:3" x14ac:dyDescent="0.15">
      <c r="A197" t="s">
        <v>727</v>
      </c>
      <c r="B197">
        <v>362.03870000000001</v>
      </c>
      <c r="C197">
        <v>1.2100000000000001E-7</v>
      </c>
    </row>
    <row r="198" spans="1:3" x14ac:dyDescent="0.15">
      <c r="A198" t="s">
        <v>727</v>
      </c>
      <c r="B198">
        <v>512</v>
      </c>
      <c r="C198">
        <v>0</v>
      </c>
    </row>
    <row r="199" spans="1:3" x14ac:dyDescent="0.15">
      <c r="A199" t="s">
        <v>727</v>
      </c>
      <c r="B199">
        <v>724.07730000000004</v>
      </c>
      <c r="C199">
        <v>0</v>
      </c>
    </row>
    <row r="200" spans="1:3" x14ac:dyDescent="0.15">
      <c r="A200" t="s">
        <v>728</v>
      </c>
      <c r="B200">
        <v>2</v>
      </c>
      <c r="C200">
        <v>6.2292800000000002E-4</v>
      </c>
    </row>
    <row r="201" spans="1:3" x14ac:dyDescent="0.15">
      <c r="A201" t="s">
        <v>728</v>
      </c>
      <c r="B201">
        <v>2.8283999999999998</v>
      </c>
      <c r="C201">
        <v>7.7224200000000002E-4</v>
      </c>
    </row>
    <row r="202" spans="1:3" x14ac:dyDescent="0.15">
      <c r="A202" t="s">
        <v>728</v>
      </c>
      <c r="B202">
        <v>4</v>
      </c>
      <c r="C202">
        <v>8.3640299999999999E-4</v>
      </c>
    </row>
    <row r="203" spans="1:3" x14ac:dyDescent="0.15">
      <c r="A203" t="s">
        <v>728</v>
      </c>
      <c r="B203">
        <v>5.6569000000000003</v>
      </c>
      <c r="C203">
        <v>8.0536799999999999E-4</v>
      </c>
    </row>
    <row r="204" spans="1:3" x14ac:dyDescent="0.15">
      <c r="A204" t="s">
        <v>728</v>
      </c>
      <c r="B204">
        <v>8</v>
      </c>
      <c r="C204">
        <v>7.5814299999999997E-4</v>
      </c>
    </row>
    <row r="205" spans="1:3" x14ac:dyDescent="0.15">
      <c r="A205" t="s">
        <v>728</v>
      </c>
      <c r="B205">
        <v>11.313700000000001</v>
      </c>
      <c r="C205">
        <v>7.0909399999999996E-4</v>
      </c>
    </row>
    <row r="206" spans="1:3" x14ac:dyDescent="0.15">
      <c r="A206" t="s">
        <v>728</v>
      </c>
      <c r="B206">
        <v>16</v>
      </c>
      <c r="C206">
        <v>6.0132100000000004E-4</v>
      </c>
    </row>
    <row r="207" spans="1:3" x14ac:dyDescent="0.15">
      <c r="A207" t="s">
        <v>728</v>
      </c>
      <c r="B207">
        <v>22.627400000000002</v>
      </c>
      <c r="C207">
        <v>5.2397499999999998E-4</v>
      </c>
    </row>
    <row r="208" spans="1:3" x14ac:dyDescent="0.15">
      <c r="A208" t="s">
        <v>728</v>
      </c>
      <c r="B208">
        <v>32</v>
      </c>
      <c r="C208">
        <v>4.67112E-4</v>
      </c>
    </row>
    <row r="209" spans="1:3" x14ac:dyDescent="0.15">
      <c r="A209" t="s">
        <v>728</v>
      </c>
      <c r="B209">
        <v>45.254800000000003</v>
      </c>
      <c r="C209">
        <v>4.3539799999999998E-4</v>
      </c>
    </row>
    <row r="210" spans="1:3" x14ac:dyDescent="0.15">
      <c r="A210" t="s">
        <v>728</v>
      </c>
      <c r="B210">
        <v>64</v>
      </c>
      <c r="C210">
        <v>4.1182399999999998E-4</v>
      </c>
    </row>
    <row r="211" spans="1:3" x14ac:dyDescent="0.15">
      <c r="A211" t="s">
        <v>728</v>
      </c>
      <c r="B211">
        <v>90.509699999999995</v>
      </c>
      <c r="C211">
        <v>3.16559E-4</v>
      </c>
    </row>
    <row r="212" spans="1:3" x14ac:dyDescent="0.15">
      <c r="A212" t="s">
        <v>728</v>
      </c>
      <c r="B212">
        <v>128</v>
      </c>
      <c r="C212">
        <v>1.8139799999999999E-4</v>
      </c>
    </row>
    <row r="213" spans="1:3" x14ac:dyDescent="0.15">
      <c r="A213" t="s">
        <v>728</v>
      </c>
      <c r="B213">
        <v>181.01929999999999</v>
      </c>
      <c r="C213">
        <v>7.9201000000000003E-5</v>
      </c>
    </row>
    <row r="214" spans="1:3" x14ac:dyDescent="0.15">
      <c r="A214" t="s">
        <v>728</v>
      </c>
      <c r="B214">
        <v>256</v>
      </c>
      <c r="C214">
        <v>1.2081E-5</v>
      </c>
    </row>
    <row r="215" spans="1:3" x14ac:dyDescent="0.15">
      <c r="A215" t="s">
        <v>728</v>
      </c>
      <c r="B215">
        <v>362.03870000000001</v>
      </c>
      <c r="C215">
        <v>2.2499999999999999E-7</v>
      </c>
    </row>
    <row r="216" spans="1:3" x14ac:dyDescent="0.15">
      <c r="A216" t="s">
        <v>728</v>
      </c>
      <c r="B216">
        <v>512</v>
      </c>
      <c r="C216">
        <v>0</v>
      </c>
    </row>
    <row r="217" spans="1:3" x14ac:dyDescent="0.15">
      <c r="A217" t="s">
        <v>728</v>
      </c>
      <c r="B217">
        <v>724.07730000000004</v>
      </c>
      <c r="C217">
        <v>0</v>
      </c>
    </row>
    <row r="218" spans="1:3" x14ac:dyDescent="0.15">
      <c r="A218" t="s">
        <v>729</v>
      </c>
      <c r="B218">
        <v>2</v>
      </c>
      <c r="C218">
        <v>4.3487000000000002E-4</v>
      </c>
    </row>
    <row r="219" spans="1:3" x14ac:dyDescent="0.15">
      <c r="A219" t="s">
        <v>729</v>
      </c>
      <c r="B219">
        <v>2.8283999999999998</v>
      </c>
      <c r="C219">
        <v>5.79091E-4</v>
      </c>
    </row>
    <row r="220" spans="1:3" x14ac:dyDescent="0.15">
      <c r="A220" t="s">
        <v>729</v>
      </c>
      <c r="B220">
        <v>4</v>
      </c>
      <c r="C220">
        <v>7.3897399999999999E-4</v>
      </c>
    </row>
    <row r="221" spans="1:3" x14ac:dyDescent="0.15">
      <c r="A221" t="s">
        <v>729</v>
      </c>
      <c r="B221">
        <v>5.6569000000000003</v>
      </c>
      <c r="C221">
        <v>8.0128399999999998E-4</v>
      </c>
    </row>
    <row r="222" spans="1:3" x14ac:dyDescent="0.15">
      <c r="A222" t="s">
        <v>729</v>
      </c>
      <c r="B222">
        <v>8</v>
      </c>
      <c r="C222">
        <v>7.2475000000000003E-4</v>
      </c>
    </row>
    <row r="223" spans="1:3" x14ac:dyDescent="0.15">
      <c r="A223" t="s">
        <v>729</v>
      </c>
      <c r="B223">
        <v>11.313700000000001</v>
      </c>
      <c r="C223">
        <v>5.3877199999999997E-4</v>
      </c>
    </row>
    <row r="224" spans="1:3" x14ac:dyDescent="0.15">
      <c r="A224" t="s">
        <v>729</v>
      </c>
      <c r="B224">
        <v>16</v>
      </c>
      <c r="C224">
        <v>3.97086E-4</v>
      </c>
    </row>
    <row r="225" spans="1:3" x14ac:dyDescent="0.15">
      <c r="A225" t="s">
        <v>729</v>
      </c>
      <c r="B225">
        <v>22.627400000000002</v>
      </c>
      <c r="C225">
        <v>3.4878900000000001E-4</v>
      </c>
    </row>
    <row r="226" spans="1:3" x14ac:dyDescent="0.15">
      <c r="A226" t="s">
        <v>729</v>
      </c>
      <c r="B226">
        <v>32</v>
      </c>
      <c r="C226">
        <v>3.4226200000000002E-4</v>
      </c>
    </row>
    <row r="227" spans="1:3" x14ac:dyDescent="0.15">
      <c r="A227" t="s">
        <v>729</v>
      </c>
      <c r="B227">
        <v>45.254800000000003</v>
      </c>
      <c r="C227">
        <v>3.94194E-4</v>
      </c>
    </row>
    <row r="228" spans="1:3" x14ac:dyDescent="0.15">
      <c r="A228" t="s">
        <v>729</v>
      </c>
      <c r="B228">
        <v>64</v>
      </c>
      <c r="C228">
        <v>3.8678300000000003E-4</v>
      </c>
    </row>
    <row r="229" spans="1:3" x14ac:dyDescent="0.15">
      <c r="A229" t="s">
        <v>729</v>
      </c>
      <c r="B229">
        <v>90.509699999999995</v>
      </c>
      <c r="C229">
        <v>2.3696000000000001E-4</v>
      </c>
    </row>
    <row r="230" spans="1:3" x14ac:dyDescent="0.15">
      <c r="A230" t="s">
        <v>729</v>
      </c>
      <c r="B230">
        <v>128</v>
      </c>
      <c r="C230">
        <v>1.26425E-4</v>
      </c>
    </row>
    <row r="231" spans="1:3" x14ac:dyDescent="0.15">
      <c r="A231" t="s">
        <v>729</v>
      </c>
      <c r="B231">
        <v>181.01929999999999</v>
      </c>
      <c r="C231">
        <v>5.9855000000000002E-5</v>
      </c>
    </row>
    <row r="232" spans="1:3" x14ac:dyDescent="0.15">
      <c r="A232" t="s">
        <v>729</v>
      </c>
      <c r="B232">
        <v>256</v>
      </c>
      <c r="C232">
        <v>9.1740000000000006E-6</v>
      </c>
    </row>
    <row r="233" spans="1:3" x14ac:dyDescent="0.15">
      <c r="A233" t="s">
        <v>729</v>
      </c>
      <c r="B233">
        <v>362.03870000000001</v>
      </c>
      <c r="C233">
        <v>1.7100000000000001E-7</v>
      </c>
    </row>
    <row r="234" spans="1:3" x14ac:dyDescent="0.15">
      <c r="A234" t="s">
        <v>729</v>
      </c>
      <c r="B234">
        <v>512</v>
      </c>
      <c r="C234">
        <v>0</v>
      </c>
    </row>
    <row r="235" spans="1:3" x14ac:dyDescent="0.15">
      <c r="A235" t="s">
        <v>729</v>
      </c>
      <c r="B235">
        <v>724.07730000000004</v>
      </c>
      <c r="C235">
        <v>0</v>
      </c>
    </row>
    <row r="236" spans="1:3" x14ac:dyDescent="0.15">
      <c r="A236" t="s">
        <v>730</v>
      </c>
      <c r="B236">
        <v>2</v>
      </c>
      <c r="C236">
        <v>1.22276E-3</v>
      </c>
    </row>
    <row r="237" spans="1:3" x14ac:dyDescent="0.15">
      <c r="A237" t="s">
        <v>730</v>
      </c>
      <c r="B237">
        <v>2.8283999999999998</v>
      </c>
      <c r="C237">
        <v>1.442907E-3</v>
      </c>
    </row>
    <row r="238" spans="1:3" x14ac:dyDescent="0.15">
      <c r="A238" t="s">
        <v>730</v>
      </c>
      <c r="B238">
        <v>4</v>
      </c>
      <c r="C238">
        <v>1.4866230000000001E-3</v>
      </c>
    </row>
    <row r="239" spans="1:3" x14ac:dyDescent="0.15">
      <c r="A239" t="s">
        <v>730</v>
      </c>
      <c r="B239">
        <v>5.6569000000000003</v>
      </c>
      <c r="C239">
        <v>1.334174E-3</v>
      </c>
    </row>
    <row r="240" spans="1:3" x14ac:dyDescent="0.15">
      <c r="A240" t="s">
        <v>730</v>
      </c>
      <c r="B240">
        <v>8</v>
      </c>
      <c r="C240">
        <v>1.117116E-3</v>
      </c>
    </row>
    <row r="241" spans="1:3" x14ac:dyDescent="0.15">
      <c r="A241" t="s">
        <v>730</v>
      </c>
      <c r="B241">
        <v>11.313700000000001</v>
      </c>
      <c r="C241">
        <v>9.8910699999999992E-4</v>
      </c>
    </row>
    <row r="242" spans="1:3" x14ac:dyDescent="0.15">
      <c r="A242" t="s">
        <v>730</v>
      </c>
      <c r="B242">
        <v>16</v>
      </c>
      <c r="C242">
        <v>9.60694E-4</v>
      </c>
    </row>
    <row r="243" spans="1:3" x14ac:dyDescent="0.15">
      <c r="A243" t="s">
        <v>730</v>
      </c>
      <c r="B243">
        <v>22.627400000000002</v>
      </c>
      <c r="C243">
        <v>9.3786E-4</v>
      </c>
    </row>
    <row r="244" spans="1:3" x14ac:dyDescent="0.15">
      <c r="A244" t="s">
        <v>730</v>
      </c>
      <c r="B244">
        <v>32</v>
      </c>
      <c r="C244">
        <v>8.4164400000000001E-4</v>
      </c>
    </row>
    <row r="245" spans="1:3" x14ac:dyDescent="0.15">
      <c r="A245" t="s">
        <v>730</v>
      </c>
      <c r="B245">
        <v>45.254800000000003</v>
      </c>
      <c r="C245">
        <v>5.6816500000000003E-4</v>
      </c>
    </row>
    <row r="246" spans="1:3" x14ac:dyDescent="0.15">
      <c r="A246" t="s">
        <v>730</v>
      </c>
      <c r="B246">
        <v>64</v>
      </c>
      <c r="C246">
        <v>2.1858199999999999E-4</v>
      </c>
    </row>
    <row r="247" spans="1:3" x14ac:dyDescent="0.15">
      <c r="A247" t="s">
        <v>730</v>
      </c>
      <c r="B247">
        <v>90.509699999999995</v>
      </c>
      <c r="C247">
        <v>3.9317000000000003E-5</v>
      </c>
    </row>
    <row r="248" spans="1:3" x14ac:dyDescent="0.15">
      <c r="A248" t="s">
        <v>730</v>
      </c>
      <c r="B248">
        <v>128</v>
      </c>
      <c r="C248">
        <v>1.5614999999999999E-5</v>
      </c>
    </row>
    <row r="249" spans="1:3" x14ac:dyDescent="0.15">
      <c r="A249" t="s">
        <v>730</v>
      </c>
      <c r="B249">
        <v>181.01929999999999</v>
      </c>
      <c r="C249">
        <v>9.1460000000000002E-6</v>
      </c>
    </row>
    <row r="250" spans="1:3" x14ac:dyDescent="0.15">
      <c r="A250" t="s">
        <v>730</v>
      </c>
      <c r="B250">
        <v>256</v>
      </c>
      <c r="C250">
        <v>1.4139999999999999E-6</v>
      </c>
    </row>
    <row r="251" spans="1:3" x14ac:dyDescent="0.15">
      <c r="A251" t="s">
        <v>730</v>
      </c>
      <c r="B251">
        <v>362.03870000000001</v>
      </c>
      <c r="C251">
        <v>2.6000000000000001E-8</v>
      </c>
    </row>
    <row r="252" spans="1:3" x14ac:dyDescent="0.15">
      <c r="A252" t="s">
        <v>730</v>
      </c>
      <c r="B252">
        <v>512</v>
      </c>
      <c r="C252">
        <v>0</v>
      </c>
    </row>
    <row r="253" spans="1:3" x14ac:dyDescent="0.15">
      <c r="A253" t="s">
        <v>730</v>
      </c>
      <c r="B253">
        <v>724.07730000000004</v>
      </c>
      <c r="C253">
        <v>0</v>
      </c>
    </row>
    <row r="254" spans="1:3" x14ac:dyDescent="0.15">
      <c r="A254" t="s">
        <v>731</v>
      </c>
      <c r="B254">
        <v>2</v>
      </c>
      <c r="C254">
        <v>1.429409E-3</v>
      </c>
    </row>
    <row r="255" spans="1:3" x14ac:dyDescent="0.15">
      <c r="A255" t="s">
        <v>731</v>
      </c>
      <c r="B255">
        <v>2.8283999999999998</v>
      </c>
      <c r="C255">
        <v>1.172759E-3</v>
      </c>
    </row>
    <row r="256" spans="1:3" x14ac:dyDescent="0.15">
      <c r="A256" t="s">
        <v>731</v>
      </c>
      <c r="B256">
        <v>4</v>
      </c>
      <c r="C256">
        <v>1.014624E-3</v>
      </c>
    </row>
    <row r="257" spans="1:3" x14ac:dyDescent="0.15">
      <c r="A257" t="s">
        <v>731</v>
      </c>
      <c r="B257">
        <v>5.6569000000000003</v>
      </c>
      <c r="C257">
        <v>8.4736100000000003E-4</v>
      </c>
    </row>
    <row r="258" spans="1:3" x14ac:dyDescent="0.15">
      <c r="A258" t="s">
        <v>731</v>
      </c>
      <c r="B258">
        <v>8</v>
      </c>
      <c r="C258">
        <v>7.4229199999999997E-4</v>
      </c>
    </row>
    <row r="259" spans="1:3" x14ac:dyDescent="0.15">
      <c r="A259" t="s">
        <v>731</v>
      </c>
      <c r="B259">
        <v>11.313700000000001</v>
      </c>
      <c r="C259">
        <v>7.0302099999999996E-4</v>
      </c>
    </row>
    <row r="260" spans="1:3" x14ac:dyDescent="0.15">
      <c r="A260" t="s">
        <v>731</v>
      </c>
      <c r="B260">
        <v>16</v>
      </c>
      <c r="C260">
        <v>6.6449599999999999E-4</v>
      </c>
    </row>
    <row r="261" spans="1:3" x14ac:dyDescent="0.15">
      <c r="A261" t="s">
        <v>731</v>
      </c>
      <c r="B261">
        <v>22.627400000000002</v>
      </c>
      <c r="C261">
        <v>8.5886100000000004E-4</v>
      </c>
    </row>
    <row r="262" spans="1:3" x14ac:dyDescent="0.15">
      <c r="A262" t="s">
        <v>731</v>
      </c>
      <c r="B262">
        <v>32</v>
      </c>
      <c r="C262">
        <v>1.1888249999999999E-3</v>
      </c>
    </row>
    <row r="263" spans="1:3" x14ac:dyDescent="0.15">
      <c r="A263" t="s">
        <v>731</v>
      </c>
      <c r="B263">
        <v>45.254800000000003</v>
      </c>
      <c r="C263">
        <v>1.3888660000000001E-3</v>
      </c>
    </row>
    <row r="264" spans="1:3" x14ac:dyDescent="0.15">
      <c r="A264" t="s">
        <v>731</v>
      </c>
      <c r="B264">
        <v>64</v>
      </c>
      <c r="C264">
        <v>1.117729E-3</v>
      </c>
    </row>
    <row r="265" spans="1:3" x14ac:dyDescent="0.15">
      <c r="A265" t="s">
        <v>731</v>
      </c>
      <c r="B265">
        <v>90.509699999999995</v>
      </c>
      <c r="C265">
        <v>5.30848E-4</v>
      </c>
    </row>
    <row r="266" spans="1:3" x14ac:dyDescent="0.15">
      <c r="A266" t="s">
        <v>731</v>
      </c>
      <c r="B266">
        <v>128</v>
      </c>
      <c r="C266">
        <v>3.2434500000000003E-4</v>
      </c>
    </row>
    <row r="267" spans="1:3" x14ac:dyDescent="0.15">
      <c r="A267" t="s">
        <v>731</v>
      </c>
      <c r="B267">
        <v>181.01929999999999</v>
      </c>
      <c r="C267">
        <v>1.6958000000000001E-4</v>
      </c>
    </row>
    <row r="268" spans="1:3" x14ac:dyDescent="0.15">
      <c r="A268" t="s">
        <v>731</v>
      </c>
      <c r="B268">
        <v>256</v>
      </c>
      <c r="C268">
        <v>2.6081E-5</v>
      </c>
    </row>
    <row r="269" spans="1:3" x14ac:dyDescent="0.15">
      <c r="A269" t="s">
        <v>731</v>
      </c>
      <c r="B269">
        <v>362.03870000000001</v>
      </c>
      <c r="C269">
        <v>4.8599999999999998E-7</v>
      </c>
    </row>
    <row r="270" spans="1:3" x14ac:dyDescent="0.15">
      <c r="A270" t="s">
        <v>731</v>
      </c>
      <c r="B270">
        <v>512</v>
      </c>
      <c r="C270">
        <v>0</v>
      </c>
    </row>
    <row r="271" spans="1:3" x14ac:dyDescent="0.15">
      <c r="A271" t="s">
        <v>731</v>
      </c>
      <c r="B271">
        <v>724.07730000000004</v>
      </c>
      <c r="C271">
        <v>0</v>
      </c>
    </row>
    <row r="272" spans="1:3" x14ac:dyDescent="0.15">
      <c r="A272" t="s">
        <v>732</v>
      </c>
      <c r="B272">
        <v>2</v>
      </c>
      <c r="C272">
        <v>8.5021599999999999E-4</v>
      </c>
    </row>
    <row r="273" spans="1:3" x14ac:dyDescent="0.15">
      <c r="A273" t="s">
        <v>732</v>
      </c>
      <c r="B273">
        <v>2.8283999999999998</v>
      </c>
      <c r="C273">
        <v>9.6019900000000001E-4</v>
      </c>
    </row>
    <row r="274" spans="1:3" x14ac:dyDescent="0.15">
      <c r="A274" t="s">
        <v>732</v>
      </c>
      <c r="B274">
        <v>4</v>
      </c>
      <c r="C274">
        <v>1.0039160000000001E-3</v>
      </c>
    </row>
    <row r="275" spans="1:3" x14ac:dyDescent="0.15">
      <c r="A275" t="s">
        <v>732</v>
      </c>
      <c r="B275">
        <v>5.6569000000000003</v>
      </c>
      <c r="C275">
        <v>9.4979899999999998E-4</v>
      </c>
    </row>
    <row r="276" spans="1:3" x14ac:dyDescent="0.15">
      <c r="A276" t="s">
        <v>732</v>
      </c>
      <c r="B276">
        <v>8</v>
      </c>
      <c r="C276">
        <v>8.6475799999999998E-4</v>
      </c>
    </row>
    <row r="277" spans="1:3" x14ac:dyDescent="0.15">
      <c r="A277" t="s">
        <v>732</v>
      </c>
      <c r="B277">
        <v>11.313700000000001</v>
      </c>
      <c r="C277">
        <v>8.1388800000000002E-4</v>
      </c>
    </row>
    <row r="278" spans="1:3" x14ac:dyDescent="0.15">
      <c r="A278" t="s">
        <v>732</v>
      </c>
      <c r="B278">
        <v>16</v>
      </c>
      <c r="C278">
        <v>7.6776700000000004E-4</v>
      </c>
    </row>
    <row r="279" spans="1:3" x14ac:dyDescent="0.15">
      <c r="A279" t="s">
        <v>732</v>
      </c>
      <c r="B279">
        <v>22.627400000000002</v>
      </c>
      <c r="C279">
        <v>6.8969599999999995E-4</v>
      </c>
    </row>
    <row r="280" spans="1:3" x14ac:dyDescent="0.15">
      <c r="A280" t="s">
        <v>732</v>
      </c>
      <c r="B280">
        <v>32</v>
      </c>
      <c r="C280">
        <v>6.2207400000000002E-4</v>
      </c>
    </row>
    <row r="281" spans="1:3" x14ac:dyDescent="0.15">
      <c r="A281" t="s">
        <v>732</v>
      </c>
      <c r="B281">
        <v>45.254800000000003</v>
      </c>
      <c r="C281">
        <v>5.3260299999999998E-4</v>
      </c>
    </row>
    <row r="282" spans="1:3" x14ac:dyDescent="0.15">
      <c r="A282" t="s">
        <v>732</v>
      </c>
      <c r="B282">
        <v>64</v>
      </c>
      <c r="C282">
        <v>3.8319800000000001E-4</v>
      </c>
    </row>
    <row r="283" spans="1:3" x14ac:dyDescent="0.15">
      <c r="A283" t="s">
        <v>732</v>
      </c>
      <c r="B283">
        <v>90.509699999999995</v>
      </c>
      <c r="C283">
        <v>2.4547499999999999E-4</v>
      </c>
    </row>
    <row r="284" spans="1:3" x14ac:dyDescent="0.15">
      <c r="A284" t="s">
        <v>732</v>
      </c>
      <c r="B284">
        <v>128</v>
      </c>
      <c r="C284">
        <v>1.7814099999999999E-4</v>
      </c>
    </row>
    <row r="285" spans="1:3" x14ac:dyDescent="0.15">
      <c r="A285" t="s">
        <v>732</v>
      </c>
      <c r="B285">
        <v>181.01929999999999</v>
      </c>
      <c r="C285">
        <v>8.6755000000000005E-5</v>
      </c>
    </row>
    <row r="286" spans="1:3" x14ac:dyDescent="0.15">
      <c r="A286" t="s">
        <v>732</v>
      </c>
      <c r="B286">
        <v>256</v>
      </c>
      <c r="C286">
        <v>1.327E-5</v>
      </c>
    </row>
    <row r="287" spans="1:3" x14ac:dyDescent="0.15">
      <c r="A287" t="s">
        <v>732</v>
      </c>
      <c r="B287">
        <v>362.03870000000001</v>
      </c>
      <c r="C287">
        <v>2.4699999999999998E-7</v>
      </c>
    </row>
    <row r="288" spans="1:3" x14ac:dyDescent="0.15">
      <c r="A288" t="s">
        <v>732</v>
      </c>
      <c r="B288">
        <v>512</v>
      </c>
      <c r="C288">
        <v>0</v>
      </c>
    </row>
    <row r="289" spans="1:3" x14ac:dyDescent="0.15">
      <c r="A289" t="s">
        <v>732</v>
      </c>
      <c r="B289">
        <v>724.07730000000004</v>
      </c>
      <c r="C289">
        <v>0</v>
      </c>
    </row>
    <row r="290" spans="1:3" x14ac:dyDescent="0.15">
      <c r="A290" t="s">
        <v>733</v>
      </c>
      <c r="B290">
        <v>2</v>
      </c>
      <c r="C290">
        <v>9.7311299999999995E-4</v>
      </c>
    </row>
    <row r="291" spans="1:3" x14ac:dyDescent="0.15">
      <c r="A291" t="s">
        <v>733</v>
      </c>
      <c r="B291">
        <v>2.8283999999999998</v>
      </c>
      <c r="C291">
        <v>1.237546E-3</v>
      </c>
    </row>
    <row r="292" spans="1:3" x14ac:dyDescent="0.15">
      <c r="A292" t="s">
        <v>733</v>
      </c>
      <c r="B292">
        <v>4</v>
      </c>
      <c r="C292">
        <v>1.352919E-3</v>
      </c>
    </row>
    <row r="293" spans="1:3" x14ac:dyDescent="0.15">
      <c r="A293" t="s">
        <v>733</v>
      </c>
      <c r="B293">
        <v>5.6569000000000003</v>
      </c>
      <c r="C293">
        <v>1.237089E-3</v>
      </c>
    </row>
    <row r="294" spans="1:3" x14ac:dyDescent="0.15">
      <c r="A294" t="s">
        <v>733</v>
      </c>
      <c r="B294">
        <v>8</v>
      </c>
      <c r="C294">
        <v>9.4769600000000004E-4</v>
      </c>
    </row>
    <row r="295" spans="1:3" x14ac:dyDescent="0.15">
      <c r="A295" t="s">
        <v>733</v>
      </c>
      <c r="B295">
        <v>11.313700000000001</v>
      </c>
      <c r="C295">
        <v>6.8939700000000001E-4</v>
      </c>
    </row>
    <row r="296" spans="1:3" x14ac:dyDescent="0.15">
      <c r="A296" t="s">
        <v>733</v>
      </c>
      <c r="B296">
        <v>16</v>
      </c>
      <c r="C296">
        <v>4.7376999999999999E-4</v>
      </c>
    </row>
    <row r="297" spans="1:3" x14ac:dyDescent="0.15">
      <c r="A297" t="s">
        <v>733</v>
      </c>
      <c r="B297">
        <v>22.627400000000002</v>
      </c>
      <c r="C297">
        <v>3.1132300000000001E-4</v>
      </c>
    </row>
    <row r="298" spans="1:3" x14ac:dyDescent="0.15">
      <c r="A298" t="s">
        <v>733</v>
      </c>
      <c r="B298">
        <v>32</v>
      </c>
      <c r="C298">
        <v>3.5154199999999999E-4</v>
      </c>
    </row>
    <row r="299" spans="1:3" x14ac:dyDescent="0.15">
      <c r="A299" t="s">
        <v>733</v>
      </c>
      <c r="B299">
        <v>45.254800000000003</v>
      </c>
      <c r="C299">
        <v>5.37982E-4</v>
      </c>
    </row>
    <row r="300" spans="1:3" x14ac:dyDescent="0.15">
      <c r="A300" t="s">
        <v>733</v>
      </c>
      <c r="B300">
        <v>64</v>
      </c>
      <c r="C300">
        <v>6.9050000000000003E-4</v>
      </c>
    </row>
    <row r="301" spans="1:3" x14ac:dyDescent="0.15">
      <c r="A301" t="s">
        <v>733</v>
      </c>
      <c r="B301">
        <v>90.509699999999995</v>
      </c>
      <c r="C301">
        <v>6.1269299999999998E-4</v>
      </c>
    </row>
    <row r="302" spans="1:3" x14ac:dyDescent="0.15">
      <c r="A302" t="s">
        <v>733</v>
      </c>
      <c r="B302">
        <v>128</v>
      </c>
      <c r="C302">
        <v>4.1016799999999998E-4</v>
      </c>
    </row>
    <row r="303" spans="1:3" x14ac:dyDescent="0.15">
      <c r="A303" t="s">
        <v>733</v>
      </c>
      <c r="B303">
        <v>181.01929999999999</v>
      </c>
      <c r="C303">
        <v>1.88061E-4</v>
      </c>
    </row>
    <row r="304" spans="1:3" x14ac:dyDescent="0.15">
      <c r="A304" t="s">
        <v>733</v>
      </c>
      <c r="B304">
        <v>256</v>
      </c>
      <c r="C304">
        <v>2.8717999999999998E-5</v>
      </c>
    </row>
    <row r="305" spans="1:3" x14ac:dyDescent="0.15">
      <c r="A305" t="s">
        <v>733</v>
      </c>
      <c r="B305">
        <v>362.03870000000001</v>
      </c>
      <c r="C305">
        <v>5.3499999999999996E-7</v>
      </c>
    </row>
    <row r="306" spans="1:3" x14ac:dyDescent="0.15">
      <c r="A306" t="s">
        <v>733</v>
      </c>
      <c r="B306">
        <v>512</v>
      </c>
      <c r="C306">
        <v>0</v>
      </c>
    </row>
    <row r="307" spans="1:3" x14ac:dyDescent="0.15">
      <c r="A307" t="s">
        <v>733</v>
      </c>
      <c r="B307">
        <v>724.07730000000004</v>
      </c>
      <c r="C307">
        <v>0</v>
      </c>
    </row>
    <row r="308" spans="1:3" x14ac:dyDescent="0.15">
      <c r="A308" t="s">
        <v>734</v>
      </c>
      <c r="B308">
        <v>2</v>
      </c>
      <c r="C308">
        <v>5.4490599999999995E-4</v>
      </c>
    </row>
    <row r="309" spans="1:3" x14ac:dyDescent="0.15">
      <c r="A309" t="s">
        <v>734</v>
      </c>
      <c r="B309">
        <v>2.8283999999999998</v>
      </c>
      <c r="C309">
        <v>6.6262999999999999E-4</v>
      </c>
    </row>
    <row r="310" spans="1:3" x14ac:dyDescent="0.15">
      <c r="A310" t="s">
        <v>734</v>
      </c>
      <c r="B310">
        <v>4</v>
      </c>
      <c r="C310">
        <v>7.67262E-4</v>
      </c>
    </row>
    <row r="311" spans="1:3" x14ac:dyDescent="0.15">
      <c r="A311" t="s">
        <v>734</v>
      </c>
      <c r="B311">
        <v>5.6569000000000003</v>
      </c>
      <c r="C311">
        <v>7.7114499999999999E-4</v>
      </c>
    </row>
    <row r="312" spans="1:3" x14ac:dyDescent="0.15">
      <c r="A312" t="s">
        <v>734</v>
      </c>
      <c r="B312">
        <v>8</v>
      </c>
      <c r="C312">
        <v>7.6663199999999995E-4</v>
      </c>
    </row>
    <row r="313" spans="1:3" x14ac:dyDescent="0.15">
      <c r="A313" t="s">
        <v>734</v>
      </c>
      <c r="B313">
        <v>11.313700000000001</v>
      </c>
      <c r="C313">
        <v>7.6950100000000002E-4</v>
      </c>
    </row>
    <row r="314" spans="1:3" x14ac:dyDescent="0.15">
      <c r="A314" t="s">
        <v>734</v>
      </c>
      <c r="B314">
        <v>16</v>
      </c>
      <c r="C314">
        <v>6.6823999999999996E-4</v>
      </c>
    </row>
    <row r="315" spans="1:3" x14ac:dyDescent="0.15">
      <c r="A315" t="s">
        <v>734</v>
      </c>
      <c r="B315">
        <v>22.627400000000002</v>
      </c>
      <c r="C315">
        <v>4.9783599999999998E-4</v>
      </c>
    </row>
    <row r="316" spans="1:3" x14ac:dyDescent="0.15">
      <c r="A316" t="s">
        <v>734</v>
      </c>
      <c r="B316">
        <v>32</v>
      </c>
      <c r="C316">
        <v>4.23738E-4</v>
      </c>
    </row>
    <row r="317" spans="1:3" x14ac:dyDescent="0.15">
      <c r="A317" t="s">
        <v>734</v>
      </c>
      <c r="B317">
        <v>45.254800000000003</v>
      </c>
      <c r="C317">
        <v>4.05404E-4</v>
      </c>
    </row>
    <row r="318" spans="1:3" x14ac:dyDescent="0.15">
      <c r="A318" t="s">
        <v>734</v>
      </c>
      <c r="B318">
        <v>64</v>
      </c>
      <c r="C318">
        <v>3.0416999999999998E-4</v>
      </c>
    </row>
    <row r="319" spans="1:3" x14ac:dyDescent="0.15">
      <c r="A319" t="s">
        <v>734</v>
      </c>
      <c r="B319">
        <v>90.509699999999995</v>
      </c>
      <c r="C319">
        <v>1.4484E-4</v>
      </c>
    </row>
    <row r="320" spans="1:3" x14ac:dyDescent="0.15">
      <c r="A320" t="s">
        <v>734</v>
      </c>
      <c r="B320">
        <v>128</v>
      </c>
      <c r="C320">
        <v>9.5122000000000002E-5</v>
      </c>
    </row>
    <row r="321" spans="1:3" x14ac:dyDescent="0.15">
      <c r="A321" t="s">
        <v>734</v>
      </c>
      <c r="B321">
        <v>181.01929999999999</v>
      </c>
      <c r="C321">
        <v>4.8961000000000001E-5</v>
      </c>
    </row>
    <row r="322" spans="1:3" x14ac:dyDescent="0.15">
      <c r="A322" t="s">
        <v>734</v>
      </c>
      <c r="B322">
        <v>256</v>
      </c>
      <c r="C322">
        <v>7.5270000000000001E-6</v>
      </c>
    </row>
    <row r="323" spans="1:3" x14ac:dyDescent="0.15">
      <c r="A323" t="s">
        <v>734</v>
      </c>
      <c r="B323">
        <v>362.03870000000001</v>
      </c>
      <c r="C323">
        <v>1.4000000000000001E-7</v>
      </c>
    </row>
    <row r="324" spans="1:3" x14ac:dyDescent="0.15">
      <c r="A324" t="s">
        <v>734</v>
      </c>
      <c r="B324">
        <v>512</v>
      </c>
      <c r="C324">
        <v>0</v>
      </c>
    </row>
    <row r="325" spans="1:3" x14ac:dyDescent="0.15">
      <c r="A325" t="s">
        <v>734</v>
      </c>
      <c r="B325">
        <v>724.07730000000004</v>
      </c>
      <c r="C325">
        <v>0</v>
      </c>
    </row>
    <row r="326" spans="1:3" x14ac:dyDescent="0.15">
      <c r="A326" t="s">
        <v>735</v>
      </c>
      <c r="B326">
        <v>2</v>
      </c>
      <c r="C326">
        <v>8.9159999999999999E-4</v>
      </c>
    </row>
    <row r="327" spans="1:3" x14ac:dyDescent="0.15">
      <c r="A327" t="s">
        <v>735</v>
      </c>
      <c r="B327">
        <v>2.8283999999999998</v>
      </c>
      <c r="C327">
        <v>1.0703380000000001E-3</v>
      </c>
    </row>
    <row r="328" spans="1:3" x14ac:dyDescent="0.15">
      <c r="A328" t="s">
        <v>735</v>
      </c>
      <c r="B328">
        <v>4</v>
      </c>
      <c r="C328">
        <v>1.1449909999999999E-3</v>
      </c>
    </row>
    <row r="329" spans="1:3" x14ac:dyDescent="0.15">
      <c r="A329" t="s">
        <v>735</v>
      </c>
      <c r="B329">
        <v>5.6569000000000003</v>
      </c>
      <c r="C329">
        <v>1.0636549999999999E-3</v>
      </c>
    </row>
    <row r="330" spans="1:3" x14ac:dyDescent="0.15">
      <c r="A330" t="s">
        <v>735</v>
      </c>
      <c r="B330">
        <v>8</v>
      </c>
      <c r="C330">
        <v>9.3657099999999997E-4</v>
      </c>
    </row>
    <row r="331" spans="1:3" x14ac:dyDescent="0.15">
      <c r="A331" t="s">
        <v>735</v>
      </c>
      <c r="B331">
        <v>11.313700000000001</v>
      </c>
      <c r="C331">
        <v>8.7218300000000001E-4</v>
      </c>
    </row>
    <row r="332" spans="1:3" x14ac:dyDescent="0.15">
      <c r="A332" t="s">
        <v>735</v>
      </c>
      <c r="B332">
        <v>16</v>
      </c>
      <c r="C332">
        <v>8.25744E-4</v>
      </c>
    </row>
    <row r="333" spans="1:3" x14ac:dyDescent="0.15">
      <c r="A333" t="s">
        <v>735</v>
      </c>
      <c r="B333">
        <v>22.627400000000002</v>
      </c>
      <c r="C333">
        <v>7.6511099999999996E-4</v>
      </c>
    </row>
    <row r="334" spans="1:3" x14ac:dyDescent="0.15">
      <c r="A334" t="s">
        <v>735</v>
      </c>
      <c r="B334">
        <v>32</v>
      </c>
      <c r="C334">
        <v>6.2669600000000005E-4</v>
      </c>
    </row>
    <row r="335" spans="1:3" x14ac:dyDescent="0.15">
      <c r="A335" t="s">
        <v>735</v>
      </c>
      <c r="B335">
        <v>45.254800000000003</v>
      </c>
      <c r="C335">
        <v>3.9335800000000001E-4</v>
      </c>
    </row>
    <row r="336" spans="1:3" x14ac:dyDescent="0.15">
      <c r="A336" t="s">
        <v>735</v>
      </c>
      <c r="B336">
        <v>64</v>
      </c>
      <c r="C336">
        <v>2.5892599999999998E-4</v>
      </c>
    </row>
    <row r="337" spans="1:3" x14ac:dyDescent="0.15">
      <c r="A337" t="s">
        <v>735</v>
      </c>
      <c r="B337">
        <v>90.509699999999995</v>
      </c>
      <c r="C337">
        <v>1.26895E-4</v>
      </c>
    </row>
    <row r="338" spans="1:3" x14ac:dyDescent="0.15">
      <c r="A338" t="s">
        <v>735</v>
      </c>
      <c r="B338">
        <v>128</v>
      </c>
      <c r="C338">
        <v>1.9589000000000002E-5</v>
      </c>
    </row>
    <row r="339" spans="1:3" x14ac:dyDescent="0.15">
      <c r="A339" t="s">
        <v>735</v>
      </c>
      <c r="B339">
        <v>181.01929999999999</v>
      </c>
      <c r="C339">
        <v>3.6600000000000002E-7</v>
      </c>
    </row>
    <row r="340" spans="1:3" x14ac:dyDescent="0.15">
      <c r="A340" t="s">
        <v>735</v>
      </c>
      <c r="B340">
        <v>256</v>
      </c>
      <c r="C340">
        <v>0</v>
      </c>
    </row>
    <row r="341" spans="1:3" x14ac:dyDescent="0.15">
      <c r="A341" t="s">
        <v>735</v>
      </c>
      <c r="B341">
        <v>362.03870000000001</v>
      </c>
      <c r="C341">
        <v>0</v>
      </c>
    </row>
    <row r="342" spans="1:3" x14ac:dyDescent="0.15">
      <c r="A342" t="s">
        <v>735</v>
      </c>
      <c r="B342">
        <v>512</v>
      </c>
      <c r="C342">
        <v>0</v>
      </c>
    </row>
    <row r="343" spans="1:3" x14ac:dyDescent="0.15">
      <c r="A343" t="s">
        <v>735</v>
      </c>
      <c r="B343">
        <v>724.07730000000004</v>
      </c>
      <c r="C343">
        <v>0</v>
      </c>
    </row>
    <row r="344" spans="1:3" x14ac:dyDescent="0.15">
      <c r="A344" t="s">
        <v>736</v>
      </c>
      <c r="B344">
        <v>2</v>
      </c>
      <c r="C344">
        <v>7.3444700000000005E-4</v>
      </c>
    </row>
    <row r="345" spans="1:3" x14ac:dyDescent="0.15">
      <c r="A345" t="s">
        <v>736</v>
      </c>
      <c r="B345">
        <v>2.8283999999999998</v>
      </c>
      <c r="C345">
        <v>9.1920599999999999E-4</v>
      </c>
    </row>
    <row r="346" spans="1:3" x14ac:dyDescent="0.15">
      <c r="A346" t="s">
        <v>736</v>
      </c>
      <c r="B346">
        <v>4</v>
      </c>
      <c r="C346">
        <v>9.95096E-4</v>
      </c>
    </row>
    <row r="347" spans="1:3" x14ac:dyDescent="0.15">
      <c r="A347" t="s">
        <v>736</v>
      </c>
      <c r="B347">
        <v>5.6569000000000003</v>
      </c>
      <c r="C347">
        <v>9.6095800000000004E-4</v>
      </c>
    </row>
    <row r="348" spans="1:3" x14ac:dyDescent="0.15">
      <c r="A348" t="s">
        <v>736</v>
      </c>
      <c r="B348">
        <v>8</v>
      </c>
      <c r="C348">
        <v>9.5064300000000004E-4</v>
      </c>
    </row>
    <row r="349" spans="1:3" x14ac:dyDescent="0.15">
      <c r="A349" t="s">
        <v>736</v>
      </c>
      <c r="B349">
        <v>11.313700000000001</v>
      </c>
      <c r="C349">
        <v>9.5835199999999999E-4</v>
      </c>
    </row>
    <row r="350" spans="1:3" x14ac:dyDescent="0.15">
      <c r="A350" t="s">
        <v>736</v>
      </c>
      <c r="B350">
        <v>16</v>
      </c>
      <c r="C350">
        <v>9.0688200000000002E-4</v>
      </c>
    </row>
    <row r="351" spans="1:3" x14ac:dyDescent="0.15">
      <c r="A351" t="s">
        <v>736</v>
      </c>
      <c r="B351">
        <v>22.627400000000002</v>
      </c>
      <c r="C351">
        <v>7.32977E-4</v>
      </c>
    </row>
    <row r="352" spans="1:3" x14ac:dyDescent="0.15">
      <c r="A352" t="s">
        <v>736</v>
      </c>
      <c r="B352">
        <v>32</v>
      </c>
      <c r="C352">
        <v>5.65918E-4</v>
      </c>
    </row>
    <row r="353" spans="1:3" x14ac:dyDescent="0.15">
      <c r="A353" t="s">
        <v>736</v>
      </c>
      <c r="B353">
        <v>45.254800000000003</v>
      </c>
      <c r="C353">
        <v>4.6889700000000002E-4</v>
      </c>
    </row>
    <row r="354" spans="1:3" x14ac:dyDescent="0.15">
      <c r="A354" t="s">
        <v>736</v>
      </c>
      <c r="B354">
        <v>64</v>
      </c>
      <c r="C354">
        <v>3.4765499999999999E-4</v>
      </c>
    </row>
    <row r="355" spans="1:3" x14ac:dyDescent="0.15">
      <c r="A355" t="s">
        <v>736</v>
      </c>
      <c r="B355">
        <v>90.509699999999995</v>
      </c>
      <c r="C355">
        <v>2.6046199999999999E-4</v>
      </c>
    </row>
    <row r="356" spans="1:3" x14ac:dyDescent="0.15">
      <c r="A356" t="s">
        <v>736</v>
      </c>
      <c r="B356">
        <v>128</v>
      </c>
      <c r="C356">
        <v>2.0731999999999999E-4</v>
      </c>
    </row>
    <row r="357" spans="1:3" x14ac:dyDescent="0.15">
      <c r="A357" t="s">
        <v>736</v>
      </c>
      <c r="B357">
        <v>181.01929999999999</v>
      </c>
      <c r="C357">
        <v>1.0257899999999999E-4</v>
      </c>
    </row>
    <row r="358" spans="1:3" x14ac:dyDescent="0.15">
      <c r="A358" t="s">
        <v>736</v>
      </c>
      <c r="B358">
        <v>256</v>
      </c>
      <c r="C358">
        <v>1.5722999999999998E-5</v>
      </c>
    </row>
    <row r="359" spans="1:3" x14ac:dyDescent="0.15">
      <c r="A359" t="s">
        <v>736</v>
      </c>
      <c r="B359">
        <v>362.03870000000001</v>
      </c>
      <c r="C359">
        <v>2.9299999999999999E-7</v>
      </c>
    </row>
    <row r="360" spans="1:3" x14ac:dyDescent="0.15">
      <c r="A360" t="s">
        <v>736</v>
      </c>
      <c r="B360">
        <v>512</v>
      </c>
      <c r="C360">
        <v>0</v>
      </c>
    </row>
    <row r="361" spans="1:3" x14ac:dyDescent="0.15">
      <c r="A361" t="s">
        <v>736</v>
      </c>
      <c r="B361">
        <v>724.07730000000004</v>
      </c>
      <c r="C361">
        <v>0</v>
      </c>
    </row>
    <row r="362" spans="1:3" x14ac:dyDescent="0.15">
      <c r="A362" t="s">
        <v>737</v>
      </c>
      <c r="B362">
        <v>2</v>
      </c>
      <c r="C362">
        <v>1.2694749999999999E-3</v>
      </c>
    </row>
    <row r="363" spans="1:3" x14ac:dyDescent="0.15">
      <c r="A363" t="s">
        <v>737</v>
      </c>
      <c r="B363">
        <v>2.8283999999999998</v>
      </c>
      <c r="C363">
        <v>1.609758E-3</v>
      </c>
    </row>
    <row r="364" spans="1:3" x14ac:dyDescent="0.15">
      <c r="A364" t="s">
        <v>737</v>
      </c>
      <c r="B364">
        <v>4</v>
      </c>
      <c r="C364">
        <v>1.7763130000000001E-3</v>
      </c>
    </row>
    <row r="365" spans="1:3" x14ac:dyDescent="0.15">
      <c r="A365" t="s">
        <v>737</v>
      </c>
      <c r="B365">
        <v>5.6569000000000003</v>
      </c>
      <c r="C365">
        <v>1.7098689999999999E-3</v>
      </c>
    </row>
    <row r="366" spans="1:3" x14ac:dyDescent="0.15">
      <c r="A366" t="s">
        <v>737</v>
      </c>
      <c r="B366">
        <v>8</v>
      </c>
      <c r="C366">
        <v>1.4968939999999999E-3</v>
      </c>
    </row>
    <row r="367" spans="1:3" x14ac:dyDescent="0.15">
      <c r="A367" t="s">
        <v>737</v>
      </c>
      <c r="B367">
        <v>11.313700000000001</v>
      </c>
      <c r="C367">
        <v>1.2498990000000001E-3</v>
      </c>
    </row>
    <row r="368" spans="1:3" x14ac:dyDescent="0.15">
      <c r="A368" t="s">
        <v>737</v>
      </c>
      <c r="B368">
        <v>16</v>
      </c>
      <c r="C368">
        <v>1.041756E-3</v>
      </c>
    </row>
    <row r="369" spans="1:3" x14ac:dyDescent="0.15">
      <c r="A369" t="s">
        <v>737</v>
      </c>
      <c r="B369">
        <v>22.627400000000002</v>
      </c>
      <c r="C369">
        <v>8.6043999999999997E-4</v>
      </c>
    </row>
    <row r="370" spans="1:3" x14ac:dyDescent="0.15">
      <c r="A370" t="s">
        <v>737</v>
      </c>
      <c r="B370">
        <v>32</v>
      </c>
      <c r="C370">
        <v>8.88702E-4</v>
      </c>
    </row>
    <row r="371" spans="1:3" x14ac:dyDescent="0.15">
      <c r="A371" t="s">
        <v>737</v>
      </c>
      <c r="B371">
        <v>45.254800000000003</v>
      </c>
      <c r="C371">
        <v>8.2682899999999995E-4</v>
      </c>
    </row>
    <row r="372" spans="1:3" x14ac:dyDescent="0.15">
      <c r="A372" t="s">
        <v>737</v>
      </c>
      <c r="B372">
        <v>64</v>
      </c>
      <c r="C372">
        <v>5.1791700000000001E-4</v>
      </c>
    </row>
    <row r="373" spans="1:3" x14ac:dyDescent="0.15">
      <c r="A373" t="s">
        <v>737</v>
      </c>
      <c r="B373">
        <v>90.509699999999995</v>
      </c>
      <c r="C373">
        <v>3.2507899999999998E-4</v>
      </c>
    </row>
    <row r="374" spans="1:3" x14ac:dyDescent="0.15">
      <c r="A374" t="s">
        <v>737</v>
      </c>
      <c r="B374">
        <v>128</v>
      </c>
      <c r="C374">
        <v>1.93258E-4</v>
      </c>
    </row>
    <row r="375" spans="1:3" x14ac:dyDescent="0.15">
      <c r="A375" t="s">
        <v>737</v>
      </c>
      <c r="B375">
        <v>181.01929999999999</v>
      </c>
      <c r="C375">
        <v>8.5991999999999999E-5</v>
      </c>
    </row>
    <row r="376" spans="1:3" x14ac:dyDescent="0.15">
      <c r="A376" t="s">
        <v>737</v>
      </c>
      <c r="B376">
        <v>256</v>
      </c>
      <c r="C376">
        <v>1.3145999999999999E-5</v>
      </c>
    </row>
    <row r="377" spans="1:3" x14ac:dyDescent="0.15">
      <c r="A377" t="s">
        <v>737</v>
      </c>
      <c r="B377">
        <v>362.03870000000001</v>
      </c>
      <c r="C377">
        <v>2.4499999999999998E-7</v>
      </c>
    </row>
    <row r="378" spans="1:3" x14ac:dyDescent="0.15">
      <c r="A378" t="s">
        <v>737</v>
      </c>
      <c r="B378">
        <v>512</v>
      </c>
      <c r="C378">
        <v>0</v>
      </c>
    </row>
    <row r="379" spans="1:3" x14ac:dyDescent="0.15">
      <c r="A379" t="s">
        <v>737</v>
      </c>
      <c r="B379">
        <v>724.07730000000004</v>
      </c>
      <c r="C379">
        <v>0</v>
      </c>
    </row>
    <row r="380" spans="1:3" x14ac:dyDescent="0.15">
      <c r="A380" t="s">
        <v>738</v>
      </c>
      <c r="B380">
        <v>2</v>
      </c>
      <c r="C380">
        <v>4.0910099999999999E-4</v>
      </c>
    </row>
    <row r="381" spans="1:3" x14ac:dyDescent="0.15">
      <c r="A381" t="s">
        <v>738</v>
      </c>
      <c r="B381">
        <v>2.8283999999999998</v>
      </c>
      <c r="C381">
        <v>4.6967500000000002E-4</v>
      </c>
    </row>
    <row r="382" spans="1:3" x14ac:dyDescent="0.15">
      <c r="A382" t="s">
        <v>738</v>
      </c>
      <c r="B382">
        <v>4</v>
      </c>
      <c r="C382">
        <v>5.4663800000000001E-4</v>
      </c>
    </row>
    <row r="383" spans="1:3" x14ac:dyDescent="0.15">
      <c r="A383" t="s">
        <v>738</v>
      </c>
      <c r="B383">
        <v>5.6569000000000003</v>
      </c>
      <c r="C383">
        <v>5.9414099999999996E-4</v>
      </c>
    </row>
    <row r="384" spans="1:3" x14ac:dyDescent="0.15">
      <c r="A384" t="s">
        <v>738</v>
      </c>
      <c r="B384">
        <v>8</v>
      </c>
      <c r="C384">
        <v>5.8923799999999996E-4</v>
      </c>
    </row>
    <row r="385" spans="1:3" x14ac:dyDescent="0.15">
      <c r="A385" t="s">
        <v>738</v>
      </c>
      <c r="B385">
        <v>11.313700000000001</v>
      </c>
      <c r="C385">
        <v>5.3255900000000005E-4</v>
      </c>
    </row>
    <row r="386" spans="1:3" x14ac:dyDescent="0.15">
      <c r="A386" t="s">
        <v>738</v>
      </c>
      <c r="B386">
        <v>16</v>
      </c>
      <c r="C386">
        <v>4.3661699999999998E-4</v>
      </c>
    </row>
    <row r="387" spans="1:3" x14ac:dyDescent="0.15">
      <c r="A387" t="s">
        <v>738</v>
      </c>
      <c r="B387">
        <v>22.627400000000002</v>
      </c>
      <c r="C387">
        <v>3.3270499999999998E-4</v>
      </c>
    </row>
    <row r="388" spans="1:3" x14ac:dyDescent="0.15">
      <c r="A388" t="s">
        <v>738</v>
      </c>
      <c r="B388">
        <v>32</v>
      </c>
      <c r="C388">
        <v>2.3381000000000001E-4</v>
      </c>
    </row>
    <row r="389" spans="1:3" x14ac:dyDescent="0.15">
      <c r="A389" t="s">
        <v>738</v>
      </c>
      <c r="B389">
        <v>45.254800000000003</v>
      </c>
      <c r="C389">
        <v>1.79073E-4</v>
      </c>
    </row>
    <row r="390" spans="1:3" x14ac:dyDescent="0.15">
      <c r="A390" t="s">
        <v>738</v>
      </c>
      <c r="B390">
        <v>64</v>
      </c>
      <c r="C390">
        <v>1.78021E-4</v>
      </c>
    </row>
    <row r="391" spans="1:3" x14ac:dyDescent="0.15">
      <c r="A391" t="s">
        <v>738</v>
      </c>
      <c r="B391">
        <v>90.509699999999995</v>
      </c>
      <c r="C391">
        <v>2.4164E-4</v>
      </c>
    </row>
    <row r="392" spans="1:3" x14ac:dyDescent="0.15">
      <c r="A392" t="s">
        <v>738</v>
      </c>
      <c r="B392">
        <v>128</v>
      </c>
      <c r="C392">
        <v>2.4279299999999999E-4</v>
      </c>
    </row>
    <row r="393" spans="1:3" x14ac:dyDescent="0.15">
      <c r="A393" t="s">
        <v>738</v>
      </c>
      <c r="B393">
        <v>181.01929999999999</v>
      </c>
      <c r="C393">
        <v>1.2218600000000001E-4</v>
      </c>
    </row>
    <row r="394" spans="1:3" x14ac:dyDescent="0.15">
      <c r="A394" t="s">
        <v>738</v>
      </c>
      <c r="B394">
        <v>256</v>
      </c>
      <c r="C394">
        <v>1.8723999999999999E-5</v>
      </c>
    </row>
    <row r="395" spans="1:3" x14ac:dyDescent="0.15">
      <c r="A395" t="s">
        <v>738</v>
      </c>
      <c r="B395">
        <v>362.03870000000001</v>
      </c>
      <c r="C395">
        <v>3.4900000000000001E-7</v>
      </c>
    </row>
    <row r="396" spans="1:3" x14ac:dyDescent="0.15">
      <c r="A396" t="s">
        <v>738</v>
      </c>
      <c r="B396">
        <v>512</v>
      </c>
      <c r="C396">
        <v>0</v>
      </c>
    </row>
    <row r="397" spans="1:3" x14ac:dyDescent="0.15">
      <c r="A397" t="s">
        <v>738</v>
      </c>
      <c r="B397">
        <v>724.07730000000004</v>
      </c>
      <c r="C397">
        <v>0</v>
      </c>
    </row>
    <row r="398" spans="1:3" x14ac:dyDescent="0.15">
      <c r="A398" t="s">
        <v>739</v>
      </c>
      <c r="B398">
        <v>2</v>
      </c>
      <c r="C398">
        <v>4.7366500000000001E-4</v>
      </c>
    </row>
    <row r="399" spans="1:3" x14ac:dyDescent="0.15">
      <c r="A399" t="s">
        <v>739</v>
      </c>
      <c r="B399">
        <v>2.8283999999999998</v>
      </c>
      <c r="C399">
        <v>5.5392899999999999E-4</v>
      </c>
    </row>
    <row r="400" spans="1:3" x14ac:dyDescent="0.15">
      <c r="A400" t="s">
        <v>739</v>
      </c>
      <c r="B400">
        <v>4</v>
      </c>
      <c r="C400">
        <v>6.6398E-4</v>
      </c>
    </row>
    <row r="401" spans="1:3" x14ac:dyDescent="0.15">
      <c r="A401" t="s">
        <v>739</v>
      </c>
      <c r="B401">
        <v>5.6569000000000003</v>
      </c>
      <c r="C401">
        <v>7.1761500000000001E-4</v>
      </c>
    </row>
    <row r="402" spans="1:3" x14ac:dyDescent="0.15">
      <c r="A402" t="s">
        <v>739</v>
      </c>
      <c r="B402">
        <v>8</v>
      </c>
      <c r="C402">
        <v>6.6483199999999997E-4</v>
      </c>
    </row>
    <row r="403" spans="1:3" x14ac:dyDescent="0.15">
      <c r="A403" t="s">
        <v>739</v>
      </c>
      <c r="B403">
        <v>11.313700000000001</v>
      </c>
      <c r="C403">
        <v>5.4250700000000002E-4</v>
      </c>
    </row>
    <row r="404" spans="1:3" x14ac:dyDescent="0.15">
      <c r="A404" t="s">
        <v>739</v>
      </c>
      <c r="B404">
        <v>16</v>
      </c>
      <c r="C404">
        <v>4.3214300000000001E-4</v>
      </c>
    </row>
    <row r="405" spans="1:3" x14ac:dyDescent="0.15">
      <c r="A405" t="s">
        <v>739</v>
      </c>
      <c r="B405">
        <v>22.627400000000002</v>
      </c>
      <c r="C405">
        <v>3.31305E-4</v>
      </c>
    </row>
    <row r="406" spans="1:3" x14ac:dyDescent="0.15">
      <c r="A406" t="s">
        <v>739</v>
      </c>
      <c r="B406">
        <v>32</v>
      </c>
      <c r="C406">
        <v>2.3332999999999999E-4</v>
      </c>
    </row>
    <row r="407" spans="1:3" x14ac:dyDescent="0.15">
      <c r="A407" t="s">
        <v>739</v>
      </c>
      <c r="B407">
        <v>45.254800000000003</v>
      </c>
      <c r="C407">
        <v>1.95121E-4</v>
      </c>
    </row>
    <row r="408" spans="1:3" x14ac:dyDescent="0.15">
      <c r="A408" t="s">
        <v>739</v>
      </c>
      <c r="B408">
        <v>64</v>
      </c>
      <c r="C408">
        <v>2.8349499999999998E-4</v>
      </c>
    </row>
    <row r="409" spans="1:3" x14ac:dyDescent="0.15">
      <c r="A409" t="s">
        <v>739</v>
      </c>
      <c r="B409">
        <v>90.509699999999995</v>
      </c>
      <c r="C409">
        <v>4.12965E-4</v>
      </c>
    </row>
    <row r="410" spans="1:3" x14ac:dyDescent="0.15">
      <c r="A410" t="s">
        <v>739</v>
      </c>
      <c r="B410">
        <v>128</v>
      </c>
      <c r="C410">
        <v>4.1861300000000003E-4</v>
      </c>
    </row>
    <row r="411" spans="1:3" x14ac:dyDescent="0.15">
      <c r="A411" t="s">
        <v>739</v>
      </c>
      <c r="B411">
        <v>181.01929999999999</v>
      </c>
      <c r="C411">
        <v>2.1371899999999999E-4</v>
      </c>
    </row>
    <row r="412" spans="1:3" x14ac:dyDescent="0.15">
      <c r="A412" t="s">
        <v>739</v>
      </c>
      <c r="B412">
        <v>256</v>
      </c>
      <c r="C412">
        <v>3.2956000000000001E-5</v>
      </c>
    </row>
    <row r="413" spans="1:3" x14ac:dyDescent="0.15">
      <c r="A413" t="s">
        <v>739</v>
      </c>
      <c r="B413">
        <v>362.03870000000001</v>
      </c>
      <c r="C413">
        <v>6.1500000000000004E-7</v>
      </c>
    </row>
    <row r="414" spans="1:3" x14ac:dyDescent="0.15">
      <c r="A414" t="s">
        <v>739</v>
      </c>
      <c r="B414">
        <v>512</v>
      </c>
      <c r="C414">
        <v>0</v>
      </c>
    </row>
    <row r="415" spans="1:3" x14ac:dyDescent="0.15">
      <c r="A415" t="s">
        <v>739</v>
      </c>
      <c r="B415">
        <v>724.07730000000004</v>
      </c>
      <c r="C415">
        <v>0</v>
      </c>
    </row>
    <row r="416" spans="1:3" x14ac:dyDescent="0.15">
      <c r="A416" t="s">
        <v>740</v>
      </c>
      <c r="B416">
        <v>2</v>
      </c>
      <c r="C416">
        <v>7.9994099999999998E-4</v>
      </c>
    </row>
    <row r="417" spans="1:3" x14ac:dyDescent="0.15">
      <c r="A417" t="s">
        <v>740</v>
      </c>
      <c r="B417">
        <v>2.8283999999999998</v>
      </c>
      <c r="C417">
        <v>1.0821349999999999E-3</v>
      </c>
    </row>
    <row r="418" spans="1:3" x14ac:dyDescent="0.15">
      <c r="A418" t="s">
        <v>740</v>
      </c>
      <c r="B418">
        <v>4</v>
      </c>
      <c r="C418">
        <v>1.2449830000000001E-3</v>
      </c>
    </row>
    <row r="419" spans="1:3" x14ac:dyDescent="0.15">
      <c r="A419" t="s">
        <v>740</v>
      </c>
      <c r="B419">
        <v>5.6569000000000003</v>
      </c>
      <c r="C419">
        <v>9.9520399999999997E-4</v>
      </c>
    </row>
    <row r="420" spans="1:3" x14ac:dyDescent="0.15">
      <c r="A420" t="s">
        <v>740</v>
      </c>
      <c r="B420">
        <v>8</v>
      </c>
      <c r="C420">
        <v>7.1163599999999997E-4</v>
      </c>
    </row>
    <row r="421" spans="1:3" x14ac:dyDescent="0.15">
      <c r="A421" t="s">
        <v>740</v>
      </c>
      <c r="B421">
        <v>11.313700000000001</v>
      </c>
      <c r="C421">
        <v>6.03226E-4</v>
      </c>
    </row>
    <row r="422" spans="1:3" x14ac:dyDescent="0.15">
      <c r="A422" t="s">
        <v>740</v>
      </c>
      <c r="B422">
        <v>16</v>
      </c>
      <c r="C422">
        <v>5.9078199999999998E-4</v>
      </c>
    </row>
    <row r="423" spans="1:3" x14ac:dyDescent="0.15">
      <c r="A423" t="s">
        <v>740</v>
      </c>
      <c r="B423">
        <v>22.627400000000002</v>
      </c>
      <c r="C423">
        <v>6.43419E-4</v>
      </c>
    </row>
    <row r="424" spans="1:3" x14ac:dyDescent="0.15">
      <c r="A424" t="s">
        <v>740</v>
      </c>
      <c r="B424">
        <v>32</v>
      </c>
      <c r="C424">
        <v>7.3307400000000001E-4</v>
      </c>
    </row>
    <row r="425" spans="1:3" x14ac:dyDescent="0.15">
      <c r="A425" t="s">
        <v>740</v>
      </c>
      <c r="B425">
        <v>45.254800000000003</v>
      </c>
      <c r="C425">
        <v>9.3827899999999998E-4</v>
      </c>
    </row>
    <row r="426" spans="1:3" x14ac:dyDescent="0.15">
      <c r="A426" t="s">
        <v>740</v>
      </c>
      <c r="B426">
        <v>64</v>
      </c>
      <c r="C426">
        <v>1.1948919999999999E-3</v>
      </c>
    </row>
    <row r="427" spans="1:3" x14ac:dyDescent="0.15">
      <c r="A427" t="s">
        <v>740</v>
      </c>
      <c r="B427">
        <v>90.509699999999995</v>
      </c>
      <c r="C427">
        <v>1.459225E-3</v>
      </c>
    </row>
    <row r="428" spans="1:3" x14ac:dyDescent="0.15">
      <c r="A428" t="s">
        <v>740</v>
      </c>
      <c r="B428">
        <v>128</v>
      </c>
      <c r="C428">
        <v>1.4149469999999999E-3</v>
      </c>
    </row>
    <row r="429" spans="1:3" x14ac:dyDescent="0.15">
      <c r="A429" t="s">
        <v>740</v>
      </c>
      <c r="B429">
        <v>181.01929999999999</v>
      </c>
      <c r="C429">
        <v>7.1801999999999999E-4</v>
      </c>
    </row>
    <row r="430" spans="1:3" x14ac:dyDescent="0.15">
      <c r="A430" t="s">
        <v>740</v>
      </c>
      <c r="B430">
        <v>256</v>
      </c>
      <c r="C430">
        <v>1.10606E-4</v>
      </c>
    </row>
    <row r="431" spans="1:3" x14ac:dyDescent="0.15">
      <c r="A431" t="s">
        <v>740</v>
      </c>
      <c r="B431">
        <v>362.03870000000001</v>
      </c>
      <c r="C431">
        <v>2.063E-6</v>
      </c>
    </row>
    <row r="432" spans="1:3" x14ac:dyDescent="0.15">
      <c r="A432" t="s">
        <v>740</v>
      </c>
      <c r="B432">
        <v>512</v>
      </c>
      <c r="C432">
        <v>0</v>
      </c>
    </row>
    <row r="433" spans="1:3" x14ac:dyDescent="0.15">
      <c r="A433" t="s">
        <v>740</v>
      </c>
      <c r="B433">
        <v>724.07730000000004</v>
      </c>
      <c r="C433">
        <v>0</v>
      </c>
    </row>
    <row r="434" spans="1:3" x14ac:dyDescent="0.15">
      <c r="A434" t="s">
        <v>741</v>
      </c>
      <c r="B434">
        <v>2</v>
      </c>
      <c r="C434">
        <v>7.3696700000000005E-4</v>
      </c>
    </row>
    <row r="435" spans="1:3" x14ac:dyDescent="0.15">
      <c r="A435" t="s">
        <v>741</v>
      </c>
      <c r="B435">
        <v>2.8283999999999998</v>
      </c>
      <c r="C435">
        <v>8.9112100000000004E-4</v>
      </c>
    </row>
    <row r="436" spans="1:3" x14ac:dyDescent="0.15">
      <c r="A436" t="s">
        <v>741</v>
      </c>
      <c r="B436">
        <v>4</v>
      </c>
      <c r="C436">
        <v>1.0605219999999999E-3</v>
      </c>
    </row>
    <row r="437" spans="1:3" x14ac:dyDescent="0.15">
      <c r="A437" t="s">
        <v>741</v>
      </c>
      <c r="B437">
        <v>5.6569000000000003</v>
      </c>
      <c r="C437">
        <v>1.132381E-3</v>
      </c>
    </row>
    <row r="438" spans="1:3" x14ac:dyDescent="0.15">
      <c r="A438" t="s">
        <v>741</v>
      </c>
      <c r="B438">
        <v>8</v>
      </c>
      <c r="C438">
        <v>1.083514E-3</v>
      </c>
    </row>
    <row r="439" spans="1:3" x14ac:dyDescent="0.15">
      <c r="A439" t="s">
        <v>741</v>
      </c>
      <c r="B439">
        <v>11.313700000000001</v>
      </c>
      <c r="C439">
        <v>9.1369200000000002E-4</v>
      </c>
    </row>
    <row r="440" spans="1:3" x14ac:dyDescent="0.15">
      <c r="A440" t="s">
        <v>741</v>
      </c>
      <c r="B440">
        <v>16</v>
      </c>
      <c r="C440">
        <v>6.5527700000000001E-4</v>
      </c>
    </row>
    <row r="441" spans="1:3" x14ac:dyDescent="0.15">
      <c r="A441" t="s">
        <v>741</v>
      </c>
      <c r="B441">
        <v>22.627400000000002</v>
      </c>
      <c r="C441">
        <v>4.5521599999999999E-4</v>
      </c>
    </row>
    <row r="442" spans="1:3" x14ac:dyDescent="0.15">
      <c r="A442" t="s">
        <v>741</v>
      </c>
      <c r="B442">
        <v>32</v>
      </c>
      <c r="C442">
        <v>3.5254299999999998E-4</v>
      </c>
    </row>
    <row r="443" spans="1:3" x14ac:dyDescent="0.15">
      <c r="A443" t="s">
        <v>741</v>
      </c>
      <c r="B443">
        <v>45.254800000000003</v>
      </c>
      <c r="C443">
        <v>2.8607200000000001E-4</v>
      </c>
    </row>
    <row r="444" spans="1:3" x14ac:dyDescent="0.15">
      <c r="A444" t="s">
        <v>741</v>
      </c>
      <c r="B444">
        <v>64</v>
      </c>
      <c r="C444">
        <v>2.2242200000000001E-4</v>
      </c>
    </row>
    <row r="445" spans="1:3" x14ac:dyDescent="0.15">
      <c r="A445" t="s">
        <v>741</v>
      </c>
      <c r="B445">
        <v>90.509699999999995</v>
      </c>
      <c r="C445">
        <v>1.69319E-4</v>
      </c>
    </row>
    <row r="446" spans="1:3" x14ac:dyDescent="0.15">
      <c r="A446" t="s">
        <v>741</v>
      </c>
      <c r="B446">
        <v>128</v>
      </c>
      <c r="C446">
        <v>1.34177E-4</v>
      </c>
    </row>
    <row r="447" spans="1:3" x14ac:dyDescent="0.15">
      <c r="A447" t="s">
        <v>741</v>
      </c>
      <c r="B447">
        <v>181.01929999999999</v>
      </c>
      <c r="C447">
        <v>6.6230999999999997E-5</v>
      </c>
    </row>
    <row r="448" spans="1:3" x14ac:dyDescent="0.15">
      <c r="A448" t="s">
        <v>741</v>
      </c>
      <c r="B448">
        <v>256</v>
      </c>
      <c r="C448">
        <v>1.0137E-5</v>
      </c>
    </row>
    <row r="449" spans="1:3" x14ac:dyDescent="0.15">
      <c r="A449" t="s">
        <v>741</v>
      </c>
      <c r="B449">
        <v>362.03870000000001</v>
      </c>
      <c r="C449">
        <v>1.8900000000000001E-7</v>
      </c>
    </row>
    <row r="450" spans="1:3" x14ac:dyDescent="0.15">
      <c r="A450" t="s">
        <v>741</v>
      </c>
      <c r="B450">
        <v>512</v>
      </c>
      <c r="C450">
        <v>0</v>
      </c>
    </row>
    <row r="451" spans="1:3" x14ac:dyDescent="0.15">
      <c r="A451" t="s">
        <v>741</v>
      </c>
      <c r="B451">
        <v>724.07730000000004</v>
      </c>
      <c r="C451">
        <v>0</v>
      </c>
    </row>
    <row r="452" spans="1:3" x14ac:dyDescent="0.15">
      <c r="A452" t="s">
        <v>742</v>
      </c>
      <c r="B452">
        <v>2</v>
      </c>
      <c r="C452">
        <v>1.0952640000000001E-3</v>
      </c>
    </row>
    <row r="453" spans="1:3" x14ac:dyDescent="0.15">
      <c r="A453" t="s">
        <v>742</v>
      </c>
      <c r="B453">
        <v>2.8283999999999998</v>
      </c>
      <c r="C453">
        <v>1.3694379999999999E-3</v>
      </c>
    </row>
    <row r="454" spans="1:3" x14ac:dyDescent="0.15">
      <c r="A454" t="s">
        <v>742</v>
      </c>
      <c r="B454">
        <v>4</v>
      </c>
      <c r="C454">
        <v>1.5398219999999999E-3</v>
      </c>
    </row>
    <row r="455" spans="1:3" x14ac:dyDescent="0.15">
      <c r="A455" t="s">
        <v>742</v>
      </c>
      <c r="B455">
        <v>5.6569000000000003</v>
      </c>
      <c r="C455">
        <v>1.4936070000000001E-3</v>
      </c>
    </row>
    <row r="456" spans="1:3" x14ac:dyDescent="0.15">
      <c r="A456" t="s">
        <v>742</v>
      </c>
      <c r="B456">
        <v>8</v>
      </c>
      <c r="C456">
        <v>1.240274E-3</v>
      </c>
    </row>
    <row r="457" spans="1:3" x14ac:dyDescent="0.15">
      <c r="A457" t="s">
        <v>742</v>
      </c>
      <c r="B457">
        <v>11.313700000000001</v>
      </c>
      <c r="C457">
        <v>1.0307999999999999E-3</v>
      </c>
    </row>
    <row r="458" spans="1:3" x14ac:dyDescent="0.15">
      <c r="A458" t="s">
        <v>742</v>
      </c>
      <c r="B458">
        <v>16</v>
      </c>
      <c r="C458">
        <v>1.0140889999999999E-3</v>
      </c>
    </row>
    <row r="459" spans="1:3" x14ac:dyDescent="0.15">
      <c r="A459" t="s">
        <v>742</v>
      </c>
      <c r="B459">
        <v>22.627400000000002</v>
      </c>
      <c r="C459">
        <v>8.9860999999999999E-4</v>
      </c>
    </row>
    <row r="460" spans="1:3" x14ac:dyDescent="0.15">
      <c r="A460" t="s">
        <v>742</v>
      </c>
      <c r="B460">
        <v>32</v>
      </c>
      <c r="C460">
        <v>6.5884299999999999E-4</v>
      </c>
    </row>
    <row r="461" spans="1:3" x14ac:dyDescent="0.15">
      <c r="A461" t="s">
        <v>742</v>
      </c>
      <c r="B461">
        <v>45.254800000000003</v>
      </c>
      <c r="C461">
        <v>5.2634299999999997E-4</v>
      </c>
    </row>
    <row r="462" spans="1:3" x14ac:dyDescent="0.15">
      <c r="A462" t="s">
        <v>742</v>
      </c>
      <c r="B462">
        <v>64</v>
      </c>
      <c r="C462">
        <v>2.65882E-4</v>
      </c>
    </row>
    <row r="463" spans="1:3" x14ac:dyDescent="0.15">
      <c r="A463" t="s">
        <v>742</v>
      </c>
      <c r="B463">
        <v>90.509699999999995</v>
      </c>
      <c r="C463">
        <v>5.4685000000000002E-5</v>
      </c>
    </row>
    <row r="464" spans="1:3" x14ac:dyDescent="0.15">
      <c r="A464" t="s">
        <v>742</v>
      </c>
      <c r="B464">
        <v>128</v>
      </c>
      <c r="C464">
        <v>2.2344000000000002E-5</v>
      </c>
    </row>
    <row r="465" spans="1:3" x14ac:dyDescent="0.15">
      <c r="A465" t="s">
        <v>742</v>
      </c>
      <c r="B465">
        <v>181.01929999999999</v>
      </c>
      <c r="C465">
        <v>1.2901000000000001E-5</v>
      </c>
    </row>
    <row r="466" spans="1:3" x14ac:dyDescent="0.15">
      <c r="A466" t="s">
        <v>742</v>
      </c>
      <c r="B466">
        <v>256</v>
      </c>
      <c r="C466">
        <v>1.9750000000000001E-6</v>
      </c>
    </row>
    <row r="467" spans="1:3" x14ac:dyDescent="0.15">
      <c r="A467" t="s">
        <v>742</v>
      </c>
      <c r="B467">
        <v>362.03870000000001</v>
      </c>
      <c r="C467">
        <v>3.7E-8</v>
      </c>
    </row>
    <row r="468" spans="1:3" x14ac:dyDescent="0.15">
      <c r="A468" t="s">
        <v>742</v>
      </c>
      <c r="B468">
        <v>512</v>
      </c>
      <c r="C468">
        <v>0</v>
      </c>
    </row>
    <row r="469" spans="1:3" x14ac:dyDescent="0.15">
      <c r="A469" t="s">
        <v>742</v>
      </c>
      <c r="B469">
        <v>724.07730000000004</v>
      </c>
      <c r="C469">
        <v>0</v>
      </c>
    </row>
    <row r="470" spans="1:3" x14ac:dyDescent="0.15">
      <c r="A470" t="s">
        <v>743</v>
      </c>
      <c r="B470">
        <v>2</v>
      </c>
      <c r="C470">
        <v>1.039564E-3</v>
      </c>
    </row>
    <row r="471" spans="1:3" x14ac:dyDescent="0.15">
      <c r="A471" t="s">
        <v>743</v>
      </c>
      <c r="B471">
        <v>2.8283999999999998</v>
      </c>
      <c r="C471">
        <v>1.310858E-3</v>
      </c>
    </row>
    <row r="472" spans="1:3" x14ac:dyDescent="0.15">
      <c r="A472" t="s">
        <v>743</v>
      </c>
      <c r="B472">
        <v>4</v>
      </c>
      <c r="C472">
        <v>1.455722E-3</v>
      </c>
    </row>
    <row r="473" spans="1:3" x14ac:dyDescent="0.15">
      <c r="A473" t="s">
        <v>743</v>
      </c>
      <c r="B473">
        <v>5.6569000000000003</v>
      </c>
      <c r="C473">
        <v>1.3893899999999999E-3</v>
      </c>
    </row>
    <row r="474" spans="1:3" x14ac:dyDescent="0.15">
      <c r="A474" t="s">
        <v>743</v>
      </c>
      <c r="B474">
        <v>8</v>
      </c>
      <c r="C474">
        <v>1.3291360000000001E-3</v>
      </c>
    </row>
    <row r="475" spans="1:3" x14ac:dyDescent="0.15">
      <c r="A475" t="s">
        <v>743</v>
      </c>
      <c r="B475">
        <v>11.313700000000001</v>
      </c>
      <c r="C475">
        <v>1.361817E-3</v>
      </c>
    </row>
    <row r="476" spans="1:3" x14ac:dyDescent="0.15">
      <c r="A476" t="s">
        <v>743</v>
      </c>
      <c r="B476">
        <v>16</v>
      </c>
      <c r="C476">
        <v>1.2714689999999999E-3</v>
      </c>
    </row>
    <row r="477" spans="1:3" x14ac:dyDescent="0.15">
      <c r="A477" t="s">
        <v>743</v>
      </c>
      <c r="B477">
        <v>22.627400000000002</v>
      </c>
      <c r="C477">
        <v>9.7503800000000001E-4</v>
      </c>
    </row>
    <row r="478" spans="1:3" x14ac:dyDescent="0.15">
      <c r="A478" t="s">
        <v>743</v>
      </c>
      <c r="B478">
        <v>32</v>
      </c>
      <c r="C478">
        <v>8.1861599999999998E-4</v>
      </c>
    </row>
    <row r="479" spans="1:3" x14ac:dyDescent="0.15">
      <c r="A479" t="s">
        <v>743</v>
      </c>
      <c r="B479">
        <v>45.254800000000003</v>
      </c>
      <c r="C479">
        <v>7.8266000000000002E-4</v>
      </c>
    </row>
    <row r="480" spans="1:3" x14ac:dyDescent="0.15">
      <c r="A480" t="s">
        <v>743</v>
      </c>
      <c r="B480">
        <v>64</v>
      </c>
      <c r="C480">
        <v>5.1232700000000003E-4</v>
      </c>
    </row>
    <row r="481" spans="1:3" x14ac:dyDescent="0.15">
      <c r="A481" t="s">
        <v>743</v>
      </c>
      <c r="B481">
        <v>90.509699999999995</v>
      </c>
      <c r="C481">
        <v>2.5171299999999998E-4</v>
      </c>
    </row>
    <row r="482" spans="1:3" x14ac:dyDescent="0.15">
      <c r="A482" t="s">
        <v>743</v>
      </c>
      <c r="B482">
        <v>128</v>
      </c>
      <c r="C482">
        <v>1.7484900000000001E-4</v>
      </c>
    </row>
    <row r="483" spans="1:3" x14ac:dyDescent="0.15">
      <c r="A483" t="s">
        <v>743</v>
      </c>
      <c r="B483">
        <v>181.01929999999999</v>
      </c>
      <c r="C483">
        <v>8.6608999999999997E-5</v>
      </c>
    </row>
    <row r="484" spans="1:3" x14ac:dyDescent="0.15">
      <c r="A484" t="s">
        <v>743</v>
      </c>
      <c r="B484">
        <v>256</v>
      </c>
      <c r="C484">
        <v>1.3360000000000001E-5</v>
      </c>
    </row>
    <row r="485" spans="1:3" x14ac:dyDescent="0.15">
      <c r="A485" t="s">
        <v>743</v>
      </c>
      <c r="B485">
        <v>362.03870000000001</v>
      </c>
      <c r="C485">
        <v>2.4900000000000002E-7</v>
      </c>
    </row>
    <row r="486" spans="1:3" x14ac:dyDescent="0.15">
      <c r="A486" t="s">
        <v>743</v>
      </c>
      <c r="B486">
        <v>512</v>
      </c>
      <c r="C486">
        <v>0</v>
      </c>
    </row>
    <row r="487" spans="1:3" x14ac:dyDescent="0.15">
      <c r="A487" t="s">
        <v>743</v>
      </c>
      <c r="B487">
        <v>724.07730000000004</v>
      </c>
      <c r="C487">
        <v>0</v>
      </c>
    </row>
    <row r="488" spans="1:3" x14ac:dyDescent="0.15">
      <c r="A488" t="s">
        <v>745</v>
      </c>
      <c r="B488">
        <v>2</v>
      </c>
      <c r="C488">
        <v>6.4920500000000003E-4</v>
      </c>
    </row>
    <row r="489" spans="1:3" x14ac:dyDescent="0.15">
      <c r="A489" t="s">
        <v>745</v>
      </c>
      <c r="B489">
        <v>2.8283999999999998</v>
      </c>
      <c r="C489">
        <v>8.0205300000000005E-4</v>
      </c>
    </row>
    <row r="490" spans="1:3" x14ac:dyDescent="0.15">
      <c r="A490" t="s">
        <v>745</v>
      </c>
      <c r="B490">
        <v>4</v>
      </c>
      <c r="C490">
        <v>9.4099199999999998E-4</v>
      </c>
    </row>
    <row r="491" spans="1:3" x14ac:dyDescent="0.15">
      <c r="A491" t="s">
        <v>745</v>
      </c>
      <c r="B491">
        <v>5.6569000000000003</v>
      </c>
      <c r="C491">
        <v>1.071287E-3</v>
      </c>
    </row>
    <row r="492" spans="1:3" x14ac:dyDescent="0.15">
      <c r="A492" t="s">
        <v>745</v>
      </c>
      <c r="B492">
        <v>8</v>
      </c>
      <c r="C492">
        <v>1.1471369999999999E-3</v>
      </c>
    </row>
    <row r="493" spans="1:3" x14ac:dyDescent="0.15">
      <c r="A493" t="s">
        <v>745</v>
      </c>
      <c r="B493">
        <v>11.313700000000001</v>
      </c>
      <c r="C493">
        <v>1.048537E-3</v>
      </c>
    </row>
    <row r="494" spans="1:3" x14ac:dyDescent="0.15">
      <c r="A494" t="s">
        <v>745</v>
      </c>
      <c r="B494">
        <v>16</v>
      </c>
      <c r="C494">
        <v>7.1105500000000004E-4</v>
      </c>
    </row>
    <row r="495" spans="1:3" x14ac:dyDescent="0.15">
      <c r="A495" t="s">
        <v>745</v>
      </c>
      <c r="B495">
        <v>22.627400000000002</v>
      </c>
      <c r="C495">
        <v>4.1402700000000003E-4</v>
      </c>
    </row>
    <row r="496" spans="1:3" x14ac:dyDescent="0.15">
      <c r="A496" t="s">
        <v>745</v>
      </c>
      <c r="B496">
        <v>32</v>
      </c>
      <c r="C496">
        <v>3.6096899999999999E-4</v>
      </c>
    </row>
    <row r="497" spans="1:3" x14ac:dyDescent="0.15">
      <c r="A497" t="s">
        <v>745</v>
      </c>
      <c r="B497">
        <v>45.254800000000003</v>
      </c>
      <c r="C497">
        <v>3.3983100000000002E-4</v>
      </c>
    </row>
    <row r="498" spans="1:3" x14ac:dyDescent="0.15">
      <c r="A498" t="s">
        <v>745</v>
      </c>
      <c r="B498">
        <v>64</v>
      </c>
      <c r="C498">
        <v>2.7694999999999998E-4</v>
      </c>
    </row>
    <row r="499" spans="1:3" x14ac:dyDescent="0.15">
      <c r="A499" t="s">
        <v>745</v>
      </c>
      <c r="B499">
        <v>90.509699999999995</v>
      </c>
      <c r="C499">
        <v>1.34921E-4</v>
      </c>
    </row>
    <row r="500" spans="1:3" x14ac:dyDescent="0.15">
      <c r="A500" t="s">
        <v>745</v>
      </c>
      <c r="B500">
        <v>128</v>
      </c>
      <c r="C500">
        <v>2.0622999999999999E-5</v>
      </c>
    </row>
    <row r="501" spans="1:3" x14ac:dyDescent="0.15">
      <c r="A501" t="s">
        <v>745</v>
      </c>
      <c r="B501">
        <v>181.01929999999999</v>
      </c>
      <c r="C501">
        <v>3.84E-7</v>
      </c>
    </row>
    <row r="502" spans="1:3" x14ac:dyDescent="0.15">
      <c r="A502" t="s">
        <v>745</v>
      </c>
      <c r="B502">
        <v>256</v>
      </c>
      <c r="C502">
        <v>0</v>
      </c>
    </row>
    <row r="503" spans="1:3" x14ac:dyDescent="0.15">
      <c r="A503" t="s">
        <v>745</v>
      </c>
      <c r="B503">
        <v>362.03870000000001</v>
      </c>
      <c r="C503">
        <v>0</v>
      </c>
    </row>
    <row r="504" spans="1:3" x14ac:dyDescent="0.15">
      <c r="A504" t="s">
        <v>745</v>
      </c>
      <c r="B504">
        <v>512</v>
      </c>
      <c r="C504">
        <v>0</v>
      </c>
    </row>
    <row r="505" spans="1:3" x14ac:dyDescent="0.15">
      <c r="A505" t="s">
        <v>745</v>
      </c>
      <c r="B505">
        <v>724.07730000000004</v>
      </c>
      <c r="C505">
        <v>0</v>
      </c>
    </row>
    <row r="506" spans="1:3" x14ac:dyDescent="0.15">
      <c r="A506" t="s">
        <v>746</v>
      </c>
      <c r="B506">
        <v>2</v>
      </c>
      <c r="C506">
        <v>2.0222209999999998E-3</v>
      </c>
    </row>
    <row r="507" spans="1:3" x14ac:dyDescent="0.15">
      <c r="A507" t="s">
        <v>746</v>
      </c>
      <c r="B507">
        <v>2.8283999999999998</v>
      </c>
      <c r="C507">
        <v>2.460776E-3</v>
      </c>
    </row>
    <row r="508" spans="1:3" x14ac:dyDescent="0.15">
      <c r="A508" t="s">
        <v>746</v>
      </c>
      <c r="B508">
        <v>4</v>
      </c>
      <c r="C508">
        <v>2.5754889999999998E-3</v>
      </c>
    </row>
    <row r="509" spans="1:3" x14ac:dyDescent="0.15">
      <c r="A509" t="s">
        <v>746</v>
      </c>
      <c r="B509">
        <v>5.6569000000000003</v>
      </c>
      <c r="C509">
        <v>2.324095E-3</v>
      </c>
    </row>
    <row r="510" spans="1:3" x14ac:dyDescent="0.15">
      <c r="A510" t="s">
        <v>746</v>
      </c>
      <c r="B510">
        <v>8</v>
      </c>
      <c r="C510">
        <v>1.688073E-3</v>
      </c>
    </row>
    <row r="511" spans="1:3" x14ac:dyDescent="0.15">
      <c r="A511" t="s">
        <v>746</v>
      </c>
      <c r="B511">
        <v>11.313700000000001</v>
      </c>
      <c r="C511">
        <v>1.0399470000000001E-3</v>
      </c>
    </row>
    <row r="512" spans="1:3" x14ac:dyDescent="0.15">
      <c r="A512" t="s">
        <v>746</v>
      </c>
      <c r="B512">
        <v>16</v>
      </c>
      <c r="C512">
        <v>7.53731E-4</v>
      </c>
    </row>
    <row r="513" spans="1:3" x14ac:dyDescent="0.15">
      <c r="A513" t="s">
        <v>746</v>
      </c>
      <c r="B513">
        <v>22.627400000000002</v>
      </c>
      <c r="C513">
        <v>7.3521000000000003E-4</v>
      </c>
    </row>
    <row r="514" spans="1:3" x14ac:dyDescent="0.15">
      <c r="A514" t="s">
        <v>746</v>
      </c>
      <c r="B514">
        <v>32</v>
      </c>
      <c r="C514">
        <v>8.8772000000000005E-4</v>
      </c>
    </row>
    <row r="515" spans="1:3" x14ac:dyDescent="0.15">
      <c r="A515" t="s">
        <v>746</v>
      </c>
      <c r="B515">
        <v>45.254800000000003</v>
      </c>
      <c r="C515">
        <v>1.006875E-3</v>
      </c>
    </row>
    <row r="516" spans="1:3" x14ac:dyDescent="0.15">
      <c r="A516" t="s">
        <v>746</v>
      </c>
      <c r="B516">
        <v>64</v>
      </c>
      <c r="C516">
        <v>9.4673999999999995E-4</v>
      </c>
    </row>
    <row r="517" spans="1:3" x14ac:dyDescent="0.15">
      <c r="A517" t="s">
        <v>746</v>
      </c>
      <c r="B517">
        <v>90.509699999999995</v>
      </c>
      <c r="C517">
        <v>8.2173999999999995E-4</v>
      </c>
    </row>
    <row r="518" spans="1:3" x14ac:dyDescent="0.15">
      <c r="A518" t="s">
        <v>746</v>
      </c>
      <c r="B518">
        <v>128</v>
      </c>
      <c r="C518">
        <v>6.8339200000000001E-4</v>
      </c>
    </row>
    <row r="519" spans="1:3" x14ac:dyDescent="0.15">
      <c r="A519" t="s">
        <v>746</v>
      </c>
      <c r="B519">
        <v>181.01929999999999</v>
      </c>
      <c r="C519">
        <v>3.37299E-4</v>
      </c>
    </row>
    <row r="520" spans="1:3" x14ac:dyDescent="0.15">
      <c r="A520" t="s">
        <v>746</v>
      </c>
      <c r="B520">
        <v>256</v>
      </c>
      <c r="C520">
        <v>5.1743000000000002E-5</v>
      </c>
    </row>
    <row r="521" spans="1:3" x14ac:dyDescent="0.15">
      <c r="A521" t="s">
        <v>746</v>
      </c>
      <c r="B521">
        <v>362.03870000000001</v>
      </c>
      <c r="C521">
        <v>9.6500000000000008E-7</v>
      </c>
    </row>
    <row r="522" spans="1:3" x14ac:dyDescent="0.15">
      <c r="A522" t="s">
        <v>746</v>
      </c>
      <c r="B522">
        <v>512</v>
      </c>
      <c r="C522">
        <v>0</v>
      </c>
    </row>
    <row r="523" spans="1:3" x14ac:dyDescent="0.15">
      <c r="A523" t="s">
        <v>746</v>
      </c>
      <c r="B523">
        <v>724.07730000000004</v>
      </c>
      <c r="C523">
        <v>0</v>
      </c>
    </row>
    <row r="524" spans="1:3" x14ac:dyDescent="0.15">
      <c r="A524" t="s">
        <v>747</v>
      </c>
      <c r="B524">
        <v>2</v>
      </c>
      <c r="C524">
        <v>1.03699E-3</v>
      </c>
    </row>
    <row r="525" spans="1:3" x14ac:dyDescent="0.15">
      <c r="A525" t="s">
        <v>747</v>
      </c>
      <c r="B525">
        <v>2.8283999999999998</v>
      </c>
      <c r="C525">
        <v>1.240615E-3</v>
      </c>
    </row>
    <row r="526" spans="1:3" x14ac:dyDescent="0.15">
      <c r="A526" t="s">
        <v>747</v>
      </c>
      <c r="B526">
        <v>4</v>
      </c>
      <c r="C526">
        <v>1.359269E-3</v>
      </c>
    </row>
    <row r="527" spans="1:3" x14ac:dyDescent="0.15">
      <c r="A527" t="s">
        <v>747</v>
      </c>
      <c r="B527">
        <v>5.6569000000000003</v>
      </c>
      <c r="C527">
        <v>1.2290650000000001E-3</v>
      </c>
    </row>
    <row r="528" spans="1:3" x14ac:dyDescent="0.15">
      <c r="A528" t="s">
        <v>747</v>
      </c>
      <c r="B528">
        <v>8</v>
      </c>
      <c r="C528">
        <v>1.0381629999999999E-3</v>
      </c>
    </row>
    <row r="529" spans="1:3" x14ac:dyDescent="0.15">
      <c r="A529" t="s">
        <v>747</v>
      </c>
      <c r="B529">
        <v>11.313700000000001</v>
      </c>
      <c r="C529">
        <v>9.7092900000000004E-4</v>
      </c>
    </row>
    <row r="530" spans="1:3" x14ac:dyDescent="0.15">
      <c r="A530" t="s">
        <v>747</v>
      </c>
      <c r="B530">
        <v>16</v>
      </c>
      <c r="C530">
        <v>8.8187599999999997E-4</v>
      </c>
    </row>
    <row r="531" spans="1:3" x14ac:dyDescent="0.15">
      <c r="A531" t="s">
        <v>747</v>
      </c>
      <c r="B531">
        <v>22.627400000000002</v>
      </c>
      <c r="C531">
        <v>9.9986299999999992E-4</v>
      </c>
    </row>
    <row r="532" spans="1:3" x14ac:dyDescent="0.15">
      <c r="A532" t="s">
        <v>747</v>
      </c>
      <c r="B532">
        <v>32</v>
      </c>
      <c r="C532">
        <v>1.272666E-3</v>
      </c>
    </row>
    <row r="533" spans="1:3" x14ac:dyDescent="0.15">
      <c r="A533" t="s">
        <v>747</v>
      </c>
      <c r="B533">
        <v>45.254800000000003</v>
      </c>
      <c r="C533">
        <v>1.324626E-3</v>
      </c>
    </row>
    <row r="534" spans="1:3" x14ac:dyDescent="0.15">
      <c r="A534" t="s">
        <v>747</v>
      </c>
      <c r="B534">
        <v>64</v>
      </c>
      <c r="C534">
        <v>9.2128000000000002E-4</v>
      </c>
    </row>
    <row r="535" spans="1:3" x14ac:dyDescent="0.15">
      <c r="A535" t="s">
        <v>747</v>
      </c>
      <c r="B535">
        <v>90.509699999999995</v>
      </c>
      <c r="C535">
        <v>3.3899400000000001E-4</v>
      </c>
    </row>
    <row r="536" spans="1:3" x14ac:dyDescent="0.15">
      <c r="A536" t="s">
        <v>747</v>
      </c>
      <c r="B536">
        <v>128</v>
      </c>
      <c r="C536">
        <v>1.6673400000000001E-4</v>
      </c>
    </row>
    <row r="537" spans="1:3" x14ac:dyDescent="0.15">
      <c r="A537" t="s">
        <v>747</v>
      </c>
      <c r="B537">
        <v>181.01929999999999</v>
      </c>
      <c r="C537">
        <v>9.2332999999999998E-5</v>
      </c>
    </row>
    <row r="538" spans="1:3" x14ac:dyDescent="0.15">
      <c r="A538" t="s">
        <v>747</v>
      </c>
      <c r="B538">
        <v>256</v>
      </c>
      <c r="C538">
        <v>1.4211E-5</v>
      </c>
    </row>
    <row r="539" spans="1:3" x14ac:dyDescent="0.15">
      <c r="A539" t="s">
        <v>747</v>
      </c>
      <c r="B539">
        <v>362.03870000000001</v>
      </c>
      <c r="C539">
        <v>2.65E-7</v>
      </c>
    </row>
    <row r="540" spans="1:3" x14ac:dyDescent="0.15">
      <c r="A540" t="s">
        <v>747</v>
      </c>
      <c r="B540">
        <v>512</v>
      </c>
      <c r="C540">
        <v>0</v>
      </c>
    </row>
    <row r="541" spans="1:3" x14ac:dyDescent="0.15">
      <c r="A541" t="s">
        <v>747</v>
      </c>
      <c r="B541">
        <v>724.07730000000004</v>
      </c>
      <c r="C541">
        <v>0</v>
      </c>
    </row>
    <row r="542" spans="1:3" x14ac:dyDescent="0.15">
      <c r="A542" t="s">
        <v>748</v>
      </c>
      <c r="B542">
        <v>2</v>
      </c>
      <c r="C542">
        <v>9.3792799999999998E-4</v>
      </c>
    </row>
    <row r="543" spans="1:3" x14ac:dyDescent="0.15">
      <c r="A543" t="s">
        <v>748</v>
      </c>
      <c r="B543">
        <v>2.8283999999999998</v>
      </c>
      <c r="C543">
        <v>1.0623690000000001E-3</v>
      </c>
    </row>
    <row r="544" spans="1:3" x14ac:dyDescent="0.15">
      <c r="A544" t="s">
        <v>748</v>
      </c>
      <c r="B544">
        <v>4</v>
      </c>
      <c r="C544">
        <v>1.2161850000000001E-3</v>
      </c>
    </row>
    <row r="545" spans="1:3" x14ac:dyDescent="0.15">
      <c r="A545" t="s">
        <v>748</v>
      </c>
      <c r="B545">
        <v>5.6569000000000003</v>
      </c>
      <c r="C545">
        <v>1.2464780000000001E-3</v>
      </c>
    </row>
    <row r="546" spans="1:3" x14ac:dyDescent="0.15">
      <c r="A546" t="s">
        <v>748</v>
      </c>
      <c r="B546">
        <v>8</v>
      </c>
      <c r="C546">
        <v>1.1579279999999999E-3</v>
      </c>
    </row>
    <row r="547" spans="1:3" x14ac:dyDescent="0.15">
      <c r="A547" t="s">
        <v>748</v>
      </c>
      <c r="B547">
        <v>11.313700000000001</v>
      </c>
      <c r="C547">
        <v>1.1667730000000001E-3</v>
      </c>
    </row>
    <row r="548" spans="1:3" x14ac:dyDescent="0.15">
      <c r="A548" t="s">
        <v>748</v>
      </c>
      <c r="B548">
        <v>16</v>
      </c>
      <c r="C548">
        <v>1.2497070000000001E-3</v>
      </c>
    </row>
    <row r="549" spans="1:3" x14ac:dyDescent="0.15">
      <c r="A549" t="s">
        <v>748</v>
      </c>
      <c r="B549">
        <v>22.627400000000002</v>
      </c>
      <c r="C549">
        <v>1.2391419999999999E-3</v>
      </c>
    </row>
    <row r="550" spans="1:3" x14ac:dyDescent="0.15">
      <c r="A550" t="s">
        <v>748</v>
      </c>
      <c r="B550">
        <v>32</v>
      </c>
      <c r="C550">
        <v>1.060851E-3</v>
      </c>
    </row>
    <row r="551" spans="1:3" x14ac:dyDescent="0.15">
      <c r="A551" t="s">
        <v>748</v>
      </c>
      <c r="B551">
        <v>45.254800000000003</v>
      </c>
      <c r="C551">
        <v>7.3376699999999997E-4</v>
      </c>
    </row>
    <row r="552" spans="1:3" x14ac:dyDescent="0.15">
      <c r="A552" t="s">
        <v>748</v>
      </c>
      <c r="B552">
        <v>64</v>
      </c>
      <c r="C552">
        <v>4.5907800000000003E-4</v>
      </c>
    </row>
    <row r="553" spans="1:3" x14ac:dyDescent="0.15">
      <c r="A553" t="s">
        <v>748</v>
      </c>
      <c r="B553">
        <v>90.509699999999995</v>
      </c>
      <c r="C553">
        <v>2.05959E-4</v>
      </c>
    </row>
    <row r="554" spans="1:3" x14ac:dyDescent="0.15">
      <c r="A554" t="s">
        <v>748</v>
      </c>
      <c r="B554">
        <v>128</v>
      </c>
      <c r="C554">
        <v>6.3590999999999995E-5</v>
      </c>
    </row>
    <row r="555" spans="1:3" x14ac:dyDescent="0.15">
      <c r="A555" t="s">
        <v>748</v>
      </c>
      <c r="B555">
        <v>181.01929999999999</v>
      </c>
      <c r="C555">
        <v>3.1503E-5</v>
      </c>
    </row>
    <row r="556" spans="1:3" x14ac:dyDescent="0.15">
      <c r="A556" t="s">
        <v>748</v>
      </c>
      <c r="B556">
        <v>256</v>
      </c>
      <c r="C556">
        <v>4.8369999999999996E-6</v>
      </c>
    </row>
    <row r="557" spans="1:3" x14ac:dyDescent="0.15">
      <c r="A557" t="s">
        <v>748</v>
      </c>
      <c r="B557">
        <v>362.03870000000001</v>
      </c>
      <c r="C557">
        <v>8.9999999999999999E-8</v>
      </c>
    </row>
    <row r="558" spans="1:3" x14ac:dyDescent="0.15">
      <c r="A558" t="s">
        <v>748</v>
      </c>
      <c r="B558">
        <v>512</v>
      </c>
      <c r="C558">
        <v>0</v>
      </c>
    </row>
    <row r="559" spans="1:3" x14ac:dyDescent="0.15">
      <c r="A559" t="s">
        <v>748</v>
      </c>
      <c r="B559">
        <v>724.07730000000004</v>
      </c>
      <c r="C559">
        <v>0</v>
      </c>
    </row>
    <row r="560" spans="1:3" x14ac:dyDescent="0.15">
      <c r="A560" t="s">
        <v>749</v>
      </c>
      <c r="B560">
        <v>2</v>
      </c>
      <c r="C560">
        <v>1.0354170000000001E-3</v>
      </c>
    </row>
    <row r="561" spans="1:3" x14ac:dyDescent="0.15">
      <c r="A561" t="s">
        <v>749</v>
      </c>
      <c r="B561">
        <v>2.8283999999999998</v>
      </c>
      <c r="C561">
        <v>1.0177879999999999E-3</v>
      </c>
    </row>
    <row r="562" spans="1:3" x14ac:dyDescent="0.15">
      <c r="A562" t="s">
        <v>749</v>
      </c>
      <c r="B562">
        <v>4</v>
      </c>
      <c r="C562">
        <v>9.4222200000000005E-4</v>
      </c>
    </row>
    <row r="563" spans="1:3" x14ac:dyDescent="0.15">
      <c r="A563" t="s">
        <v>749</v>
      </c>
      <c r="B563">
        <v>5.6569000000000003</v>
      </c>
      <c r="C563">
        <v>8.6965299999999996E-4</v>
      </c>
    </row>
    <row r="564" spans="1:3" x14ac:dyDescent="0.15">
      <c r="A564" t="s">
        <v>749</v>
      </c>
      <c r="B564">
        <v>8</v>
      </c>
      <c r="C564">
        <v>8.2613399999999996E-4</v>
      </c>
    </row>
    <row r="565" spans="1:3" x14ac:dyDescent="0.15">
      <c r="A565" t="s">
        <v>749</v>
      </c>
      <c r="B565">
        <v>11.313700000000001</v>
      </c>
      <c r="C565">
        <v>7.8527999999999996E-4</v>
      </c>
    </row>
    <row r="566" spans="1:3" x14ac:dyDescent="0.15">
      <c r="A566" t="s">
        <v>749</v>
      </c>
      <c r="B566">
        <v>16</v>
      </c>
      <c r="C566">
        <v>6.1606499999999995E-4</v>
      </c>
    </row>
    <row r="567" spans="1:3" x14ac:dyDescent="0.15">
      <c r="A567" t="s">
        <v>749</v>
      </c>
      <c r="B567">
        <v>22.627400000000002</v>
      </c>
      <c r="C567">
        <v>5.1424299999999995E-4</v>
      </c>
    </row>
    <row r="568" spans="1:3" x14ac:dyDescent="0.15">
      <c r="A568" t="s">
        <v>749</v>
      </c>
      <c r="B568">
        <v>32</v>
      </c>
      <c r="C568">
        <v>6.0037800000000004E-4</v>
      </c>
    </row>
    <row r="569" spans="1:3" x14ac:dyDescent="0.15">
      <c r="A569" t="s">
        <v>749</v>
      </c>
      <c r="B569">
        <v>45.254800000000003</v>
      </c>
      <c r="C569">
        <v>7.04318E-4</v>
      </c>
    </row>
    <row r="570" spans="1:3" x14ac:dyDescent="0.15">
      <c r="A570" t="s">
        <v>749</v>
      </c>
      <c r="B570">
        <v>64</v>
      </c>
      <c r="C570">
        <v>6.01539E-4</v>
      </c>
    </row>
    <row r="571" spans="1:3" x14ac:dyDescent="0.15">
      <c r="A571" t="s">
        <v>749</v>
      </c>
      <c r="B571">
        <v>90.509699999999995</v>
      </c>
      <c r="C571">
        <v>3.2816600000000002E-4</v>
      </c>
    </row>
    <row r="572" spans="1:3" x14ac:dyDescent="0.15">
      <c r="A572" t="s">
        <v>749</v>
      </c>
      <c r="B572">
        <v>128</v>
      </c>
      <c r="C572">
        <v>2.21788E-4</v>
      </c>
    </row>
    <row r="573" spans="1:3" x14ac:dyDescent="0.15">
      <c r="A573" t="s">
        <v>749</v>
      </c>
      <c r="B573">
        <v>181.01929999999999</v>
      </c>
      <c r="C573">
        <v>1.13238E-4</v>
      </c>
    </row>
    <row r="574" spans="1:3" x14ac:dyDescent="0.15">
      <c r="A574" t="s">
        <v>749</v>
      </c>
      <c r="B574">
        <v>256</v>
      </c>
      <c r="C574">
        <v>1.7428E-5</v>
      </c>
    </row>
    <row r="575" spans="1:3" x14ac:dyDescent="0.15">
      <c r="A575" t="s">
        <v>749</v>
      </c>
      <c r="B575">
        <v>362.03870000000001</v>
      </c>
      <c r="C575">
        <v>3.2500000000000001E-7</v>
      </c>
    </row>
    <row r="576" spans="1:3" x14ac:dyDescent="0.15">
      <c r="A576" t="s">
        <v>749</v>
      </c>
      <c r="B576">
        <v>512</v>
      </c>
      <c r="C576">
        <v>0</v>
      </c>
    </row>
    <row r="577" spans="1:3" x14ac:dyDescent="0.15">
      <c r="A577" t="s">
        <v>749</v>
      </c>
      <c r="B577">
        <v>724.07730000000004</v>
      </c>
      <c r="C577">
        <v>0</v>
      </c>
    </row>
    <row r="578" spans="1:3" x14ac:dyDescent="0.15">
      <c r="A578" t="s">
        <v>750</v>
      </c>
      <c r="B578">
        <v>2</v>
      </c>
      <c r="C578">
        <v>1.861145E-3</v>
      </c>
    </row>
    <row r="579" spans="1:3" x14ac:dyDescent="0.15">
      <c r="A579" t="s">
        <v>750</v>
      </c>
      <c r="B579">
        <v>2.8283999999999998</v>
      </c>
      <c r="C579">
        <v>2.0474249999999999E-3</v>
      </c>
    </row>
    <row r="580" spans="1:3" x14ac:dyDescent="0.15">
      <c r="A580" t="s">
        <v>750</v>
      </c>
      <c r="B580">
        <v>4</v>
      </c>
      <c r="C580">
        <v>2.1106459999999999E-3</v>
      </c>
    </row>
    <row r="581" spans="1:3" x14ac:dyDescent="0.15">
      <c r="A581" t="s">
        <v>750</v>
      </c>
      <c r="B581">
        <v>5.6569000000000003</v>
      </c>
      <c r="C581">
        <v>1.950678E-3</v>
      </c>
    </row>
    <row r="582" spans="1:3" x14ac:dyDescent="0.15">
      <c r="A582" t="s">
        <v>750</v>
      </c>
      <c r="B582">
        <v>8</v>
      </c>
      <c r="C582">
        <v>1.607118E-3</v>
      </c>
    </row>
    <row r="583" spans="1:3" x14ac:dyDescent="0.15">
      <c r="A583" t="s">
        <v>750</v>
      </c>
      <c r="B583">
        <v>11.313700000000001</v>
      </c>
      <c r="C583">
        <v>1.2462199999999999E-3</v>
      </c>
    </row>
    <row r="584" spans="1:3" x14ac:dyDescent="0.15">
      <c r="A584" t="s">
        <v>750</v>
      </c>
      <c r="B584">
        <v>16</v>
      </c>
      <c r="C584">
        <v>1.0030709999999999E-3</v>
      </c>
    </row>
    <row r="585" spans="1:3" x14ac:dyDescent="0.15">
      <c r="A585" t="s">
        <v>750</v>
      </c>
      <c r="B585">
        <v>22.627400000000002</v>
      </c>
      <c r="C585">
        <v>9.0470899999999996E-4</v>
      </c>
    </row>
    <row r="586" spans="1:3" x14ac:dyDescent="0.15">
      <c r="A586" t="s">
        <v>750</v>
      </c>
      <c r="B586">
        <v>32</v>
      </c>
      <c r="C586">
        <v>8.5525599999999998E-4</v>
      </c>
    </row>
    <row r="587" spans="1:3" x14ac:dyDescent="0.15">
      <c r="A587" t="s">
        <v>750</v>
      </c>
      <c r="B587">
        <v>45.254800000000003</v>
      </c>
      <c r="C587">
        <v>6.3613199999999997E-4</v>
      </c>
    </row>
    <row r="588" spans="1:3" x14ac:dyDescent="0.15">
      <c r="A588" t="s">
        <v>750</v>
      </c>
      <c r="B588">
        <v>64</v>
      </c>
      <c r="C588">
        <v>3.3487399999999998E-4</v>
      </c>
    </row>
    <row r="589" spans="1:3" x14ac:dyDescent="0.15">
      <c r="A589" t="s">
        <v>750</v>
      </c>
      <c r="B589">
        <v>90.509699999999995</v>
      </c>
      <c r="C589">
        <v>2.1900700000000001E-4</v>
      </c>
    </row>
    <row r="590" spans="1:3" x14ac:dyDescent="0.15">
      <c r="A590" t="s">
        <v>750</v>
      </c>
      <c r="B590">
        <v>128</v>
      </c>
      <c r="C590">
        <v>1.2174400000000001E-4</v>
      </c>
    </row>
    <row r="591" spans="1:3" x14ac:dyDescent="0.15">
      <c r="A591" t="s">
        <v>750</v>
      </c>
      <c r="B591">
        <v>181.01929999999999</v>
      </c>
      <c r="C591">
        <v>5.1467E-5</v>
      </c>
    </row>
    <row r="592" spans="1:3" x14ac:dyDescent="0.15">
      <c r="A592" t="s">
        <v>750</v>
      </c>
      <c r="B592">
        <v>256</v>
      </c>
      <c r="C592">
        <v>7.7649999999999993E-6</v>
      </c>
    </row>
    <row r="593" spans="1:3" x14ac:dyDescent="0.15">
      <c r="A593" t="s">
        <v>750</v>
      </c>
      <c r="B593">
        <v>362.03870000000001</v>
      </c>
      <c r="C593">
        <v>1.4499999999999999E-7</v>
      </c>
    </row>
    <row r="594" spans="1:3" x14ac:dyDescent="0.15">
      <c r="A594" t="s">
        <v>750</v>
      </c>
      <c r="B594">
        <v>512</v>
      </c>
      <c r="C594">
        <v>0</v>
      </c>
    </row>
    <row r="595" spans="1:3" x14ac:dyDescent="0.15">
      <c r="A595" t="s">
        <v>750</v>
      </c>
      <c r="B595">
        <v>724.07730000000004</v>
      </c>
      <c r="C595">
        <v>0</v>
      </c>
    </row>
    <row r="596" spans="1:3" x14ac:dyDescent="0.15">
      <c r="A596" t="s">
        <v>751</v>
      </c>
      <c r="B596">
        <v>2</v>
      </c>
      <c r="C596">
        <v>1.036534E-3</v>
      </c>
    </row>
    <row r="597" spans="1:3" x14ac:dyDescent="0.15">
      <c r="A597" t="s">
        <v>751</v>
      </c>
      <c r="B597">
        <v>2.8283999999999998</v>
      </c>
      <c r="C597">
        <v>1.3425640000000001E-3</v>
      </c>
    </row>
    <row r="598" spans="1:3" x14ac:dyDescent="0.15">
      <c r="A598" t="s">
        <v>751</v>
      </c>
      <c r="B598">
        <v>4</v>
      </c>
      <c r="C598">
        <v>1.504055E-3</v>
      </c>
    </row>
    <row r="599" spans="1:3" x14ac:dyDescent="0.15">
      <c r="A599" t="s">
        <v>751</v>
      </c>
      <c r="B599">
        <v>5.6569000000000003</v>
      </c>
      <c r="C599">
        <v>1.3710409999999999E-3</v>
      </c>
    </row>
    <row r="600" spans="1:3" x14ac:dyDescent="0.15">
      <c r="A600" t="s">
        <v>751</v>
      </c>
      <c r="B600">
        <v>8</v>
      </c>
      <c r="C600">
        <v>1.090255E-3</v>
      </c>
    </row>
    <row r="601" spans="1:3" x14ac:dyDescent="0.15">
      <c r="A601" t="s">
        <v>751</v>
      </c>
      <c r="B601">
        <v>11.313700000000001</v>
      </c>
      <c r="C601">
        <v>9.3984899999999998E-4</v>
      </c>
    </row>
    <row r="602" spans="1:3" x14ac:dyDescent="0.15">
      <c r="A602" t="s">
        <v>751</v>
      </c>
      <c r="B602">
        <v>16</v>
      </c>
      <c r="C602">
        <v>8.9752899999999999E-4</v>
      </c>
    </row>
    <row r="603" spans="1:3" x14ac:dyDescent="0.15">
      <c r="A603" t="s">
        <v>751</v>
      </c>
      <c r="B603">
        <v>22.627400000000002</v>
      </c>
      <c r="C603">
        <v>8.06546E-4</v>
      </c>
    </row>
    <row r="604" spans="1:3" x14ac:dyDescent="0.15">
      <c r="A604" t="s">
        <v>751</v>
      </c>
      <c r="B604">
        <v>32</v>
      </c>
      <c r="C604">
        <v>6.0328900000000002E-4</v>
      </c>
    </row>
    <row r="605" spans="1:3" x14ac:dyDescent="0.15">
      <c r="A605" t="s">
        <v>751</v>
      </c>
      <c r="B605">
        <v>45.254800000000003</v>
      </c>
      <c r="C605">
        <v>4.1298499999999999E-4</v>
      </c>
    </row>
    <row r="606" spans="1:3" x14ac:dyDescent="0.15">
      <c r="A606" t="s">
        <v>751</v>
      </c>
      <c r="B606">
        <v>64</v>
      </c>
      <c r="C606">
        <v>2.5248499999999999E-4</v>
      </c>
    </row>
    <row r="607" spans="1:3" x14ac:dyDescent="0.15">
      <c r="A607" t="s">
        <v>751</v>
      </c>
      <c r="B607">
        <v>90.509699999999995</v>
      </c>
      <c r="C607">
        <v>1.6023900000000001E-4</v>
      </c>
    </row>
    <row r="608" spans="1:3" x14ac:dyDescent="0.15">
      <c r="A608" t="s">
        <v>751</v>
      </c>
      <c r="B608">
        <v>128</v>
      </c>
      <c r="C608">
        <v>1.00027E-4</v>
      </c>
    </row>
    <row r="609" spans="1:3" x14ac:dyDescent="0.15">
      <c r="A609" t="s">
        <v>751</v>
      </c>
      <c r="B609">
        <v>181.01929999999999</v>
      </c>
      <c r="C609">
        <v>4.5114000000000002E-5</v>
      </c>
    </row>
    <row r="610" spans="1:3" x14ac:dyDescent="0.15">
      <c r="A610" t="s">
        <v>751</v>
      </c>
      <c r="B610">
        <v>256</v>
      </c>
      <c r="C610">
        <v>6.8739999999999997E-6</v>
      </c>
    </row>
    <row r="611" spans="1:3" x14ac:dyDescent="0.15">
      <c r="A611" t="s">
        <v>751</v>
      </c>
      <c r="B611">
        <v>362.03870000000001</v>
      </c>
      <c r="C611">
        <v>1.2800000000000001E-7</v>
      </c>
    </row>
    <row r="612" spans="1:3" x14ac:dyDescent="0.15">
      <c r="A612" t="s">
        <v>751</v>
      </c>
      <c r="B612">
        <v>512</v>
      </c>
      <c r="C612">
        <v>0</v>
      </c>
    </row>
    <row r="613" spans="1:3" x14ac:dyDescent="0.15">
      <c r="A613" t="s">
        <v>751</v>
      </c>
      <c r="B613">
        <v>724.07730000000004</v>
      </c>
      <c r="C613">
        <v>0</v>
      </c>
    </row>
    <row r="614" spans="1:3" x14ac:dyDescent="0.15">
      <c r="A614" t="s">
        <v>752</v>
      </c>
      <c r="B614">
        <v>2</v>
      </c>
      <c r="C614">
        <v>7.8050299999999999E-4</v>
      </c>
    </row>
    <row r="615" spans="1:3" x14ac:dyDescent="0.15">
      <c r="A615" t="s">
        <v>752</v>
      </c>
      <c r="B615">
        <v>2.8283999999999998</v>
      </c>
      <c r="C615">
        <v>9.7006399999999997E-4</v>
      </c>
    </row>
    <row r="616" spans="1:3" x14ac:dyDescent="0.15">
      <c r="A616" t="s">
        <v>752</v>
      </c>
      <c r="B616">
        <v>4</v>
      </c>
      <c r="C616">
        <v>1.1055220000000001E-3</v>
      </c>
    </row>
    <row r="617" spans="1:3" x14ac:dyDescent="0.15">
      <c r="A617" t="s">
        <v>752</v>
      </c>
      <c r="B617">
        <v>5.6569000000000003</v>
      </c>
      <c r="C617">
        <v>1.0604919999999999E-3</v>
      </c>
    </row>
    <row r="618" spans="1:3" x14ac:dyDescent="0.15">
      <c r="A618" t="s">
        <v>752</v>
      </c>
      <c r="B618">
        <v>8</v>
      </c>
      <c r="C618">
        <v>1.0122250000000001E-3</v>
      </c>
    </row>
    <row r="619" spans="1:3" x14ac:dyDescent="0.15">
      <c r="A619" t="s">
        <v>752</v>
      </c>
      <c r="B619">
        <v>11.313700000000001</v>
      </c>
      <c r="C619">
        <v>9.3616000000000001E-4</v>
      </c>
    </row>
    <row r="620" spans="1:3" x14ac:dyDescent="0.15">
      <c r="A620" t="s">
        <v>752</v>
      </c>
      <c r="B620">
        <v>16</v>
      </c>
      <c r="C620">
        <v>9.1279700000000002E-4</v>
      </c>
    </row>
    <row r="621" spans="1:3" x14ac:dyDescent="0.15">
      <c r="A621" t="s">
        <v>752</v>
      </c>
      <c r="B621">
        <v>22.627400000000002</v>
      </c>
      <c r="C621">
        <v>9.6608600000000001E-4</v>
      </c>
    </row>
    <row r="622" spans="1:3" x14ac:dyDescent="0.15">
      <c r="A622" t="s">
        <v>752</v>
      </c>
      <c r="B622">
        <v>32</v>
      </c>
      <c r="C622">
        <v>1.1507449999999999E-3</v>
      </c>
    </row>
    <row r="623" spans="1:3" x14ac:dyDescent="0.15">
      <c r="A623" t="s">
        <v>752</v>
      </c>
      <c r="B623">
        <v>45.254800000000003</v>
      </c>
      <c r="C623">
        <v>1.1409090000000001E-3</v>
      </c>
    </row>
    <row r="624" spans="1:3" x14ac:dyDescent="0.15">
      <c r="A624" t="s">
        <v>752</v>
      </c>
      <c r="B624">
        <v>64</v>
      </c>
      <c r="C624">
        <v>6.7437599999999997E-4</v>
      </c>
    </row>
    <row r="625" spans="1:3" x14ac:dyDescent="0.15">
      <c r="A625" t="s">
        <v>752</v>
      </c>
      <c r="B625">
        <v>90.509699999999995</v>
      </c>
      <c r="C625">
        <v>2.18514E-4</v>
      </c>
    </row>
    <row r="626" spans="1:3" x14ac:dyDescent="0.15">
      <c r="A626" t="s">
        <v>752</v>
      </c>
      <c r="B626">
        <v>128</v>
      </c>
      <c r="C626">
        <v>1.15547E-4</v>
      </c>
    </row>
    <row r="627" spans="1:3" x14ac:dyDescent="0.15">
      <c r="A627" t="s">
        <v>752</v>
      </c>
      <c r="B627">
        <v>181.01929999999999</v>
      </c>
      <c r="C627">
        <v>5.9437E-5</v>
      </c>
    </row>
    <row r="628" spans="1:3" x14ac:dyDescent="0.15">
      <c r="A628" t="s">
        <v>752</v>
      </c>
      <c r="B628">
        <v>256</v>
      </c>
      <c r="C628">
        <v>9.1409999999999994E-6</v>
      </c>
    </row>
    <row r="629" spans="1:3" x14ac:dyDescent="0.15">
      <c r="A629" t="s">
        <v>752</v>
      </c>
      <c r="B629">
        <v>362.03870000000001</v>
      </c>
      <c r="C629">
        <v>1.6999999999999999E-7</v>
      </c>
    </row>
    <row r="630" spans="1:3" x14ac:dyDescent="0.15">
      <c r="A630" t="s">
        <v>752</v>
      </c>
      <c r="B630">
        <v>512</v>
      </c>
      <c r="C630">
        <v>0</v>
      </c>
    </row>
    <row r="631" spans="1:3" x14ac:dyDescent="0.15">
      <c r="A631" t="s">
        <v>752</v>
      </c>
      <c r="B631">
        <v>724.07730000000004</v>
      </c>
      <c r="C631">
        <v>0</v>
      </c>
    </row>
    <row r="632" spans="1:3" x14ac:dyDescent="0.15">
      <c r="A632" t="s">
        <v>753</v>
      </c>
      <c r="B632">
        <v>2</v>
      </c>
      <c r="C632">
        <v>1.0443469999999999E-3</v>
      </c>
    </row>
    <row r="633" spans="1:3" x14ac:dyDescent="0.15">
      <c r="A633" t="s">
        <v>753</v>
      </c>
      <c r="B633">
        <v>2.8283999999999998</v>
      </c>
      <c r="C633">
        <v>1.0352740000000001E-3</v>
      </c>
    </row>
    <row r="634" spans="1:3" x14ac:dyDescent="0.15">
      <c r="A634" t="s">
        <v>753</v>
      </c>
      <c r="B634">
        <v>4</v>
      </c>
      <c r="C634">
        <v>9.50902E-4</v>
      </c>
    </row>
    <row r="635" spans="1:3" x14ac:dyDescent="0.15">
      <c r="A635" t="s">
        <v>753</v>
      </c>
      <c r="B635">
        <v>5.6569000000000003</v>
      </c>
      <c r="C635">
        <v>9.3238999999999995E-4</v>
      </c>
    </row>
    <row r="636" spans="1:3" x14ac:dyDescent="0.15">
      <c r="A636" t="s">
        <v>753</v>
      </c>
      <c r="B636">
        <v>8</v>
      </c>
      <c r="C636">
        <v>9.6004300000000005E-4</v>
      </c>
    </row>
    <row r="637" spans="1:3" x14ac:dyDescent="0.15">
      <c r="A637" t="s">
        <v>753</v>
      </c>
      <c r="B637">
        <v>11.313700000000001</v>
      </c>
      <c r="C637">
        <v>9.3665800000000004E-4</v>
      </c>
    </row>
    <row r="638" spans="1:3" x14ac:dyDescent="0.15">
      <c r="A638" t="s">
        <v>753</v>
      </c>
      <c r="B638">
        <v>16</v>
      </c>
      <c r="C638">
        <v>8.2064799999999999E-4</v>
      </c>
    </row>
    <row r="639" spans="1:3" x14ac:dyDescent="0.15">
      <c r="A639" t="s">
        <v>753</v>
      </c>
      <c r="B639">
        <v>22.627400000000002</v>
      </c>
      <c r="C639">
        <v>5.4079400000000004E-4</v>
      </c>
    </row>
    <row r="640" spans="1:3" x14ac:dyDescent="0.15">
      <c r="A640" t="s">
        <v>753</v>
      </c>
      <c r="B640">
        <v>32</v>
      </c>
      <c r="C640">
        <v>2.5475399999999999E-4</v>
      </c>
    </row>
    <row r="641" spans="1:3" x14ac:dyDescent="0.15">
      <c r="A641" t="s">
        <v>753</v>
      </c>
      <c r="B641">
        <v>45.254800000000003</v>
      </c>
      <c r="C641">
        <v>2.1593099999999999E-4</v>
      </c>
    </row>
    <row r="642" spans="1:3" x14ac:dyDescent="0.15">
      <c r="A642" t="s">
        <v>753</v>
      </c>
      <c r="B642">
        <v>64</v>
      </c>
      <c r="C642">
        <v>1.85043E-4</v>
      </c>
    </row>
    <row r="643" spans="1:3" x14ac:dyDescent="0.15">
      <c r="A643" t="s">
        <v>753</v>
      </c>
      <c r="B643">
        <v>90.509699999999995</v>
      </c>
      <c r="C643">
        <v>8.7410999999999994E-5</v>
      </c>
    </row>
    <row r="644" spans="1:3" x14ac:dyDescent="0.15">
      <c r="A644" t="s">
        <v>753</v>
      </c>
      <c r="B644">
        <v>128</v>
      </c>
      <c r="C644">
        <v>9.2080000000000006E-6</v>
      </c>
    </row>
    <row r="645" spans="1:3" x14ac:dyDescent="0.15">
      <c r="A645" t="s">
        <v>753</v>
      </c>
      <c r="B645">
        <v>181.01929999999999</v>
      </c>
      <c r="C645">
        <v>4.1840000000000001E-6</v>
      </c>
    </row>
    <row r="646" spans="1:3" x14ac:dyDescent="0.15">
      <c r="A646" t="s">
        <v>753</v>
      </c>
      <c r="B646">
        <v>256</v>
      </c>
      <c r="C646">
        <v>6.8599999999999998E-7</v>
      </c>
    </row>
    <row r="647" spans="1:3" x14ac:dyDescent="0.15">
      <c r="A647" t="s">
        <v>753</v>
      </c>
      <c r="B647">
        <v>362.03870000000001</v>
      </c>
      <c r="C647">
        <v>1.3000000000000001E-8</v>
      </c>
    </row>
    <row r="648" spans="1:3" x14ac:dyDescent="0.15">
      <c r="A648" t="s">
        <v>753</v>
      </c>
      <c r="B648">
        <v>512</v>
      </c>
      <c r="C648">
        <v>0</v>
      </c>
    </row>
    <row r="649" spans="1:3" x14ac:dyDescent="0.15">
      <c r="A649" t="s">
        <v>753</v>
      </c>
      <c r="B649">
        <v>724.07730000000004</v>
      </c>
      <c r="C649">
        <v>0</v>
      </c>
    </row>
    <row r="650" spans="1:3" x14ac:dyDescent="0.15">
      <c r="A650" t="s">
        <v>754</v>
      </c>
      <c r="B650">
        <v>2</v>
      </c>
      <c r="C650">
        <v>1.2645009999999999E-3</v>
      </c>
    </row>
    <row r="651" spans="1:3" x14ac:dyDescent="0.15">
      <c r="A651" t="s">
        <v>754</v>
      </c>
      <c r="B651">
        <v>2.8283999999999998</v>
      </c>
      <c r="C651">
        <v>1.5186189999999999E-3</v>
      </c>
    </row>
    <row r="652" spans="1:3" x14ac:dyDescent="0.15">
      <c r="A652" t="s">
        <v>754</v>
      </c>
      <c r="B652">
        <v>4</v>
      </c>
      <c r="C652">
        <v>1.485407E-3</v>
      </c>
    </row>
    <row r="653" spans="1:3" x14ac:dyDescent="0.15">
      <c r="A653" t="s">
        <v>754</v>
      </c>
      <c r="B653">
        <v>5.6569000000000003</v>
      </c>
      <c r="C653">
        <v>1.2211749999999999E-3</v>
      </c>
    </row>
    <row r="654" spans="1:3" x14ac:dyDescent="0.15">
      <c r="A654" t="s">
        <v>754</v>
      </c>
      <c r="B654">
        <v>8</v>
      </c>
      <c r="C654">
        <v>1.0909890000000001E-3</v>
      </c>
    </row>
    <row r="655" spans="1:3" x14ac:dyDescent="0.15">
      <c r="A655" t="s">
        <v>754</v>
      </c>
      <c r="B655">
        <v>11.313700000000001</v>
      </c>
      <c r="C655">
        <v>1.0264740000000001E-3</v>
      </c>
    </row>
    <row r="656" spans="1:3" x14ac:dyDescent="0.15">
      <c r="A656" t="s">
        <v>754</v>
      </c>
      <c r="B656">
        <v>16</v>
      </c>
      <c r="C656">
        <v>8.03117E-4</v>
      </c>
    </row>
    <row r="657" spans="1:3" x14ac:dyDescent="0.15">
      <c r="A657" t="s">
        <v>754</v>
      </c>
      <c r="B657">
        <v>22.627400000000002</v>
      </c>
      <c r="C657">
        <v>8.2139400000000003E-4</v>
      </c>
    </row>
    <row r="658" spans="1:3" x14ac:dyDescent="0.15">
      <c r="A658" t="s">
        <v>754</v>
      </c>
      <c r="B658">
        <v>32</v>
      </c>
      <c r="C658">
        <v>1.072206E-3</v>
      </c>
    </row>
    <row r="659" spans="1:3" x14ac:dyDescent="0.15">
      <c r="A659" t="s">
        <v>754</v>
      </c>
      <c r="B659">
        <v>45.254800000000003</v>
      </c>
      <c r="C659">
        <v>1.2288290000000001E-3</v>
      </c>
    </row>
    <row r="660" spans="1:3" x14ac:dyDescent="0.15">
      <c r="A660" t="s">
        <v>754</v>
      </c>
      <c r="B660">
        <v>64</v>
      </c>
      <c r="C660">
        <v>9.9405200000000004E-4</v>
      </c>
    </row>
    <row r="661" spans="1:3" x14ac:dyDescent="0.15">
      <c r="A661" t="s">
        <v>754</v>
      </c>
      <c r="B661">
        <v>90.509699999999995</v>
      </c>
      <c r="C661">
        <v>5.5621999999999996E-4</v>
      </c>
    </row>
    <row r="662" spans="1:3" x14ac:dyDescent="0.15">
      <c r="A662" t="s">
        <v>754</v>
      </c>
      <c r="B662">
        <v>128</v>
      </c>
      <c r="C662">
        <v>3.8397099999999999E-4</v>
      </c>
    </row>
    <row r="663" spans="1:3" x14ac:dyDescent="0.15">
      <c r="A663" t="s">
        <v>754</v>
      </c>
      <c r="B663">
        <v>181.01929999999999</v>
      </c>
      <c r="C663">
        <v>1.9158399999999999E-4</v>
      </c>
    </row>
    <row r="664" spans="1:3" x14ac:dyDescent="0.15">
      <c r="A664" t="s">
        <v>754</v>
      </c>
      <c r="B664">
        <v>256</v>
      </c>
      <c r="C664">
        <v>2.9369999999999998E-5</v>
      </c>
    </row>
    <row r="665" spans="1:3" x14ac:dyDescent="0.15">
      <c r="A665" t="s">
        <v>754</v>
      </c>
      <c r="B665">
        <v>362.03870000000001</v>
      </c>
      <c r="C665">
        <v>5.4799999999999998E-7</v>
      </c>
    </row>
    <row r="666" spans="1:3" x14ac:dyDescent="0.15">
      <c r="A666" t="s">
        <v>754</v>
      </c>
      <c r="B666">
        <v>512</v>
      </c>
      <c r="C666">
        <v>0</v>
      </c>
    </row>
    <row r="667" spans="1:3" x14ac:dyDescent="0.15">
      <c r="A667" t="s">
        <v>754</v>
      </c>
      <c r="B667">
        <v>724.07730000000004</v>
      </c>
      <c r="C667">
        <v>0</v>
      </c>
    </row>
    <row r="668" spans="1:3" x14ac:dyDescent="0.15">
      <c r="A668" t="s">
        <v>755</v>
      </c>
      <c r="B668">
        <v>2</v>
      </c>
      <c r="C668">
        <v>3.3285699999999999E-4</v>
      </c>
    </row>
    <row r="669" spans="1:3" x14ac:dyDescent="0.15">
      <c r="A669" t="s">
        <v>755</v>
      </c>
      <c r="B669">
        <v>2.8283999999999998</v>
      </c>
      <c r="C669">
        <v>4.0609799999999997E-4</v>
      </c>
    </row>
    <row r="670" spans="1:3" x14ac:dyDescent="0.15">
      <c r="A670" t="s">
        <v>755</v>
      </c>
      <c r="B670">
        <v>4</v>
      </c>
      <c r="C670">
        <v>4.75744E-4</v>
      </c>
    </row>
    <row r="671" spans="1:3" x14ac:dyDescent="0.15">
      <c r="A671" t="s">
        <v>755</v>
      </c>
      <c r="B671">
        <v>5.6569000000000003</v>
      </c>
      <c r="C671">
        <v>4.8165700000000003E-4</v>
      </c>
    </row>
    <row r="672" spans="1:3" x14ac:dyDescent="0.15">
      <c r="A672" t="s">
        <v>755</v>
      </c>
      <c r="B672">
        <v>8</v>
      </c>
      <c r="C672">
        <v>4.06854E-4</v>
      </c>
    </row>
    <row r="673" spans="1:3" x14ac:dyDescent="0.15">
      <c r="A673" t="s">
        <v>755</v>
      </c>
      <c r="B673">
        <v>11.313700000000001</v>
      </c>
      <c r="C673">
        <v>3.5457300000000001E-4</v>
      </c>
    </row>
    <row r="674" spans="1:3" x14ac:dyDescent="0.15">
      <c r="A674" t="s">
        <v>755</v>
      </c>
      <c r="B674">
        <v>16</v>
      </c>
      <c r="C674">
        <v>3.0415500000000002E-4</v>
      </c>
    </row>
    <row r="675" spans="1:3" x14ac:dyDescent="0.15">
      <c r="A675" t="s">
        <v>755</v>
      </c>
      <c r="B675">
        <v>22.627400000000002</v>
      </c>
      <c r="C675">
        <v>2.8129799999999998E-4</v>
      </c>
    </row>
    <row r="676" spans="1:3" x14ac:dyDescent="0.15">
      <c r="A676" t="s">
        <v>755</v>
      </c>
      <c r="B676">
        <v>32</v>
      </c>
      <c r="C676">
        <v>3.0284799999999998E-4</v>
      </c>
    </row>
    <row r="677" spans="1:3" x14ac:dyDescent="0.15">
      <c r="A677" t="s">
        <v>755</v>
      </c>
      <c r="B677">
        <v>45.254800000000003</v>
      </c>
      <c r="C677">
        <v>3.8634100000000001E-4</v>
      </c>
    </row>
    <row r="678" spans="1:3" x14ac:dyDescent="0.15">
      <c r="A678" t="s">
        <v>755</v>
      </c>
      <c r="B678">
        <v>64</v>
      </c>
      <c r="C678">
        <v>4.5573899999999998E-4</v>
      </c>
    </row>
    <row r="679" spans="1:3" x14ac:dyDescent="0.15">
      <c r="A679" t="s">
        <v>755</v>
      </c>
      <c r="B679">
        <v>90.509699999999995</v>
      </c>
      <c r="C679">
        <v>5.0696599999999997E-4</v>
      </c>
    </row>
    <row r="680" spans="1:3" x14ac:dyDescent="0.15">
      <c r="A680" t="s">
        <v>755</v>
      </c>
      <c r="B680">
        <v>128</v>
      </c>
      <c r="C680">
        <v>4.7672200000000001E-4</v>
      </c>
    </row>
    <row r="681" spans="1:3" x14ac:dyDescent="0.15">
      <c r="A681" t="s">
        <v>755</v>
      </c>
      <c r="B681">
        <v>181.01929999999999</v>
      </c>
      <c r="C681">
        <v>2.3863399999999999E-4</v>
      </c>
    </row>
    <row r="682" spans="1:3" x14ac:dyDescent="0.15">
      <c r="A682" t="s">
        <v>755</v>
      </c>
      <c r="B682">
        <v>256</v>
      </c>
      <c r="C682">
        <v>3.6572000000000002E-5</v>
      </c>
    </row>
    <row r="683" spans="1:3" x14ac:dyDescent="0.15">
      <c r="A683" t="s">
        <v>755</v>
      </c>
      <c r="B683">
        <v>362.03870000000001</v>
      </c>
      <c r="C683">
        <v>6.8199999999999999E-7</v>
      </c>
    </row>
    <row r="684" spans="1:3" x14ac:dyDescent="0.15">
      <c r="A684" t="s">
        <v>755</v>
      </c>
      <c r="B684">
        <v>512</v>
      </c>
      <c r="C684">
        <v>1.0000000000000001E-9</v>
      </c>
    </row>
    <row r="685" spans="1:3" x14ac:dyDescent="0.15">
      <c r="A685" t="s">
        <v>755</v>
      </c>
      <c r="B685">
        <v>724.07730000000004</v>
      </c>
      <c r="C685">
        <v>0</v>
      </c>
    </row>
    <row r="686" spans="1:3" x14ac:dyDescent="0.15">
      <c r="A686" t="s">
        <v>756</v>
      </c>
      <c r="B686">
        <v>2</v>
      </c>
      <c r="C686">
        <v>9.0619500000000005E-4</v>
      </c>
    </row>
    <row r="687" spans="1:3" x14ac:dyDescent="0.15">
      <c r="A687" t="s">
        <v>756</v>
      </c>
      <c r="B687">
        <v>2.8283999999999998</v>
      </c>
      <c r="C687">
        <v>1.0946580000000001E-3</v>
      </c>
    </row>
    <row r="688" spans="1:3" x14ac:dyDescent="0.15">
      <c r="A688" t="s">
        <v>756</v>
      </c>
      <c r="B688">
        <v>4</v>
      </c>
      <c r="C688">
        <v>1.153629E-3</v>
      </c>
    </row>
    <row r="689" spans="1:3" x14ac:dyDescent="0.15">
      <c r="A689" t="s">
        <v>756</v>
      </c>
      <c r="B689">
        <v>5.6569000000000003</v>
      </c>
      <c r="C689">
        <v>1.0533179999999999E-3</v>
      </c>
    </row>
    <row r="690" spans="1:3" x14ac:dyDescent="0.15">
      <c r="A690" t="s">
        <v>756</v>
      </c>
      <c r="B690">
        <v>8</v>
      </c>
      <c r="C690">
        <v>9.9669100000000007E-4</v>
      </c>
    </row>
    <row r="691" spans="1:3" x14ac:dyDescent="0.15">
      <c r="A691" t="s">
        <v>756</v>
      </c>
      <c r="B691">
        <v>11.313700000000001</v>
      </c>
      <c r="C691">
        <v>9.3469699999999996E-4</v>
      </c>
    </row>
    <row r="692" spans="1:3" x14ac:dyDescent="0.15">
      <c r="A692" t="s">
        <v>756</v>
      </c>
      <c r="B692">
        <v>16</v>
      </c>
      <c r="C692">
        <v>7.8203400000000003E-4</v>
      </c>
    </row>
    <row r="693" spans="1:3" x14ac:dyDescent="0.15">
      <c r="A693" t="s">
        <v>756</v>
      </c>
      <c r="B693">
        <v>22.627400000000002</v>
      </c>
      <c r="C693">
        <v>9.0557099999999998E-4</v>
      </c>
    </row>
    <row r="694" spans="1:3" x14ac:dyDescent="0.15">
      <c r="A694" t="s">
        <v>756</v>
      </c>
      <c r="B694">
        <v>32</v>
      </c>
      <c r="C694">
        <v>1.1649410000000001E-3</v>
      </c>
    </row>
    <row r="695" spans="1:3" x14ac:dyDescent="0.15">
      <c r="A695" t="s">
        <v>756</v>
      </c>
      <c r="B695">
        <v>45.254800000000003</v>
      </c>
      <c r="C695">
        <v>1.096542E-3</v>
      </c>
    </row>
    <row r="696" spans="1:3" x14ac:dyDescent="0.15">
      <c r="A696" t="s">
        <v>756</v>
      </c>
      <c r="B696">
        <v>64</v>
      </c>
      <c r="C696">
        <v>5.7060499999999996E-4</v>
      </c>
    </row>
    <row r="697" spans="1:3" x14ac:dyDescent="0.15">
      <c r="A697" t="s">
        <v>756</v>
      </c>
      <c r="B697">
        <v>90.509699999999995</v>
      </c>
      <c r="C697">
        <v>1.9949900000000001E-4</v>
      </c>
    </row>
    <row r="698" spans="1:3" x14ac:dyDescent="0.15">
      <c r="A698" t="s">
        <v>756</v>
      </c>
      <c r="B698">
        <v>128</v>
      </c>
      <c r="C698">
        <v>1.21211E-4</v>
      </c>
    </row>
    <row r="699" spans="1:3" x14ac:dyDescent="0.15">
      <c r="A699" t="s">
        <v>756</v>
      </c>
      <c r="B699">
        <v>181.01929999999999</v>
      </c>
      <c r="C699">
        <v>5.7379000000000001E-5</v>
      </c>
    </row>
    <row r="700" spans="1:3" x14ac:dyDescent="0.15">
      <c r="A700" t="s">
        <v>756</v>
      </c>
      <c r="B700">
        <v>256</v>
      </c>
      <c r="C700">
        <v>8.8170000000000005E-6</v>
      </c>
    </row>
    <row r="701" spans="1:3" x14ac:dyDescent="0.15">
      <c r="A701" t="s">
        <v>756</v>
      </c>
      <c r="B701">
        <v>362.03870000000001</v>
      </c>
      <c r="C701">
        <v>1.6400000000000001E-7</v>
      </c>
    </row>
    <row r="702" spans="1:3" x14ac:dyDescent="0.15">
      <c r="A702" t="s">
        <v>756</v>
      </c>
      <c r="B702">
        <v>512</v>
      </c>
      <c r="C702">
        <v>0</v>
      </c>
    </row>
    <row r="703" spans="1:3" x14ac:dyDescent="0.15">
      <c r="A703" t="s">
        <v>756</v>
      </c>
      <c r="B703">
        <v>724.07730000000004</v>
      </c>
      <c r="C703">
        <v>0</v>
      </c>
    </row>
    <row r="704" spans="1:3" x14ac:dyDescent="0.15">
      <c r="A704" t="s">
        <v>757</v>
      </c>
      <c r="B704">
        <v>2</v>
      </c>
      <c r="C704">
        <v>6.26032E-4</v>
      </c>
    </row>
    <row r="705" spans="1:3" x14ac:dyDescent="0.15">
      <c r="A705" t="s">
        <v>757</v>
      </c>
      <c r="B705">
        <v>2.8283999999999998</v>
      </c>
      <c r="C705">
        <v>7.5343899999999995E-4</v>
      </c>
    </row>
    <row r="706" spans="1:3" x14ac:dyDescent="0.15">
      <c r="A706" t="s">
        <v>757</v>
      </c>
      <c r="B706">
        <v>4</v>
      </c>
      <c r="C706">
        <v>7.4442699999999998E-4</v>
      </c>
    </row>
    <row r="707" spans="1:3" x14ac:dyDescent="0.15">
      <c r="A707" t="s">
        <v>757</v>
      </c>
      <c r="B707">
        <v>5.6569000000000003</v>
      </c>
      <c r="C707">
        <v>6.9397100000000004E-4</v>
      </c>
    </row>
    <row r="708" spans="1:3" x14ac:dyDescent="0.15">
      <c r="A708" t="s">
        <v>757</v>
      </c>
      <c r="B708">
        <v>8</v>
      </c>
      <c r="C708">
        <v>7.1267300000000004E-4</v>
      </c>
    </row>
    <row r="709" spans="1:3" x14ac:dyDescent="0.15">
      <c r="A709" t="s">
        <v>757</v>
      </c>
      <c r="B709">
        <v>11.313700000000001</v>
      </c>
      <c r="C709">
        <v>6.9026700000000005E-4</v>
      </c>
    </row>
    <row r="710" spans="1:3" x14ac:dyDescent="0.15">
      <c r="A710" t="s">
        <v>757</v>
      </c>
      <c r="B710">
        <v>16</v>
      </c>
      <c r="C710">
        <v>7.6361400000000002E-4</v>
      </c>
    </row>
    <row r="711" spans="1:3" x14ac:dyDescent="0.15">
      <c r="A711" t="s">
        <v>757</v>
      </c>
      <c r="B711">
        <v>22.627400000000002</v>
      </c>
      <c r="C711">
        <v>8.4044800000000004E-4</v>
      </c>
    </row>
    <row r="712" spans="1:3" x14ac:dyDescent="0.15">
      <c r="A712" t="s">
        <v>757</v>
      </c>
      <c r="B712">
        <v>32</v>
      </c>
      <c r="C712">
        <v>8.8247100000000001E-4</v>
      </c>
    </row>
    <row r="713" spans="1:3" x14ac:dyDescent="0.15">
      <c r="A713" t="s">
        <v>757</v>
      </c>
      <c r="B713">
        <v>45.254800000000003</v>
      </c>
      <c r="C713">
        <v>8.6352E-4</v>
      </c>
    </row>
    <row r="714" spans="1:3" x14ac:dyDescent="0.15">
      <c r="A714" t="s">
        <v>757</v>
      </c>
      <c r="B714">
        <v>64</v>
      </c>
      <c r="C714">
        <v>7.3907300000000003E-4</v>
      </c>
    </row>
    <row r="715" spans="1:3" x14ac:dyDescent="0.15">
      <c r="A715" t="s">
        <v>757</v>
      </c>
      <c r="B715">
        <v>90.509699999999995</v>
      </c>
      <c r="C715">
        <v>3.6663499999999998E-4</v>
      </c>
    </row>
    <row r="716" spans="1:3" x14ac:dyDescent="0.15">
      <c r="A716" t="s">
        <v>757</v>
      </c>
      <c r="B716">
        <v>128</v>
      </c>
      <c r="C716">
        <v>5.6307000000000001E-5</v>
      </c>
    </row>
    <row r="717" spans="1:3" x14ac:dyDescent="0.15">
      <c r="A717" t="s">
        <v>757</v>
      </c>
      <c r="B717">
        <v>181.01929999999999</v>
      </c>
      <c r="C717">
        <v>1.0499999999999999E-6</v>
      </c>
    </row>
    <row r="718" spans="1:3" x14ac:dyDescent="0.15">
      <c r="A718" t="s">
        <v>757</v>
      </c>
      <c r="B718">
        <v>256</v>
      </c>
      <c r="C718">
        <v>0</v>
      </c>
    </row>
    <row r="719" spans="1:3" x14ac:dyDescent="0.15">
      <c r="A719" t="s">
        <v>757</v>
      </c>
      <c r="B719">
        <v>362.03870000000001</v>
      </c>
      <c r="C719">
        <v>0</v>
      </c>
    </row>
    <row r="720" spans="1:3" x14ac:dyDescent="0.15">
      <c r="A720" t="s">
        <v>757</v>
      </c>
      <c r="B720">
        <v>512</v>
      </c>
      <c r="C720">
        <v>0</v>
      </c>
    </row>
    <row r="721" spans="1:3" x14ac:dyDescent="0.15">
      <c r="A721" t="s">
        <v>757</v>
      </c>
      <c r="B721">
        <v>724.07730000000004</v>
      </c>
      <c r="C721">
        <v>0</v>
      </c>
    </row>
    <row r="722" spans="1:3" x14ac:dyDescent="0.15">
      <c r="A722" t="s">
        <v>758</v>
      </c>
      <c r="B722">
        <v>2</v>
      </c>
      <c r="C722">
        <v>8.5223600000000003E-4</v>
      </c>
    </row>
    <row r="723" spans="1:3" x14ac:dyDescent="0.15">
      <c r="A723" t="s">
        <v>758</v>
      </c>
      <c r="B723">
        <v>2.8283999999999998</v>
      </c>
      <c r="C723">
        <v>1.087558E-3</v>
      </c>
    </row>
    <row r="724" spans="1:3" x14ac:dyDescent="0.15">
      <c r="A724" t="s">
        <v>758</v>
      </c>
      <c r="B724">
        <v>4</v>
      </c>
      <c r="C724">
        <v>1.268382E-3</v>
      </c>
    </row>
    <row r="725" spans="1:3" x14ac:dyDescent="0.15">
      <c r="A725" t="s">
        <v>758</v>
      </c>
      <c r="B725">
        <v>5.6569000000000003</v>
      </c>
      <c r="C725">
        <v>1.291241E-3</v>
      </c>
    </row>
    <row r="726" spans="1:3" x14ac:dyDescent="0.15">
      <c r="A726" t="s">
        <v>758</v>
      </c>
      <c r="B726">
        <v>8</v>
      </c>
      <c r="C726">
        <v>1.164181E-3</v>
      </c>
    </row>
    <row r="727" spans="1:3" x14ac:dyDescent="0.15">
      <c r="A727" t="s">
        <v>758</v>
      </c>
      <c r="B727">
        <v>11.313700000000001</v>
      </c>
      <c r="C727">
        <v>9.4494999999999996E-4</v>
      </c>
    </row>
    <row r="728" spans="1:3" x14ac:dyDescent="0.15">
      <c r="A728" t="s">
        <v>758</v>
      </c>
      <c r="B728">
        <v>16</v>
      </c>
      <c r="C728">
        <v>7.3785799999999998E-4</v>
      </c>
    </row>
    <row r="729" spans="1:3" x14ac:dyDescent="0.15">
      <c r="A729" t="s">
        <v>758</v>
      </c>
      <c r="B729">
        <v>22.627400000000002</v>
      </c>
      <c r="C729">
        <v>5.83498E-4</v>
      </c>
    </row>
    <row r="730" spans="1:3" x14ac:dyDescent="0.15">
      <c r="A730" t="s">
        <v>758</v>
      </c>
      <c r="B730">
        <v>32</v>
      </c>
      <c r="C730">
        <v>5.19583E-4</v>
      </c>
    </row>
    <row r="731" spans="1:3" x14ac:dyDescent="0.15">
      <c r="A731" t="s">
        <v>758</v>
      </c>
      <c r="B731">
        <v>45.254800000000003</v>
      </c>
      <c r="C731">
        <v>5.9802499999999997E-4</v>
      </c>
    </row>
    <row r="732" spans="1:3" x14ac:dyDescent="0.15">
      <c r="A732" t="s">
        <v>758</v>
      </c>
      <c r="B732">
        <v>64</v>
      </c>
      <c r="C732">
        <v>5.8739700000000003E-4</v>
      </c>
    </row>
    <row r="733" spans="1:3" x14ac:dyDescent="0.15">
      <c r="A733" t="s">
        <v>758</v>
      </c>
      <c r="B733">
        <v>90.509699999999995</v>
      </c>
      <c r="C733">
        <v>4.7076699999999997E-4</v>
      </c>
    </row>
    <row r="734" spans="1:3" x14ac:dyDescent="0.15">
      <c r="A734" t="s">
        <v>758</v>
      </c>
      <c r="B734">
        <v>128</v>
      </c>
      <c r="C734">
        <v>4.04161E-4</v>
      </c>
    </row>
    <row r="735" spans="1:3" x14ac:dyDescent="0.15">
      <c r="A735" t="s">
        <v>758</v>
      </c>
      <c r="B735">
        <v>181.01929999999999</v>
      </c>
      <c r="C735">
        <v>2.04417E-4</v>
      </c>
    </row>
    <row r="736" spans="1:3" x14ac:dyDescent="0.15">
      <c r="A736" t="s">
        <v>758</v>
      </c>
      <c r="B736">
        <v>256</v>
      </c>
      <c r="C736">
        <v>3.1472E-5</v>
      </c>
    </row>
    <row r="737" spans="1:3" x14ac:dyDescent="0.15">
      <c r="A737" t="s">
        <v>758</v>
      </c>
      <c r="B737">
        <v>362.03870000000001</v>
      </c>
      <c r="C737">
        <v>5.8699999999999995E-7</v>
      </c>
    </row>
    <row r="738" spans="1:3" x14ac:dyDescent="0.15">
      <c r="A738" t="s">
        <v>758</v>
      </c>
      <c r="B738">
        <v>512</v>
      </c>
      <c r="C738">
        <v>0</v>
      </c>
    </row>
    <row r="739" spans="1:3" x14ac:dyDescent="0.15">
      <c r="A739" t="s">
        <v>758</v>
      </c>
      <c r="B739">
        <v>724.07730000000004</v>
      </c>
      <c r="C739">
        <v>0</v>
      </c>
    </row>
    <row r="740" spans="1:3" x14ac:dyDescent="0.15">
      <c r="A740" t="s">
        <v>759</v>
      </c>
      <c r="B740">
        <v>2</v>
      </c>
      <c r="C740">
        <v>6.7346799999999998E-4</v>
      </c>
    </row>
    <row r="741" spans="1:3" x14ac:dyDescent="0.15">
      <c r="A741" t="s">
        <v>759</v>
      </c>
      <c r="B741">
        <v>2.8283999999999998</v>
      </c>
      <c r="C741">
        <v>7.7106699999999995E-4</v>
      </c>
    </row>
    <row r="742" spans="1:3" x14ac:dyDescent="0.15">
      <c r="A742" t="s">
        <v>759</v>
      </c>
      <c r="B742">
        <v>4</v>
      </c>
      <c r="C742">
        <v>7.9224199999999997E-4</v>
      </c>
    </row>
    <row r="743" spans="1:3" x14ac:dyDescent="0.15">
      <c r="A743" t="s">
        <v>759</v>
      </c>
      <c r="B743">
        <v>5.6569000000000003</v>
      </c>
      <c r="C743">
        <v>7.8328600000000001E-4</v>
      </c>
    </row>
    <row r="744" spans="1:3" x14ac:dyDescent="0.15">
      <c r="A744" t="s">
        <v>759</v>
      </c>
      <c r="B744">
        <v>8</v>
      </c>
      <c r="C744">
        <v>7.5345700000000002E-4</v>
      </c>
    </row>
    <row r="745" spans="1:3" x14ac:dyDescent="0.15">
      <c r="A745" t="s">
        <v>759</v>
      </c>
      <c r="B745">
        <v>11.313700000000001</v>
      </c>
      <c r="C745">
        <v>6.0820700000000004E-4</v>
      </c>
    </row>
    <row r="746" spans="1:3" x14ac:dyDescent="0.15">
      <c r="A746" t="s">
        <v>759</v>
      </c>
      <c r="B746">
        <v>16</v>
      </c>
      <c r="C746">
        <v>5.4044E-4</v>
      </c>
    </row>
    <row r="747" spans="1:3" x14ac:dyDescent="0.15">
      <c r="A747" t="s">
        <v>759</v>
      </c>
      <c r="B747">
        <v>22.627400000000002</v>
      </c>
      <c r="C747">
        <v>6.6789799999999999E-4</v>
      </c>
    </row>
    <row r="748" spans="1:3" x14ac:dyDescent="0.15">
      <c r="A748" t="s">
        <v>759</v>
      </c>
      <c r="B748">
        <v>32</v>
      </c>
      <c r="C748">
        <v>6.7406499999999995E-4</v>
      </c>
    </row>
    <row r="749" spans="1:3" x14ac:dyDescent="0.15">
      <c r="A749" t="s">
        <v>759</v>
      </c>
      <c r="B749">
        <v>45.254800000000003</v>
      </c>
      <c r="C749">
        <v>3.98694E-4</v>
      </c>
    </row>
    <row r="750" spans="1:3" x14ac:dyDescent="0.15">
      <c r="A750" t="s">
        <v>759</v>
      </c>
      <c r="B750">
        <v>64</v>
      </c>
      <c r="C750">
        <v>1.4727800000000001E-4</v>
      </c>
    </row>
    <row r="751" spans="1:3" x14ac:dyDescent="0.15">
      <c r="A751" t="s">
        <v>759</v>
      </c>
      <c r="B751">
        <v>90.509699999999995</v>
      </c>
      <c r="C751">
        <v>5.5084000000000003E-5</v>
      </c>
    </row>
    <row r="752" spans="1:3" x14ac:dyDescent="0.15">
      <c r="A752" t="s">
        <v>759</v>
      </c>
      <c r="B752">
        <v>128</v>
      </c>
      <c r="C752">
        <v>8.3049999999999993E-6</v>
      </c>
    </row>
    <row r="753" spans="1:3" x14ac:dyDescent="0.15">
      <c r="A753" t="s">
        <v>759</v>
      </c>
      <c r="B753">
        <v>181.01929999999999</v>
      </c>
      <c r="C753">
        <v>1.55E-7</v>
      </c>
    </row>
    <row r="754" spans="1:3" x14ac:dyDescent="0.15">
      <c r="A754" t="s">
        <v>759</v>
      </c>
      <c r="B754">
        <v>256</v>
      </c>
      <c r="C754">
        <v>0</v>
      </c>
    </row>
    <row r="755" spans="1:3" x14ac:dyDescent="0.15">
      <c r="A755" t="s">
        <v>759</v>
      </c>
      <c r="B755">
        <v>362.03870000000001</v>
      </c>
      <c r="C755">
        <v>0</v>
      </c>
    </row>
    <row r="756" spans="1:3" x14ac:dyDescent="0.15">
      <c r="A756" t="s">
        <v>759</v>
      </c>
      <c r="B756">
        <v>512</v>
      </c>
      <c r="C756">
        <v>0</v>
      </c>
    </row>
    <row r="757" spans="1:3" x14ac:dyDescent="0.15">
      <c r="A757" t="s">
        <v>759</v>
      </c>
      <c r="B757">
        <v>724.07730000000004</v>
      </c>
      <c r="C757">
        <v>0</v>
      </c>
    </row>
    <row r="758" spans="1:3" x14ac:dyDescent="0.15">
      <c r="A758" t="s">
        <v>760</v>
      </c>
      <c r="B758">
        <v>2</v>
      </c>
      <c r="C758">
        <v>4.4685800000000001E-4</v>
      </c>
    </row>
    <row r="759" spans="1:3" x14ac:dyDescent="0.15">
      <c r="A759" t="s">
        <v>760</v>
      </c>
      <c r="B759">
        <v>2.8283999999999998</v>
      </c>
      <c r="C759">
        <v>4.8025299999999998E-4</v>
      </c>
    </row>
    <row r="760" spans="1:3" x14ac:dyDescent="0.15">
      <c r="A760" t="s">
        <v>760</v>
      </c>
      <c r="B760">
        <v>4</v>
      </c>
      <c r="C760">
        <v>5.0746799999999996E-4</v>
      </c>
    </row>
    <row r="761" spans="1:3" x14ac:dyDescent="0.15">
      <c r="A761" t="s">
        <v>760</v>
      </c>
      <c r="B761">
        <v>5.6569000000000003</v>
      </c>
      <c r="C761">
        <v>5.2158599999999999E-4</v>
      </c>
    </row>
    <row r="762" spans="1:3" x14ac:dyDescent="0.15">
      <c r="A762" t="s">
        <v>760</v>
      </c>
      <c r="B762">
        <v>8</v>
      </c>
      <c r="C762">
        <v>5.1200900000000001E-4</v>
      </c>
    </row>
    <row r="763" spans="1:3" x14ac:dyDescent="0.15">
      <c r="A763" t="s">
        <v>760</v>
      </c>
      <c r="B763">
        <v>11.313700000000001</v>
      </c>
      <c r="C763">
        <v>4.84024E-4</v>
      </c>
    </row>
    <row r="764" spans="1:3" x14ac:dyDescent="0.15">
      <c r="A764" t="s">
        <v>760</v>
      </c>
      <c r="B764">
        <v>16</v>
      </c>
      <c r="C764">
        <v>4.5154E-4</v>
      </c>
    </row>
    <row r="765" spans="1:3" x14ac:dyDescent="0.15">
      <c r="A765" t="s">
        <v>760</v>
      </c>
      <c r="B765">
        <v>22.627400000000002</v>
      </c>
      <c r="C765">
        <v>4.0439399999999998E-4</v>
      </c>
    </row>
    <row r="766" spans="1:3" x14ac:dyDescent="0.15">
      <c r="A766" t="s">
        <v>760</v>
      </c>
      <c r="B766">
        <v>32</v>
      </c>
      <c r="C766">
        <v>3.5151699999999998E-4</v>
      </c>
    </row>
    <row r="767" spans="1:3" x14ac:dyDescent="0.15">
      <c r="A767" t="s">
        <v>760</v>
      </c>
      <c r="B767">
        <v>45.254800000000003</v>
      </c>
      <c r="C767">
        <v>3.2035400000000002E-4</v>
      </c>
    </row>
    <row r="768" spans="1:3" x14ac:dyDescent="0.15">
      <c r="A768" t="s">
        <v>760</v>
      </c>
      <c r="B768">
        <v>64</v>
      </c>
      <c r="C768">
        <v>2.9103100000000003E-4</v>
      </c>
    </row>
    <row r="769" spans="1:3" x14ac:dyDescent="0.15">
      <c r="A769" t="s">
        <v>760</v>
      </c>
      <c r="B769">
        <v>90.509699999999995</v>
      </c>
      <c r="C769">
        <v>1.8817700000000001E-4</v>
      </c>
    </row>
    <row r="770" spans="1:3" x14ac:dyDescent="0.15">
      <c r="A770" t="s">
        <v>760</v>
      </c>
      <c r="B770">
        <v>128</v>
      </c>
      <c r="C770">
        <v>7.5345000000000005E-5</v>
      </c>
    </row>
    <row r="771" spans="1:3" x14ac:dyDescent="0.15">
      <c r="A771" t="s">
        <v>760</v>
      </c>
      <c r="B771">
        <v>181.01929999999999</v>
      </c>
      <c r="C771">
        <v>2.8651000000000001E-5</v>
      </c>
    </row>
    <row r="772" spans="1:3" x14ac:dyDescent="0.15">
      <c r="A772" t="s">
        <v>760</v>
      </c>
      <c r="B772">
        <v>256</v>
      </c>
      <c r="C772">
        <v>4.3490000000000002E-6</v>
      </c>
    </row>
    <row r="773" spans="1:3" x14ac:dyDescent="0.15">
      <c r="A773" t="s">
        <v>760</v>
      </c>
      <c r="B773">
        <v>362.03870000000001</v>
      </c>
      <c r="C773">
        <v>8.0999999999999997E-8</v>
      </c>
    </row>
    <row r="774" spans="1:3" x14ac:dyDescent="0.15">
      <c r="A774" t="s">
        <v>760</v>
      </c>
      <c r="B774">
        <v>512</v>
      </c>
      <c r="C774">
        <v>0</v>
      </c>
    </row>
    <row r="775" spans="1:3" x14ac:dyDescent="0.15">
      <c r="A775" t="s">
        <v>760</v>
      </c>
      <c r="B775">
        <v>724.07730000000004</v>
      </c>
      <c r="C775">
        <v>0</v>
      </c>
    </row>
    <row r="776" spans="1:3" x14ac:dyDescent="0.15">
      <c r="A776" t="s">
        <v>770</v>
      </c>
      <c r="B776">
        <v>2</v>
      </c>
      <c r="C776">
        <v>2.9000000000000002E-8</v>
      </c>
    </row>
    <row r="777" spans="1:3" x14ac:dyDescent="0.15">
      <c r="A777" t="s">
        <v>770</v>
      </c>
      <c r="B777">
        <v>2.8283999999999998</v>
      </c>
      <c r="C777">
        <v>4.0000000000000001E-8</v>
      </c>
    </row>
    <row r="778" spans="1:3" x14ac:dyDescent="0.15">
      <c r="A778" t="s">
        <v>770</v>
      </c>
      <c r="B778">
        <v>4</v>
      </c>
      <c r="C778">
        <v>1.6884322E-2</v>
      </c>
    </row>
    <row r="779" spans="1:3" x14ac:dyDescent="0.15">
      <c r="A779" t="s">
        <v>770</v>
      </c>
      <c r="B779">
        <v>5.6569000000000003</v>
      </c>
      <c r="C779">
        <v>1.4962112E-2</v>
      </c>
    </row>
    <row r="780" spans="1:3" x14ac:dyDescent="0.15">
      <c r="A780" t="s">
        <v>770</v>
      </c>
      <c r="B780">
        <v>8</v>
      </c>
      <c r="C780">
        <v>1.3052355999999999E-2</v>
      </c>
    </row>
    <row r="781" spans="1:3" x14ac:dyDescent="0.15">
      <c r="A781" t="s">
        <v>770</v>
      </c>
      <c r="B781">
        <v>11.313700000000001</v>
      </c>
      <c r="C781">
        <v>1.5989573E-2</v>
      </c>
    </row>
    <row r="782" spans="1:3" x14ac:dyDescent="0.15">
      <c r="A782" t="s">
        <v>770</v>
      </c>
      <c r="B782">
        <v>16</v>
      </c>
      <c r="C782">
        <v>1.4305457000000001E-2</v>
      </c>
    </row>
    <row r="783" spans="1:3" x14ac:dyDescent="0.15">
      <c r="A783" t="s">
        <v>770</v>
      </c>
      <c r="B783">
        <v>22.627400000000002</v>
      </c>
      <c r="C783">
        <v>8.8745960000000002E-3</v>
      </c>
    </row>
    <row r="784" spans="1:3" x14ac:dyDescent="0.15">
      <c r="A784" t="s">
        <v>770</v>
      </c>
      <c r="B784">
        <v>32</v>
      </c>
      <c r="C784">
        <v>7.3000169999999998E-3</v>
      </c>
    </row>
    <row r="785" spans="1:3" x14ac:dyDescent="0.15">
      <c r="A785" t="s">
        <v>770</v>
      </c>
      <c r="B785">
        <v>45.254800000000003</v>
      </c>
      <c r="C785">
        <v>7.0560739999999999E-3</v>
      </c>
    </row>
    <row r="786" spans="1:3" x14ac:dyDescent="0.15">
      <c r="A786" t="s">
        <v>770</v>
      </c>
      <c r="B786">
        <v>64</v>
      </c>
      <c r="C786">
        <v>6.4654939999999996E-3</v>
      </c>
    </row>
    <row r="787" spans="1:3" x14ac:dyDescent="0.15">
      <c r="A787" t="s">
        <v>770</v>
      </c>
      <c r="B787">
        <v>90.509699999999995</v>
      </c>
      <c r="C787">
        <v>3.2494300000000002E-3</v>
      </c>
    </row>
    <row r="788" spans="1:3" x14ac:dyDescent="0.15">
      <c r="A788" t="s">
        <v>770</v>
      </c>
      <c r="B788">
        <v>128</v>
      </c>
      <c r="C788">
        <v>4.97734E-4</v>
      </c>
    </row>
    <row r="789" spans="1:3" x14ac:dyDescent="0.15">
      <c r="A789" t="s">
        <v>770</v>
      </c>
      <c r="B789">
        <v>181.01929999999999</v>
      </c>
      <c r="C789">
        <v>9.2790000000000004E-6</v>
      </c>
    </row>
    <row r="790" spans="1:3" x14ac:dyDescent="0.15">
      <c r="A790" t="s">
        <v>770</v>
      </c>
      <c r="B790">
        <v>256</v>
      </c>
      <c r="C790">
        <v>0</v>
      </c>
    </row>
    <row r="791" spans="1:3" x14ac:dyDescent="0.15">
      <c r="A791" t="s">
        <v>770</v>
      </c>
      <c r="B791">
        <v>362.03870000000001</v>
      </c>
      <c r="C791">
        <v>0</v>
      </c>
    </row>
    <row r="792" spans="1:3" x14ac:dyDescent="0.15">
      <c r="A792" t="s">
        <v>770</v>
      </c>
      <c r="B792">
        <v>512</v>
      </c>
      <c r="C792">
        <v>0</v>
      </c>
    </row>
    <row r="793" spans="1:3" x14ac:dyDescent="0.15">
      <c r="A793" t="s">
        <v>770</v>
      </c>
      <c r="B793">
        <v>724.07730000000004</v>
      </c>
      <c r="C793">
        <v>0</v>
      </c>
    </row>
    <row r="794" spans="1:3" x14ac:dyDescent="0.15">
      <c r="A794" t="s">
        <v>761</v>
      </c>
      <c r="B794">
        <v>2</v>
      </c>
      <c r="C794">
        <v>9.6926E-4</v>
      </c>
    </row>
    <row r="795" spans="1:3" x14ac:dyDescent="0.15">
      <c r="A795" t="s">
        <v>761</v>
      </c>
      <c r="B795">
        <v>2.8283999999999998</v>
      </c>
      <c r="C795">
        <v>1.047678E-3</v>
      </c>
    </row>
    <row r="796" spans="1:3" x14ac:dyDescent="0.15">
      <c r="A796" t="s">
        <v>761</v>
      </c>
      <c r="B796">
        <v>4</v>
      </c>
      <c r="C796">
        <v>1.0618240000000001E-3</v>
      </c>
    </row>
    <row r="797" spans="1:3" x14ac:dyDescent="0.15">
      <c r="A797" t="s">
        <v>761</v>
      </c>
      <c r="B797">
        <v>5.6569000000000003</v>
      </c>
      <c r="C797">
        <v>1.00994E-3</v>
      </c>
    </row>
    <row r="798" spans="1:3" x14ac:dyDescent="0.15">
      <c r="A798" t="s">
        <v>761</v>
      </c>
      <c r="B798">
        <v>8</v>
      </c>
      <c r="C798">
        <v>9.891329999999999E-4</v>
      </c>
    </row>
    <row r="799" spans="1:3" x14ac:dyDescent="0.15">
      <c r="A799" t="s">
        <v>761</v>
      </c>
      <c r="B799">
        <v>11.313700000000001</v>
      </c>
      <c r="C799">
        <v>1.008246E-3</v>
      </c>
    </row>
    <row r="800" spans="1:3" x14ac:dyDescent="0.15">
      <c r="A800" t="s">
        <v>761</v>
      </c>
      <c r="B800">
        <v>16</v>
      </c>
      <c r="C800">
        <v>9.1037699999999997E-4</v>
      </c>
    </row>
    <row r="801" spans="1:3" x14ac:dyDescent="0.15">
      <c r="A801" t="s">
        <v>761</v>
      </c>
      <c r="B801">
        <v>22.627400000000002</v>
      </c>
      <c r="C801">
        <v>7.1796800000000003E-4</v>
      </c>
    </row>
    <row r="802" spans="1:3" x14ac:dyDescent="0.15">
      <c r="A802" t="s">
        <v>761</v>
      </c>
      <c r="B802">
        <v>32</v>
      </c>
      <c r="C802">
        <v>6.3470200000000001E-4</v>
      </c>
    </row>
    <row r="803" spans="1:3" x14ac:dyDescent="0.15">
      <c r="A803" t="s">
        <v>761</v>
      </c>
      <c r="B803">
        <v>45.254800000000003</v>
      </c>
      <c r="C803">
        <v>4.5438400000000001E-4</v>
      </c>
    </row>
    <row r="804" spans="1:3" x14ac:dyDescent="0.15">
      <c r="A804" t="s">
        <v>761</v>
      </c>
      <c r="B804">
        <v>64</v>
      </c>
      <c r="C804">
        <v>2.6079899999999998E-4</v>
      </c>
    </row>
    <row r="805" spans="1:3" x14ac:dyDescent="0.15">
      <c r="A805" t="s">
        <v>761</v>
      </c>
      <c r="B805">
        <v>90.509699999999995</v>
      </c>
      <c r="C805">
        <v>1.20251E-4</v>
      </c>
    </row>
    <row r="806" spans="1:3" x14ac:dyDescent="0.15">
      <c r="A806" t="s">
        <v>761</v>
      </c>
      <c r="B806">
        <v>128</v>
      </c>
      <c r="C806">
        <v>1.8417999999999999E-5</v>
      </c>
    </row>
    <row r="807" spans="1:3" x14ac:dyDescent="0.15">
      <c r="A807" t="s">
        <v>761</v>
      </c>
      <c r="B807">
        <v>181.01929999999999</v>
      </c>
      <c r="C807">
        <v>3.4400000000000001E-7</v>
      </c>
    </row>
    <row r="808" spans="1:3" x14ac:dyDescent="0.15">
      <c r="A808" t="s">
        <v>761</v>
      </c>
      <c r="B808">
        <v>256</v>
      </c>
      <c r="C808">
        <v>0</v>
      </c>
    </row>
    <row r="809" spans="1:3" x14ac:dyDescent="0.15">
      <c r="A809" t="s">
        <v>761</v>
      </c>
      <c r="B809">
        <v>362.03870000000001</v>
      </c>
      <c r="C809">
        <v>0</v>
      </c>
    </row>
    <row r="810" spans="1:3" x14ac:dyDescent="0.15">
      <c r="A810" t="s">
        <v>761</v>
      </c>
      <c r="B810">
        <v>512</v>
      </c>
      <c r="C810">
        <v>0</v>
      </c>
    </row>
    <row r="811" spans="1:3" x14ac:dyDescent="0.15">
      <c r="A811" t="s">
        <v>761</v>
      </c>
      <c r="B811">
        <v>724.07730000000004</v>
      </c>
      <c r="C811">
        <v>0</v>
      </c>
    </row>
    <row r="812" spans="1:3" x14ac:dyDescent="0.15">
      <c r="A812" t="s">
        <v>762</v>
      </c>
      <c r="B812">
        <v>2</v>
      </c>
      <c r="C812">
        <v>4.8635900000000001E-4</v>
      </c>
    </row>
    <row r="813" spans="1:3" x14ac:dyDescent="0.15">
      <c r="A813" t="s">
        <v>762</v>
      </c>
      <c r="B813">
        <v>2.8283999999999998</v>
      </c>
      <c r="C813">
        <v>5.4552500000000005E-4</v>
      </c>
    </row>
    <row r="814" spans="1:3" x14ac:dyDescent="0.15">
      <c r="A814" t="s">
        <v>762</v>
      </c>
      <c r="B814">
        <v>4</v>
      </c>
      <c r="C814">
        <v>5.8543799999999997E-4</v>
      </c>
    </row>
    <row r="815" spans="1:3" x14ac:dyDescent="0.15">
      <c r="A815" t="s">
        <v>762</v>
      </c>
      <c r="B815">
        <v>5.6569000000000003</v>
      </c>
      <c r="C815">
        <v>5.8176500000000004E-4</v>
      </c>
    </row>
    <row r="816" spans="1:3" x14ac:dyDescent="0.15">
      <c r="A816" t="s">
        <v>762</v>
      </c>
      <c r="B816">
        <v>8</v>
      </c>
      <c r="C816">
        <v>6.2124499999999998E-4</v>
      </c>
    </row>
    <row r="817" spans="1:3" x14ac:dyDescent="0.15">
      <c r="A817" t="s">
        <v>762</v>
      </c>
      <c r="B817">
        <v>11.313700000000001</v>
      </c>
      <c r="C817">
        <v>6.7504399999999997E-4</v>
      </c>
    </row>
    <row r="818" spans="1:3" x14ac:dyDescent="0.15">
      <c r="A818" t="s">
        <v>762</v>
      </c>
      <c r="B818">
        <v>16</v>
      </c>
      <c r="C818">
        <v>6.1754599999999996E-4</v>
      </c>
    </row>
    <row r="819" spans="1:3" x14ac:dyDescent="0.15">
      <c r="A819" t="s">
        <v>762</v>
      </c>
      <c r="B819">
        <v>22.627400000000002</v>
      </c>
      <c r="C819">
        <v>4.2515400000000002E-4</v>
      </c>
    </row>
    <row r="820" spans="1:3" x14ac:dyDescent="0.15">
      <c r="A820" t="s">
        <v>762</v>
      </c>
      <c r="B820">
        <v>32</v>
      </c>
      <c r="C820">
        <v>3.4845399999999999E-4</v>
      </c>
    </row>
    <row r="821" spans="1:3" x14ac:dyDescent="0.15">
      <c r="A821" t="s">
        <v>762</v>
      </c>
      <c r="B821">
        <v>45.254800000000003</v>
      </c>
      <c r="C821">
        <v>3.8076800000000002E-4</v>
      </c>
    </row>
    <row r="822" spans="1:3" x14ac:dyDescent="0.15">
      <c r="A822" t="s">
        <v>762</v>
      </c>
      <c r="B822">
        <v>64</v>
      </c>
      <c r="C822">
        <v>3.36511E-4</v>
      </c>
    </row>
    <row r="823" spans="1:3" x14ac:dyDescent="0.15">
      <c r="A823" t="s">
        <v>762</v>
      </c>
      <c r="B823">
        <v>90.509699999999995</v>
      </c>
      <c r="C823">
        <v>2.63995E-4</v>
      </c>
    </row>
    <row r="824" spans="1:3" x14ac:dyDescent="0.15">
      <c r="A824" t="s">
        <v>762</v>
      </c>
      <c r="B824">
        <v>128</v>
      </c>
      <c r="C824">
        <v>2.10072E-4</v>
      </c>
    </row>
    <row r="825" spans="1:3" x14ac:dyDescent="0.15">
      <c r="A825" t="s">
        <v>762</v>
      </c>
      <c r="B825">
        <v>181.01929999999999</v>
      </c>
      <c r="C825">
        <v>1.0305400000000001E-4</v>
      </c>
    </row>
    <row r="826" spans="1:3" x14ac:dyDescent="0.15">
      <c r="A826" t="s">
        <v>762</v>
      </c>
      <c r="B826">
        <v>256</v>
      </c>
      <c r="C826">
        <v>1.5820000000000001E-5</v>
      </c>
    </row>
    <row r="827" spans="1:3" x14ac:dyDescent="0.15">
      <c r="A827" t="s">
        <v>762</v>
      </c>
      <c r="B827">
        <v>362.03870000000001</v>
      </c>
      <c r="C827">
        <v>2.9499999999999998E-7</v>
      </c>
    </row>
    <row r="828" spans="1:3" x14ac:dyDescent="0.15">
      <c r="A828" t="s">
        <v>762</v>
      </c>
      <c r="B828">
        <v>512</v>
      </c>
      <c r="C828">
        <v>0</v>
      </c>
    </row>
    <row r="829" spans="1:3" x14ac:dyDescent="0.15">
      <c r="A829" t="s">
        <v>762</v>
      </c>
      <c r="B829">
        <v>724.07730000000004</v>
      </c>
      <c r="C829">
        <v>0</v>
      </c>
    </row>
    <row r="830" spans="1:3" x14ac:dyDescent="0.15">
      <c r="A830" t="s">
        <v>763</v>
      </c>
      <c r="B830">
        <v>2</v>
      </c>
      <c r="C830">
        <v>5.5650299999999997E-4</v>
      </c>
    </row>
    <row r="831" spans="1:3" x14ac:dyDescent="0.15">
      <c r="A831" t="s">
        <v>763</v>
      </c>
      <c r="B831">
        <v>2.8283999999999998</v>
      </c>
      <c r="C831">
        <v>6.3868699999999998E-4</v>
      </c>
    </row>
    <row r="832" spans="1:3" x14ac:dyDescent="0.15">
      <c r="A832" t="s">
        <v>763</v>
      </c>
      <c r="B832">
        <v>4</v>
      </c>
      <c r="C832">
        <v>7.1396100000000004E-4</v>
      </c>
    </row>
    <row r="833" spans="1:3" x14ac:dyDescent="0.15">
      <c r="A833" t="s">
        <v>763</v>
      </c>
      <c r="B833">
        <v>5.6569000000000003</v>
      </c>
      <c r="C833">
        <v>7.18379E-4</v>
      </c>
    </row>
    <row r="834" spans="1:3" x14ac:dyDescent="0.15">
      <c r="A834" t="s">
        <v>763</v>
      </c>
      <c r="B834">
        <v>8</v>
      </c>
      <c r="C834">
        <v>7.5374199999999995E-4</v>
      </c>
    </row>
    <row r="835" spans="1:3" x14ac:dyDescent="0.15">
      <c r="A835" t="s">
        <v>763</v>
      </c>
      <c r="B835">
        <v>11.313700000000001</v>
      </c>
      <c r="C835">
        <v>8.0863599999999995E-4</v>
      </c>
    </row>
    <row r="836" spans="1:3" x14ac:dyDescent="0.15">
      <c r="A836" t="s">
        <v>763</v>
      </c>
      <c r="B836">
        <v>16</v>
      </c>
      <c r="C836">
        <v>7.8069299999999995E-4</v>
      </c>
    </row>
    <row r="837" spans="1:3" x14ac:dyDescent="0.15">
      <c r="A837" t="s">
        <v>763</v>
      </c>
      <c r="B837">
        <v>22.627400000000002</v>
      </c>
      <c r="C837">
        <v>6.3020199999999995E-4</v>
      </c>
    </row>
    <row r="838" spans="1:3" x14ac:dyDescent="0.15">
      <c r="A838" t="s">
        <v>763</v>
      </c>
      <c r="B838">
        <v>32</v>
      </c>
      <c r="C838">
        <v>5.2031199999999999E-4</v>
      </c>
    </row>
    <row r="839" spans="1:3" x14ac:dyDescent="0.15">
      <c r="A839" t="s">
        <v>763</v>
      </c>
      <c r="B839">
        <v>45.254800000000003</v>
      </c>
      <c r="C839">
        <v>4.9938599999999999E-4</v>
      </c>
    </row>
    <row r="840" spans="1:3" x14ac:dyDescent="0.15">
      <c r="A840" t="s">
        <v>763</v>
      </c>
      <c r="B840">
        <v>64</v>
      </c>
      <c r="C840">
        <v>3.5975100000000001E-4</v>
      </c>
    </row>
    <row r="841" spans="1:3" x14ac:dyDescent="0.15">
      <c r="A841" t="s">
        <v>763</v>
      </c>
      <c r="B841">
        <v>90.509699999999995</v>
      </c>
      <c r="C841">
        <v>1.21588E-4</v>
      </c>
    </row>
    <row r="842" spans="1:3" x14ac:dyDescent="0.15">
      <c r="A842" t="s">
        <v>763</v>
      </c>
      <c r="B842">
        <v>128</v>
      </c>
      <c r="C842">
        <v>2.0166E-5</v>
      </c>
    </row>
    <row r="843" spans="1:3" x14ac:dyDescent="0.15">
      <c r="A843" t="s">
        <v>763</v>
      </c>
      <c r="B843">
        <v>181.01929999999999</v>
      </c>
      <c r="C843">
        <v>2.0169E-5</v>
      </c>
    </row>
    <row r="844" spans="1:3" x14ac:dyDescent="0.15">
      <c r="A844" t="s">
        <v>763</v>
      </c>
      <c r="B844">
        <v>256</v>
      </c>
      <c r="C844">
        <v>3.1609999999999999E-6</v>
      </c>
    </row>
    <row r="845" spans="1:3" x14ac:dyDescent="0.15">
      <c r="A845" t="s">
        <v>763</v>
      </c>
      <c r="B845">
        <v>362.03870000000001</v>
      </c>
      <c r="C845">
        <v>5.8999999999999999E-8</v>
      </c>
    </row>
    <row r="846" spans="1:3" x14ac:dyDescent="0.15">
      <c r="A846" t="s">
        <v>763</v>
      </c>
      <c r="B846">
        <v>512</v>
      </c>
      <c r="C846">
        <v>0</v>
      </c>
    </row>
    <row r="847" spans="1:3" x14ac:dyDescent="0.15">
      <c r="A847" t="s">
        <v>763</v>
      </c>
      <c r="B847">
        <v>724.07730000000004</v>
      </c>
      <c r="C847">
        <v>0</v>
      </c>
    </row>
    <row r="848" spans="1:3" x14ac:dyDescent="0.15">
      <c r="A848" t="s">
        <v>764</v>
      </c>
      <c r="B848">
        <v>2</v>
      </c>
      <c r="C848">
        <v>6.7190499999999998E-4</v>
      </c>
    </row>
    <row r="849" spans="1:3" x14ac:dyDescent="0.15">
      <c r="A849" t="s">
        <v>764</v>
      </c>
      <c r="B849">
        <v>2.8283999999999998</v>
      </c>
      <c r="C849">
        <v>7.9671199999999998E-4</v>
      </c>
    </row>
    <row r="850" spans="1:3" x14ac:dyDescent="0.15">
      <c r="A850" t="s">
        <v>764</v>
      </c>
      <c r="B850">
        <v>4</v>
      </c>
      <c r="C850">
        <v>8.2461500000000001E-4</v>
      </c>
    </row>
    <row r="851" spans="1:3" x14ac:dyDescent="0.15">
      <c r="A851" t="s">
        <v>764</v>
      </c>
      <c r="B851">
        <v>5.6569000000000003</v>
      </c>
      <c r="C851">
        <v>8.2454900000000005E-4</v>
      </c>
    </row>
    <row r="852" spans="1:3" x14ac:dyDescent="0.15">
      <c r="A852" t="s">
        <v>764</v>
      </c>
      <c r="B852">
        <v>8</v>
      </c>
      <c r="C852">
        <v>9.2051899999999996E-4</v>
      </c>
    </row>
    <row r="853" spans="1:3" x14ac:dyDescent="0.15">
      <c r="A853" t="s">
        <v>764</v>
      </c>
      <c r="B853">
        <v>11.313700000000001</v>
      </c>
      <c r="C853">
        <v>9.8317799999999992E-4</v>
      </c>
    </row>
    <row r="854" spans="1:3" x14ac:dyDescent="0.15">
      <c r="A854" t="s">
        <v>764</v>
      </c>
      <c r="B854">
        <v>16</v>
      </c>
      <c r="C854">
        <v>9.1479799999999998E-4</v>
      </c>
    </row>
    <row r="855" spans="1:3" x14ac:dyDescent="0.15">
      <c r="A855" t="s">
        <v>764</v>
      </c>
      <c r="B855">
        <v>22.627400000000002</v>
      </c>
      <c r="C855">
        <v>7.5206999999999997E-4</v>
      </c>
    </row>
    <row r="856" spans="1:3" x14ac:dyDescent="0.15">
      <c r="A856" t="s">
        <v>764</v>
      </c>
      <c r="B856">
        <v>32</v>
      </c>
      <c r="C856">
        <v>5.4056000000000004E-4</v>
      </c>
    </row>
    <row r="857" spans="1:3" x14ac:dyDescent="0.15">
      <c r="A857" t="s">
        <v>764</v>
      </c>
      <c r="B857">
        <v>45.254800000000003</v>
      </c>
      <c r="C857">
        <v>3.2831599999999999E-4</v>
      </c>
    </row>
    <row r="858" spans="1:3" x14ac:dyDescent="0.15">
      <c r="A858" t="s">
        <v>764</v>
      </c>
      <c r="B858">
        <v>64</v>
      </c>
      <c r="C858">
        <v>1.83239E-4</v>
      </c>
    </row>
    <row r="859" spans="1:3" x14ac:dyDescent="0.15">
      <c r="A859" t="s">
        <v>764</v>
      </c>
      <c r="B859">
        <v>90.509699999999995</v>
      </c>
      <c r="C859">
        <v>8.2016999999999998E-5</v>
      </c>
    </row>
    <row r="860" spans="1:3" x14ac:dyDescent="0.15">
      <c r="A860" t="s">
        <v>764</v>
      </c>
      <c r="B860">
        <v>128</v>
      </c>
      <c r="C860">
        <v>1.2559E-5</v>
      </c>
    </row>
    <row r="861" spans="1:3" x14ac:dyDescent="0.15">
      <c r="A861" t="s">
        <v>764</v>
      </c>
      <c r="B861">
        <v>181.01929999999999</v>
      </c>
      <c r="C861">
        <v>2.34E-7</v>
      </c>
    </row>
    <row r="862" spans="1:3" x14ac:dyDescent="0.15">
      <c r="A862" t="s">
        <v>764</v>
      </c>
      <c r="B862">
        <v>256</v>
      </c>
      <c r="C862">
        <v>0</v>
      </c>
    </row>
    <row r="863" spans="1:3" x14ac:dyDescent="0.15">
      <c r="A863" t="s">
        <v>764</v>
      </c>
      <c r="B863">
        <v>362.03870000000001</v>
      </c>
      <c r="C863">
        <v>0</v>
      </c>
    </row>
    <row r="864" spans="1:3" x14ac:dyDescent="0.15">
      <c r="A864" t="s">
        <v>764</v>
      </c>
      <c r="B864">
        <v>512</v>
      </c>
      <c r="C864">
        <v>0</v>
      </c>
    </row>
    <row r="865" spans="1:3" x14ac:dyDescent="0.15">
      <c r="A865" t="s">
        <v>764</v>
      </c>
      <c r="B865">
        <v>724.07730000000004</v>
      </c>
      <c r="C865">
        <v>0</v>
      </c>
    </row>
    <row r="866" spans="1:3" x14ac:dyDescent="0.15">
      <c r="A866" t="s">
        <v>765</v>
      </c>
      <c r="B866">
        <v>2</v>
      </c>
      <c r="C866">
        <v>1.0624619999999999E-3</v>
      </c>
    </row>
    <row r="867" spans="1:3" x14ac:dyDescent="0.15">
      <c r="A867" t="s">
        <v>765</v>
      </c>
      <c r="B867">
        <v>2.8283999999999998</v>
      </c>
      <c r="C867">
        <v>1.129819E-3</v>
      </c>
    </row>
    <row r="868" spans="1:3" x14ac:dyDescent="0.15">
      <c r="A868" t="s">
        <v>765</v>
      </c>
      <c r="B868">
        <v>4</v>
      </c>
      <c r="C868">
        <v>1.107769E-3</v>
      </c>
    </row>
    <row r="869" spans="1:3" x14ac:dyDescent="0.15">
      <c r="A869" t="s">
        <v>765</v>
      </c>
      <c r="B869">
        <v>5.6569000000000003</v>
      </c>
      <c r="C869">
        <v>9.8840400000000002E-4</v>
      </c>
    </row>
    <row r="870" spans="1:3" x14ac:dyDescent="0.15">
      <c r="A870" t="s">
        <v>765</v>
      </c>
      <c r="B870">
        <v>8</v>
      </c>
      <c r="C870">
        <v>9.0809300000000001E-4</v>
      </c>
    </row>
    <row r="871" spans="1:3" x14ac:dyDescent="0.15">
      <c r="A871" t="s">
        <v>765</v>
      </c>
      <c r="B871">
        <v>11.313700000000001</v>
      </c>
      <c r="C871">
        <v>8.9429600000000004E-4</v>
      </c>
    </row>
    <row r="872" spans="1:3" x14ac:dyDescent="0.15">
      <c r="A872" t="s">
        <v>765</v>
      </c>
      <c r="B872">
        <v>16</v>
      </c>
      <c r="C872">
        <v>8.6342600000000004E-4</v>
      </c>
    </row>
    <row r="873" spans="1:3" x14ac:dyDescent="0.15">
      <c r="A873" t="s">
        <v>765</v>
      </c>
      <c r="B873">
        <v>22.627400000000002</v>
      </c>
      <c r="C873">
        <v>7.7987499999999997E-4</v>
      </c>
    </row>
    <row r="874" spans="1:3" x14ac:dyDescent="0.15">
      <c r="A874" t="s">
        <v>765</v>
      </c>
      <c r="B874">
        <v>32</v>
      </c>
      <c r="C874">
        <v>5.56512E-4</v>
      </c>
    </row>
    <row r="875" spans="1:3" x14ac:dyDescent="0.15">
      <c r="A875" t="s">
        <v>765</v>
      </c>
      <c r="B875">
        <v>45.254800000000003</v>
      </c>
      <c r="C875">
        <v>2.2414599999999999E-4</v>
      </c>
    </row>
    <row r="876" spans="1:3" x14ac:dyDescent="0.15">
      <c r="A876" t="s">
        <v>765</v>
      </c>
      <c r="B876">
        <v>64</v>
      </c>
      <c r="C876">
        <v>2.1305999999999999E-5</v>
      </c>
    </row>
    <row r="877" spans="1:3" x14ac:dyDescent="0.15">
      <c r="A877" t="s">
        <v>765</v>
      </c>
      <c r="B877">
        <v>90.509699999999995</v>
      </c>
      <c r="C877">
        <v>7.1609999999999997E-6</v>
      </c>
    </row>
    <row r="878" spans="1:3" x14ac:dyDescent="0.15">
      <c r="A878" t="s">
        <v>765</v>
      </c>
      <c r="B878">
        <v>128</v>
      </c>
      <c r="C878">
        <v>1.195E-6</v>
      </c>
    </row>
    <row r="879" spans="1:3" x14ac:dyDescent="0.15">
      <c r="A879" t="s">
        <v>765</v>
      </c>
      <c r="B879">
        <v>181.01929999999999</v>
      </c>
      <c r="C879">
        <v>2.1999999999999998E-8</v>
      </c>
    </row>
    <row r="880" spans="1:3" x14ac:dyDescent="0.15">
      <c r="A880" t="s">
        <v>765</v>
      </c>
      <c r="B880">
        <v>256</v>
      </c>
      <c r="C880">
        <v>0</v>
      </c>
    </row>
    <row r="881" spans="1:3" x14ac:dyDescent="0.15">
      <c r="A881" t="s">
        <v>765</v>
      </c>
      <c r="B881">
        <v>362.03870000000001</v>
      </c>
      <c r="C881">
        <v>0</v>
      </c>
    </row>
    <row r="882" spans="1:3" x14ac:dyDescent="0.15">
      <c r="A882" t="s">
        <v>765</v>
      </c>
      <c r="B882">
        <v>512</v>
      </c>
      <c r="C882">
        <v>0</v>
      </c>
    </row>
    <row r="883" spans="1:3" x14ac:dyDescent="0.15">
      <c r="A883" t="s">
        <v>765</v>
      </c>
      <c r="B883">
        <v>724.07730000000004</v>
      </c>
      <c r="C883">
        <v>0</v>
      </c>
    </row>
    <row r="884" spans="1:3" x14ac:dyDescent="0.15">
      <c r="A884" t="s">
        <v>766</v>
      </c>
      <c r="B884">
        <v>2</v>
      </c>
      <c r="C884">
        <v>4.0524199999999999E-4</v>
      </c>
    </row>
    <row r="885" spans="1:3" x14ac:dyDescent="0.15">
      <c r="A885" t="s">
        <v>766</v>
      </c>
      <c r="B885">
        <v>2.8283999999999998</v>
      </c>
      <c r="C885">
        <v>4.6508600000000003E-4</v>
      </c>
    </row>
    <row r="886" spans="1:3" x14ac:dyDescent="0.15">
      <c r="A886" t="s">
        <v>766</v>
      </c>
      <c r="B886">
        <v>4</v>
      </c>
      <c r="C886">
        <v>5.2777200000000003E-4</v>
      </c>
    </row>
    <row r="887" spans="1:3" x14ac:dyDescent="0.15">
      <c r="A887" t="s">
        <v>766</v>
      </c>
      <c r="B887">
        <v>5.6569000000000003</v>
      </c>
      <c r="C887">
        <v>5.7629399999999998E-4</v>
      </c>
    </row>
    <row r="888" spans="1:3" x14ac:dyDescent="0.15">
      <c r="A888" t="s">
        <v>766</v>
      </c>
      <c r="B888">
        <v>8</v>
      </c>
      <c r="C888">
        <v>5.8201300000000004E-4</v>
      </c>
    </row>
    <row r="889" spans="1:3" x14ac:dyDescent="0.15">
      <c r="A889" t="s">
        <v>766</v>
      </c>
      <c r="B889">
        <v>11.313700000000001</v>
      </c>
      <c r="C889">
        <v>5.2609399999999995E-4</v>
      </c>
    </row>
    <row r="890" spans="1:3" x14ac:dyDescent="0.15">
      <c r="A890" t="s">
        <v>766</v>
      </c>
      <c r="B890">
        <v>16</v>
      </c>
      <c r="C890">
        <v>4.2380800000000002E-4</v>
      </c>
    </row>
    <row r="891" spans="1:3" x14ac:dyDescent="0.15">
      <c r="A891" t="s">
        <v>766</v>
      </c>
      <c r="B891">
        <v>22.627400000000002</v>
      </c>
      <c r="C891">
        <v>3.33553E-4</v>
      </c>
    </row>
    <row r="892" spans="1:3" x14ac:dyDescent="0.15">
      <c r="A892" t="s">
        <v>766</v>
      </c>
      <c r="B892">
        <v>32</v>
      </c>
      <c r="C892">
        <v>2.6581899999999998E-4</v>
      </c>
    </row>
    <row r="893" spans="1:3" x14ac:dyDescent="0.15">
      <c r="A893" t="s">
        <v>766</v>
      </c>
      <c r="B893">
        <v>45.254800000000003</v>
      </c>
      <c r="C893">
        <v>2.03496E-4</v>
      </c>
    </row>
    <row r="894" spans="1:3" x14ac:dyDescent="0.15">
      <c r="A894" t="s">
        <v>766</v>
      </c>
      <c r="B894">
        <v>64</v>
      </c>
      <c r="C894">
        <v>1.5881599999999999E-4</v>
      </c>
    </row>
    <row r="895" spans="1:3" x14ac:dyDescent="0.15">
      <c r="A895" t="s">
        <v>766</v>
      </c>
      <c r="B895">
        <v>90.509699999999995</v>
      </c>
      <c r="C895">
        <v>1.2144799999999999E-4</v>
      </c>
    </row>
    <row r="896" spans="1:3" x14ac:dyDescent="0.15">
      <c r="A896" t="s">
        <v>766</v>
      </c>
      <c r="B896">
        <v>128</v>
      </c>
      <c r="C896">
        <v>1.0362200000000001E-4</v>
      </c>
    </row>
    <row r="897" spans="1:3" x14ac:dyDescent="0.15">
      <c r="A897" t="s">
        <v>766</v>
      </c>
      <c r="B897">
        <v>181.01929999999999</v>
      </c>
      <c r="C897">
        <v>5.3270999999999999E-5</v>
      </c>
    </row>
    <row r="898" spans="1:3" x14ac:dyDescent="0.15">
      <c r="A898" t="s">
        <v>766</v>
      </c>
      <c r="B898">
        <v>256</v>
      </c>
      <c r="C898">
        <v>8.2709999999999992E-6</v>
      </c>
    </row>
    <row r="899" spans="1:3" x14ac:dyDescent="0.15">
      <c r="A899" t="s">
        <v>766</v>
      </c>
      <c r="B899">
        <v>362.03870000000001</v>
      </c>
      <c r="C899">
        <v>1.55E-7</v>
      </c>
    </row>
    <row r="900" spans="1:3" x14ac:dyDescent="0.15">
      <c r="A900" t="s">
        <v>766</v>
      </c>
      <c r="B900">
        <v>512</v>
      </c>
      <c r="C900">
        <v>0</v>
      </c>
    </row>
    <row r="901" spans="1:3" x14ac:dyDescent="0.15">
      <c r="A901" t="s">
        <v>766</v>
      </c>
      <c r="B901">
        <v>724.07730000000004</v>
      </c>
      <c r="C901">
        <v>0</v>
      </c>
    </row>
    <row r="902" spans="1:3" x14ac:dyDescent="0.15">
      <c r="A902" t="s">
        <v>767</v>
      </c>
      <c r="B902">
        <v>2</v>
      </c>
      <c r="C902">
        <v>6.3327800000000003E-4</v>
      </c>
    </row>
    <row r="903" spans="1:3" x14ac:dyDescent="0.15">
      <c r="A903" t="s">
        <v>767</v>
      </c>
      <c r="B903">
        <v>2.8283999999999998</v>
      </c>
      <c r="C903">
        <v>7.6737300000000001E-4</v>
      </c>
    </row>
    <row r="904" spans="1:3" x14ac:dyDescent="0.15">
      <c r="A904" t="s">
        <v>767</v>
      </c>
      <c r="B904">
        <v>4</v>
      </c>
      <c r="C904">
        <v>8.1932000000000001E-4</v>
      </c>
    </row>
    <row r="905" spans="1:3" x14ac:dyDescent="0.15">
      <c r="A905" t="s">
        <v>767</v>
      </c>
      <c r="B905">
        <v>5.6569000000000003</v>
      </c>
      <c r="C905">
        <v>7.7214500000000001E-4</v>
      </c>
    </row>
    <row r="906" spans="1:3" x14ac:dyDescent="0.15">
      <c r="A906" t="s">
        <v>767</v>
      </c>
      <c r="B906">
        <v>8</v>
      </c>
      <c r="C906">
        <v>7.4654500000000004E-4</v>
      </c>
    </row>
    <row r="907" spans="1:3" x14ac:dyDescent="0.15">
      <c r="A907" t="s">
        <v>767</v>
      </c>
      <c r="B907">
        <v>11.313700000000001</v>
      </c>
      <c r="C907">
        <v>7.7204200000000002E-4</v>
      </c>
    </row>
    <row r="908" spans="1:3" x14ac:dyDescent="0.15">
      <c r="A908" t="s">
        <v>767</v>
      </c>
      <c r="B908">
        <v>16</v>
      </c>
      <c r="C908">
        <v>7.0179599999999997E-4</v>
      </c>
    </row>
    <row r="909" spans="1:3" x14ac:dyDescent="0.15">
      <c r="A909" t="s">
        <v>767</v>
      </c>
      <c r="B909">
        <v>22.627400000000002</v>
      </c>
      <c r="C909">
        <v>5.6025200000000002E-4</v>
      </c>
    </row>
    <row r="910" spans="1:3" x14ac:dyDescent="0.15">
      <c r="A910" t="s">
        <v>767</v>
      </c>
      <c r="B910">
        <v>32</v>
      </c>
      <c r="C910">
        <v>5.5508900000000004E-4</v>
      </c>
    </row>
    <row r="911" spans="1:3" x14ac:dyDescent="0.15">
      <c r="A911" t="s">
        <v>767</v>
      </c>
      <c r="B911">
        <v>45.254800000000003</v>
      </c>
      <c r="C911">
        <v>5.8686999999999997E-4</v>
      </c>
    </row>
    <row r="912" spans="1:3" x14ac:dyDescent="0.15">
      <c r="A912" t="s">
        <v>767</v>
      </c>
      <c r="B912">
        <v>64</v>
      </c>
      <c r="C912">
        <v>4.5956600000000001E-4</v>
      </c>
    </row>
    <row r="913" spans="1:3" x14ac:dyDescent="0.15">
      <c r="A913" t="s">
        <v>767</v>
      </c>
      <c r="B913">
        <v>90.509699999999995</v>
      </c>
      <c r="C913">
        <v>2.0867800000000001E-4</v>
      </c>
    </row>
    <row r="914" spans="1:3" x14ac:dyDescent="0.15">
      <c r="A914" t="s">
        <v>767</v>
      </c>
      <c r="B914">
        <v>128</v>
      </c>
      <c r="C914">
        <v>1.00457E-4</v>
      </c>
    </row>
    <row r="915" spans="1:3" x14ac:dyDescent="0.15">
      <c r="A915" t="s">
        <v>767</v>
      </c>
      <c r="B915">
        <v>181.01929999999999</v>
      </c>
      <c r="C915">
        <v>5.1714E-5</v>
      </c>
    </row>
    <row r="916" spans="1:3" x14ac:dyDescent="0.15">
      <c r="A916" t="s">
        <v>767</v>
      </c>
      <c r="B916">
        <v>256</v>
      </c>
      <c r="C916">
        <v>7.9580000000000007E-6</v>
      </c>
    </row>
    <row r="917" spans="1:3" x14ac:dyDescent="0.15">
      <c r="A917" t="s">
        <v>767</v>
      </c>
      <c r="B917">
        <v>362.03870000000001</v>
      </c>
      <c r="C917">
        <v>1.48E-7</v>
      </c>
    </row>
    <row r="918" spans="1:3" x14ac:dyDescent="0.15">
      <c r="A918" t="s">
        <v>767</v>
      </c>
      <c r="B918">
        <v>512</v>
      </c>
      <c r="C918">
        <v>0</v>
      </c>
    </row>
    <row r="919" spans="1:3" x14ac:dyDescent="0.15">
      <c r="A919" t="s">
        <v>767</v>
      </c>
      <c r="B919">
        <v>724.07730000000004</v>
      </c>
      <c r="C919">
        <v>0</v>
      </c>
    </row>
    <row r="920" spans="1:3" x14ac:dyDescent="0.15">
      <c r="A920" t="s">
        <v>768</v>
      </c>
      <c r="B920">
        <v>2</v>
      </c>
      <c r="C920">
        <v>5.4014099999999995E-4</v>
      </c>
    </row>
    <row r="921" spans="1:3" x14ac:dyDescent="0.15">
      <c r="A921" t="s">
        <v>768</v>
      </c>
      <c r="B921">
        <v>2.8283999999999998</v>
      </c>
      <c r="C921">
        <v>5.8875400000000004E-4</v>
      </c>
    </row>
    <row r="922" spans="1:3" x14ac:dyDescent="0.15">
      <c r="A922" t="s">
        <v>768</v>
      </c>
      <c r="B922">
        <v>4</v>
      </c>
      <c r="C922">
        <v>5.5776100000000004E-4</v>
      </c>
    </row>
    <row r="923" spans="1:3" x14ac:dyDescent="0.15">
      <c r="A923" t="s">
        <v>768</v>
      </c>
      <c r="B923">
        <v>5.6569000000000003</v>
      </c>
      <c r="C923">
        <v>5.1831499999999999E-4</v>
      </c>
    </row>
    <row r="924" spans="1:3" x14ac:dyDescent="0.15">
      <c r="A924" t="s">
        <v>768</v>
      </c>
      <c r="B924">
        <v>8</v>
      </c>
      <c r="C924">
        <v>5.0959099999999999E-4</v>
      </c>
    </row>
    <row r="925" spans="1:3" x14ac:dyDescent="0.15">
      <c r="A925" t="s">
        <v>768</v>
      </c>
      <c r="B925">
        <v>11.313700000000001</v>
      </c>
      <c r="C925">
        <v>4.9744500000000001E-4</v>
      </c>
    </row>
    <row r="926" spans="1:3" x14ac:dyDescent="0.15">
      <c r="A926" t="s">
        <v>768</v>
      </c>
      <c r="B926">
        <v>16</v>
      </c>
      <c r="C926">
        <v>4.7102999999999999E-4</v>
      </c>
    </row>
    <row r="927" spans="1:3" x14ac:dyDescent="0.15">
      <c r="A927" t="s">
        <v>768</v>
      </c>
      <c r="B927">
        <v>22.627400000000002</v>
      </c>
      <c r="C927">
        <v>3.8652100000000002E-4</v>
      </c>
    </row>
    <row r="928" spans="1:3" x14ac:dyDescent="0.15">
      <c r="A928" t="s">
        <v>768</v>
      </c>
      <c r="B928">
        <v>32</v>
      </c>
      <c r="C928">
        <v>1.9387399999999999E-4</v>
      </c>
    </row>
    <row r="929" spans="1:3" x14ac:dyDescent="0.15">
      <c r="A929" t="s">
        <v>768</v>
      </c>
      <c r="B929">
        <v>45.254800000000003</v>
      </c>
      <c r="C929">
        <v>4.1869000000000002E-5</v>
      </c>
    </row>
    <row r="930" spans="1:3" x14ac:dyDescent="0.15">
      <c r="A930" t="s">
        <v>768</v>
      </c>
      <c r="B930">
        <v>64</v>
      </c>
      <c r="C930">
        <v>7.9000000000000006E-6</v>
      </c>
    </row>
    <row r="931" spans="1:3" x14ac:dyDescent="0.15">
      <c r="A931" t="s">
        <v>768</v>
      </c>
      <c r="B931">
        <v>90.509699999999995</v>
      </c>
      <c r="C931">
        <v>6.7290000000000003E-6</v>
      </c>
    </row>
    <row r="932" spans="1:3" x14ac:dyDescent="0.15">
      <c r="A932" t="s">
        <v>768</v>
      </c>
      <c r="B932">
        <v>128</v>
      </c>
      <c r="C932">
        <v>1.0470000000000001E-6</v>
      </c>
    </row>
    <row r="933" spans="1:3" x14ac:dyDescent="0.15">
      <c r="A933" t="s">
        <v>768</v>
      </c>
      <c r="B933">
        <v>181.01929999999999</v>
      </c>
      <c r="C933">
        <v>1.9000000000000001E-8</v>
      </c>
    </row>
    <row r="934" spans="1:3" x14ac:dyDescent="0.15">
      <c r="A934" t="s">
        <v>768</v>
      </c>
      <c r="B934">
        <v>256</v>
      </c>
      <c r="C934">
        <v>0</v>
      </c>
    </row>
    <row r="935" spans="1:3" x14ac:dyDescent="0.15">
      <c r="A935" t="s">
        <v>768</v>
      </c>
      <c r="B935">
        <v>362.03870000000001</v>
      </c>
      <c r="C935">
        <v>0</v>
      </c>
    </row>
    <row r="936" spans="1:3" x14ac:dyDescent="0.15">
      <c r="A936" t="s">
        <v>768</v>
      </c>
      <c r="B936">
        <v>512</v>
      </c>
      <c r="C936">
        <v>0</v>
      </c>
    </row>
    <row r="937" spans="1:3" x14ac:dyDescent="0.15">
      <c r="A937" t="s">
        <v>768</v>
      </c>
      <c r="B937">
        <v>724.07730000000004</v>
      </c>
      <c r="C937">
        <v>0</v>
      </c>
    </row>
    <row r="938" spans="1:3" x14ac:dyDescent="0.15">
      <c r="A938" t="s">
        <v>769</v>
      </c>
      <c r="B938">
        <v>2</v>
      </c>
      <c r="C938">
        <v>4.7046499999999999E-4</v>
      </c>
    </row>
    <row r="939" spans="1:3" x14ac:dyDescent="0.15">
      <c r="A939" t="s">
        <v>769</v>
      </c>
      <c r="B939">
        <v>2.8283999999999998</v>
      </c>
      <c r="C939">
        <v>5.9188399999999999E-4</v>
      </c>
    </row>
    <row r="940" spans="1:3" x14ac:dyDescent="0.15">
      <c r="A940" t="s">
        <v>769</v>
      </c>
      <c r="B940">
        <v>4</v>
      </c>
      <c r="C940">
        <v>6.0734600000000004E-4</v>
      </c>
    </row>
    <row r="941" spans="1:3" x14ac:dyDescent="0.15">
      <c r="A941" t="s">
        <v>769</v>
      </c>
      <c r="B941">
        <v>5.6569000000000003</v>
      </c>
      <c r="C941">
        <v>5.5913000000000002E-4</v>
      </c>
    </row>
    <row r="942" spans="1:3" x14ac:dyDescent="0.15">
      <c r="A942" t="s">
        <v>769</v>
      </c>
      <c r="B942">
        <v>8</v>
      </c>
      <c r="C942">
        <v>5.4083899999999999E-4</v>
      </c>
    </row>
    <row r="943" spans="1:3" x14ac:dyDescent="0.15">
      <c r="A943" t="s">
        <v>769</v>
      </c>
      <c r="B943">
        <v>11.313700000000001</v>
      </c>
      <c r="C943">
        <v>5.0681399999999996E-4</v>
      </c>
    </row>
    <row r="944" spans="1:3" x14ac:dyDescent="0.15">
      <c r="A944" t="s">
        <v>769</v>
      </c>
      <c r="B944">
        <v>16</v>
      </c>
      <c r="C944">
        <v>5.2065599999999998E-4</v>
      </c>
    </row>
    <row r="945" spans="1:3" x14ac:dyDescent="0.15">
      <c r="A945" t="s">
        <v>769</v>
      </c>
      <c r="B945">
        <v>22.627400000000002</v>
      </c>
      <c r="C945">
        <v>4.8431E-4</v>
      </c>
    </row>
    <row r="946" spans="1:3" x14ac:dyDescent="0.15">
      <c r="A946" t="s">
        <v>769</v>
      </c>
      <c r="B946">
        <v>32</v>
      </c>
      <c r="C946">
        <v>4.3687499999999998E-4</v>
      </c>
    </row>
    <row r="947" spans="1:3" x14ac:dyDescent="0.15">
      <c r="A947" t="s">
        <v>769</v>
      </c>
      <c r="B947">
        <v>45.254800000000003</v>
      </c>
      <c r="C947">
        <v>4.8772300000000002E-4</v>
      </c>
    </row>
    <row r="948" spans="1:3" x14ac:dyDescent="0.15">
      <c r="A948" t="s">
        <v>769</v>
      </c>
      <c r="B948">
        <v>64</v>
      </c>
      <c r="C948">
        <v>4.5714900000000001E-4</v>
      </c>
    </row>
    <row r="949" spans="1:3" x14ac:dyDescent="0.15">
      <c r="A949" t="s">
        <v>769</v>
      </c>
      <c r="B949">
        <v>90.509699999999995</v>
      </c>
      <c r="C949">
        <v>2.2975099999999999E-4</v>
      </c>
    </row>
    <row r="950" spans="1:3" x14ac:dyDescent="0.15">
      <c r="A950" t="s">
        <v>769</v>
      </c>
      <c r="B950">
        <v>128</v>
      </c>
      <c r="C950">
        <v>3.5301E-5</v>
      </c>
    </row>
    <row r="951" spans="1:3" x14ac:dyDescent="0.15">
      <c r="A951" t="s">
        <v>769</v>
      </c>
      <c r="B951">
        <v>181.01929999999999</v>
      </c>
      <c r="C951">
        <v>6.5799999999999999E-7</v>
      </c>
    </row>
    <row r="952" spans="1:3" x14ac:dyDescent="0.15">
      <c r="A952" t="s">
        <v>769</v>
      </c>
      <c r="B952">
        <v>256</v>
      </c>
      <c r="C952">
        <v>0</v>
      </c>
    </row>
    <row r="953" spans="1:3" x14ac:dyDescent="0.15">
      <c r="A953" t="s">
        <v>769</v>
      </c>
      <c r="B953">
        <v>362.03870000000001</v>
      </c>
      <c r="C953">
        <v>0</v>
      </c>
    </row>
    <row r="954" spans="1:3" x14ac:dyDescent="0.15">
      <c r="A954" t="s">
        <v>769</v>
      </c>
      <c r="B954">
        <v>512</v>
      </c>
      <c r="C954">
        <v>0</v>
      </c>
    </row>
    <row r="955" spans="1:3" x14ac:dyDescent="0.15">
      <c r="A955" t="s">
        <v>769</v>
      </c>
      <c r="B955">
        <v>724.07730000000004</v>
      </c>
      <c r="C955">
        <v>0</v>
      </c>
    </row>
    <row r="956" spans="1:3" x14ac:dyDescent="0.15">
      <c r="A956" t="s">
        <v>771</v>
      </c>
      <c r="B956">
        <v>2</v>
      </c>
      <c r="C956">
        <v>2.039622E-3</v>
      </c>
    </row>
    <row r="957" spans="1:3" x14ac:dyDescent="0.15">
      <c r="A957" t="s">
        <v>771</v>
      </c>
      <c r="B957">
        <v>2.8283999999999998</v>
      </c>
      <c r="C957">
        <v>1.8500630000000001E-3</v>
      </c>
    </row>
    <row r="958" spans="1:3" x14ac:dyDescent="0.15">
      <c r="A958" t="s">
        <v>771</v>
      </c>
      <c r="B958">
        <v>4</v>
      </c>
      <c r="C958">
        <v>1.5670599999999999E-3</v>
      </c>
    </row>
    <row r="959" spans="1:3" x14ac:dyDescent="0.15">
      <c r="A959" t="s">
        <v>771</v>
      </c>
      <c r="B959">
        <v>5.6569000000000003</v>
      </c>
      <c r="C959">
        <v>1.4959190000000001E-3</v>
      </c>
    </row>
    <row r="960" spans="1:3" x14ac:dyDescent="0.15">
      <c r="A960" t="s">
        <v>771</v>
      </c>
      <c r="B960">
        <v>8</v>
      </c>
      <c r="C960">
        <v>1.4876290000000001E-3</v>
      </c>
    </row>
    <row r="961" spans="1:3" x14ac:dyDescent="0.15">
      <c r="A961" t="s">
        <v>771</v>
      </c>
      <c r="B961">
        <v>11.313700000000001</v>
      </c>
      <c r="C961">
        <v>1.4853780000000001E-3</v>
      </c>
    </row>
    <row r="962" spans="1:3" x14ac:dyDescent="0.15">
      <c r="A962" t="s">
        <v>771</v>
      </c>
      <c r="B962">
        <v>16</v>
      </c>
      <c r="C962">
        <v>1.4987729999999999E-3</v>
      </c>
    </row>
    <row r="963" spans="1:3" x14ac:dyDescent="0.15">
      <c r="A963" t="s">
        <v>771</v>
      </c>
      <c r="B963">
        <v>22.627400000000002</v>
      </c>
      <c r="C963">
        <v>1.387693E-3</v>
      </c>
    </row>
    <row r="964" spans="1:3" x14ac:dyDescent="0.15">
      <c r="A964" t="s">
        <v>771</v>
      </c>
      <c r="B964">
        <v>32</v>
      </c>
      <c r="C964">
        <v>1.073327E-3</v>
      </c>
    </row>
    <row r="965" spans="1:3" x14ac:dyDescent="0.15">
      <c r="A965" t="s">
        <v>771</v>
      </c>
      <c r="B965">
        <v>45.254800000000003</v>
      </c>
      <c r="C965">
        <v>8.7788999999999999E-4</v>
      </c>
    </row>
    <row r="966" spans="1:3" x14ac:dyDescent="0.15">
      <c r="A966" t="s">
        <v>771</v>
      </c>
      <c r="B966">
        <v>64</v>
      </c>
      <c r="C966">
        <v>8.0149500000000005E-4</v>
      </c>
    </row>
    <row r="967" spans="1:3" x14ac:dyDescent="0.15">
      <c r="A967" t="s">
        <v>771</v>
      </c>
      <c r="B967">
        <v>90.509699999999995</v>
      </c>
      <c r="C967">
        <v>6.6850799999999995E-4</v>
      </c>
    </row>
    <row r="968" spans="1:3" x14ac:dyDescent="0.15">
      <c r="A968" t="s">
        <v>771</v>
      </c>
      <c r="B968">
        <v>128</v>
      </c>
      <c r="C968">
        <v>5.7737299999999995E-4</v>
      </c>
    </row>
    <row r="969" spans="1:3" x14ac:dyDescent="0.15">
      <c r="A969" t="s">
        <v>771</v>
      </c>
      <c r="B969">
        <v>181.01929999999999</v>
      </c>
      <c r="C969">
        <v>2.9001800000000001E-4</v>
      </c>
    </row>
    <row r="970" spans="1:3" x14ac:dyDescent="0.15">
      <c r="A970" t="s">
        <v>771</v>
      </c>
      <c r="B970">
        <v>256</v>
      </c>
      <c r="C970">
        <v>4.4524000000000003E-5</v>
      </c>
    </row>
    <row r="971" spans="1:3" x14ac:dyDescent="0.15">
      <c r="A971" t="s">
        <v>771</v>
      </c>
      <c r="B971">
        <v>362.03870000000001</v>
      </c>
      <c r="C971">
        <v>8.2999999999999999E-7</v>
      </c>
    </row>
    <row r="972" spans="1:3" x14ac:dyDescent="0.15">
      <c r="A972" t="s">
        <v>771</v>
      </c>
      <c r="B972">
        <v>512</v>
      </c>
      <c r="C972">
        <v>0</v>
      </c>
    </row>
    <row r="973" spans="1:3" x14ac:dyDescent="0.15">
      <c r="A973" t="s">
        <v>771</v>
      </c>
      <c r="B973">
        <v>724.07730000000004</v>
      </c>
      <c r="C973">
        <v>0</v>
      </c>
    </row>
    <row r="974" spans="1:3" x14ac:dyDescent="0.15">
      <c r="A974" t="s">
        <v>772</v>
      </c>
      <c r="B974">
        <v>2</v>
      </c>
      <c r="C974">
        <v>5.6565999999999995E-4</v>
      </c>
    </row>
    <row r="975" spans="1:3" x14ac:dyDescent="0.15">
      <c r="A975" t="s">
        <v>772</v>
      </c>
      <c r="B975">
        <v>2.8283999999999998</v>
      </c>
      <c r="C975">
        <v>6.6439899999999998E-4</v>
      </c>
    </row>
    <row r="976" spans="1:3" x14ac:dyDescent="0.15">
      <c r="A976" t="s">
        <v>772</v>
      </c>
      <c r="B976">
        <v>4</v>
      </c>
      <c r="C976">
        <v>8.1346399999999996E-4</v>
      </c>
    </row>
    <row r="977" spans="1:3" x14ac:dyDescent="0.15">
      <c r="A977" t="s">
        <v>772</v>
      </c>
      <c r="B977">
        <v>5.6569000000000003</v>
      </c>
      <c r="C977">
        <v>8.9975700000000005E-4</v>
      </c>
    </row>
    <row r="978" spans="1:3" x14ac:dyDescent="0.15">
      <c r="A978" t="s">
        <v>772</v>
      </c>
      <c r="B978">
        <v>8</v>
      </c>
      <c r="C978">
        <v>8.3614500000000005E-4</v>
      </c>
    </row>
    <row r="979" spans="1:3" x14ac:dyDescent="0.15">
      <c r="A979" t="s">
        <v>772</v>
      </c>
      <c r="B979">
        <v>11.313700000000001</v>
      </c>
      <c r="C979">
        <v>7.1589699999999995E-4</v>
      </c>
    </row>
    <row r="980" spans="1:3" x14ac:dyDescent="0.15">
      <c r="A980" t="s">
        <v>772</v>
      </c>
      <c r="B980">
        <v>16</v>
      </c>
      <c r="C980">
        <v>6.9185500000000001E-4</v>
      </c>
    </row>
    <row r="981" spans="1:3" x14ac:dyDescent="0.15">
      <c r="A981" t="s">
        <v>772</v>
      </c>
      <c r="B981">
        <v>22.627400000000002</v>
      </c>
      <c r="C981">
        <v>6.6883800000000005E-4</v>
      </c>
    </row>
    <row r="982" spans="1:3" x14ac:dyDescent="0.15">
      <c r="A982" t="s">
        <v>772</v>
      </c>
      <c r="B982">
        <v>32</v>
      </c>
      <c r="C982">
        <v>5.1588999999999997E-4</v>
      </c>
    </row>
    <row r="983" spans="1:3" x14ac:dyDescent="0.15">
      <c r="A983" t="s">
        <v>772</v>
      </c>
      <c r="B983">
        <v>45.254800000000003</v>
      </c>
      <c r="C983">
        <v>3.7876799999999998E-4</v>
      </c>
    </row>
    <row r="984" spans="1:3" x14ac:dyDescent="0.15">
      <c r="A984" t="s">
        <v>772</v>
      </c>
      <c r="B984">
        <v>64</v>
      </c>
      <c r="C984">
        <v>3.5465699999999998E-4</v>
      </c>
    </row>
    <row r="985" spans="1:3" x14ac:dyDescent="0.15">
      <c r="A985" t="s">
        <v>772</v>
      </c>
      <c r="B985">
        <v>90.509699999999995</v>
      </c>
      <c r="C985">
        <v>3.8780100000000001E-4</v>
      </c>
    </row>
    <row r="986" spans="1:3" x14ac:dyDescent="0.15">
      <c r="A986" t="s">
        <v>772</v>
      </c>
      <c r="B986">
        <v>128</v>
      </c>
      <c r="C986">
        <v>3.57151E-4</v>
      </c>
    </row>
    <row r="987" spans="1:3" x14ac:dyDescent="0.15">
      <c r="A987" t="s">
        <v>772</v>
      </c>
      <c r="B987">
        <v>181.01929999999999</v>
      </c>
      <c r="C987">
        <v>1.7811699999999999E-4</v>
      </c>
    </row>
    <row r="988" spans="1:3" x14ac:dyDescent="0.15">
      <c r="A988" t="s">
        <v>772</v>
      </c>
      <c r="B988">
        <v>256</v>
      </c>
      <c r="C988">
        <v>2.7311999999999999E-5</v>
      </c>
    </row>
    <row r="989" spans="1:3" x14ac:dyDescent="0.15">
      <c r="A989" t="s">
        <v>772</v>
      </c>
      <c r="B989">
        <v>362.03870000000001</v>
      </c>
      <c r="C989">
        <v>5.0900000000000002E-7</v>
      </c>
    </row>
    <row r="990" spans="1:3" x14ac:dyDescent="0.15">
      <c r="A990" t="s">
        <v>772</v>
      </c>
      <c r="B990">
        <v>512</v>
      </c>
      <c r="C990">
        <v>0</v>
      </c>
    </row>
    <row r="991" spans="1:3" x14ac:dyDescent="0.15">
      <c r="A991" t="s">
        <v>772</v>
      </c>
      <c r="B991">
        <v>724.07730000000004</v>
      </c>
      <c r="C991">
        <v>0</v>
      </c>
    </row>
    <row r="992" spans="1:3" x14ac:dyDescent="0.15">
      <c r="A992" t="s">
        <v>773</v>
      </c>
      <c r="B992">
        <v>2</v>
      </c>
      <c r="C992">
        <v>7.1637399999999998E-4</v>
      </c>
    </row>
    <row r="993" spans="1:3" x14ac:dyDescent="0.15">
      <c r="A993" t="s">
        <v>773</v>
      </c>
      <c r="B993">
        <v>2.8283999999999998</v>
      </c>
      <c r="C993">
        <v>7.9570699999999999E-4</v>
      </c>
    </row>
    <row r="994" spans="1:3" x14ac:dyDescent="0.15">
      <c r="A994" t="s">
        <v>773</v>
      </c>
      <c r="B994">
        <v>4</v>
      </c>
      <c r="C994">
        <v>8.9454900000000002E-4</v>
      </c>
    </row>
    <row r="995" spans="1:3" x14ac:dyDescent="0.15">
      <c r="A995" t="s">
        <v>773</v>
      </c>
      <c r="B995">
        <v>5.6569000000000003</v>
      </c>
      <c r="C995">
        <v>9.4244399999999996E-4</v>
      </c>
    </row>
    <row r="996" spans="1:3" x14ac:dyDescent="0.15">
      <c r="A996" t="s">
        <v>773</v>
      </c>
      <c r="B996">
        <v>8</v>
      </c>
      <c r="C996">
        <v>8.8158099999999999E-4</v>
      </c>
    </row>
    <row r="997" spans="1:3" x14ac:dyDescent="0.15">
      <c r="A997" t="s">
        <v>773</v>
      </c>
      <c r="B997">
        <v>11.313700000000001</v>
      </c>
      <c r="C997">
        <v>7.8071300000000004E-4</v>
      </c>
    </row>
    <row r="998" spans="1:3" x14ac:dyDescent="0.15">
      <c r="A998" t="s">
        <v>773</v>
      </c>
      <c r="B998">
        <v>16</v>
      </c>
      <c r="C998">
        <v>6.8877200000000004E-4</v>
      </c>
    </row>
    <row r="999" spans="1:3" x14ac:dyDescent="0.15">
      <c r="A999" t="s">
        <v>773</v>
      </c>
      <c r="B999">
        <v>22.627400000000002</v>
      </c>
      <c r="C999">
        <v>5.9304799999999999E-4</v>
      </c>
    </row>
    <row r="1000" spans="1:3" x14ac:dyDescent="0.15">
      <c r="A1000" t="s">
        <v>773</v>
      </c>
      <c r="B1000">
        <v>32</v>
      </c>
      <c r="C1000">
        <v>4.2118899999999998E-4</v>
      </c>
    </row>
    <row r="1001" spans="1:3" x14ac:dyDescent="0.15">
      <c r="A1001" t="s">
        <v>773</v>
      </c>
      <c r="B1001">
        <v>45.254800000000003</v>
      </c>
      <c r="C1001">
        <v>3.2029900000000002E-4</v>
      </c>
    </row>
    <row r="1002" spans="1:3" x14ac:dyDescent="0.15">
      <c r="A1002" t="s">
        <v>773</v>
      </c>
      <c r="B1002">
        <v>64</v>
      </c>
      <c r="C1002">
        <v>3.7992899999999999E-4</v>
      </c>
    </row>
    <row r="1003" spans="1:3" x14ac:dyDescent="0.15">
      <c r="A1003" t="s">
        <v>773</v>
      </c>
      <c r="B1003">
        <v>90.509699999999995</v>
      </c>
      <c r="C1003">
        <v>4.2977999999999999E-4</v>
      </c>
    </row>
    <row r="1004" spans="1:3" x14ac:dyDescent="0.15">
      <c r="A1004" t="s">
        <v>773</v>
      </c>
      <c r="B1004">
        <v>128</v>
      </c>
      <c r="C1004">
        <v>3.7491199999999998E-4</v>
      </c>
    </row>
    <row r="1005" spans="1:3" x14ac:dyDescent="0.15">
      <c r="A1005" t="s">
        <v>773</v>
      </c>
      <c r="B1005">
        <v>181.01929999999999</v>
      </c>
      <c r="C1005">
        <v>1.83344E-4</v>
      </c>
    </row>
    <row r="1006" spans="1:3" x14ac:dyDescent="0.15">
      <c r="A1006" t="s">
        <v>773</v>
      </c>
      <c r="B1006">
        <v>256</v>
      </c>
      <c r="C1006">
        <v>2.8038000000000002E-5</v>
      </c>
    </row>
    <row r="1007" spans="1:3" x14ac:dyDescent="0.15">
      <c r="A1007" t="s">
        <v>773</v>
      </c>
      <c r="B1007">
        <v>362.03870000000001</v>
      </c>
      <c r="C1007">
        <v>5.2300000000000001E-7</v>
      </c>
    </row>
    <row r="1008" spans="1:3" x14ac:dyDescent="0.15">
      <c r="A1008" t="s">
        <v>773</v>
      </c>
      <c r="B1008">
        <v>512</v>
      </c>
      <c r="C1008">
        <v>0</v>
      </c>
    </row>
    <row r="1009" spans="1:3" x14ac:dyDescent="0.15">
      <c r="A1009" t="s">
        <v>773</v>
      </c>
      <c r="B1009">
        <v>724.07730000000004</v>
      </c>
      <c r="C1009">
        <v>0</v>
      </c>
    </row>
    <row r="1010" spans="1:3" x14ac:dyDescent="0.15">
      <c r="A1010" t="s">
        <v>774</v>
      </c>
      <c r="B1010">
        <v>2</v>
      </c>
      <c r="C1010">
        <v>1.0695850000000001E-3</v>
      </c>
    </row>
    <row r="1011" spans="1:3" x14ac:dyDescent="0.15">
      <c r="A1011" t="s">
        <v>774</v>
      </c>
      <c r="B1011">
        <v>2.8283999999999998</v>
      </c>
      <c r="C1011">
        <v>1.264479E-3</v>
      </c>
    </row>
    <row r="1012" spans="1:3" x14ac:dyDescent="0.15">
      <c r="A1012" t="s">
        <v>774</v>
      </c>
      <c r="B1012">
        <v>4</v>
      </c>
      <c r="C1012">
        <v>1.3090210000000001E-3</v>
      </c>
    </row>
    <row r="1013" spans="1:3" x14ac:dyDescent="0.15">
      <c r="A1013" t="s">
        <v>774</v>
      </c>
      <c r="B1013">
        <v>5.6569000000000003</v>
      </c>
      <c r="C1013">
        <v>1.167756E-3</v>
      </c>
    </row>
    <row r="1014" spans="1:3" x14ac:dyDescent="0.15">
      <c r="A1014" t="s">
        <v>774</v>
      </c>
      <c r="B1014">
        <v>8</v>
      </c>
      <c r="C1014">
        <v>1.1170799999999999E-3</v>
      </c>
    </row>
    <row r="1015" spans="1:3" x14ac:dyDescent="0.15">
      <c r="A1015" t="s">
        <v>774</v>
      </c>
      <c r="B1015">
        <v>11.313700000000001</v>
      </c>
      <c r="C1015">
        <v>1.2174830000000001E-3</v>
      </c>
    </row>
    <row r="1016" spans="1:3" x14ac:dyDescent="0.15">
      <c r="A1016" t="s">
        <v>774</v>
      </c>
      <c r="B1016">
        <v>16</v>
      </c>
      <c r="C1016">
        <v>1.1369889999999999E-3</v>
      </c>
    </row>
    <row r="1017" spans="1:3" x14ac:dyDescent="0.15">
      <c r="A1017" t="s">
        <v>774</v>
      </c>
      <c r="B1017">
        <v>22.627400000000002</v>
      </c>
      <c r="C1017">
        <v>9.1607600000000004E-4</v>
      </c>
    </row>
    <row r="1018" spans="1:3" x14ac:dyDescent="0.15">
      <c r="A1018" t="s">
        <v>774</v>
      </c>
      <c r="B1018">
        <v>32</v>
      </c>
      <c r="C1018">
        <v>9.8667700000000004E-4</v>
      </c>
    </row>
    <row r="1019" spans="1:3" x14ac:dyDescent="0.15">
      <c r="A1019" t="s">
        <v>774</v>
      </c>
      <c r="B1019">
        <v>45.254800000000003</v>
      </c>
      <c r="C1019">
        <v>1.0378989999999999E-3</v>
      </c>
    </row>
    <row r="1020" spans="1:3" x14ac:dyDescent="0.15">
      <c r="A1020" t="s">
        <v>774</v>
      </c>
      <c r="B1020">
        <v>64</v>
      </c>
      <c r="C1020">
        <v>6.5744200000000005E-4</v>
      </c>
    </row>
    <row r="1021" spans="1:3" x14ac:dyDescent="0.15">
      <c r="A1021" t="s">
        <v>774</v>
      </c>
      <c r="B1021">
        <v>90.509699999999995</v>
      </c>
      <c r="C1021">
        <v>2.05553E-4</v>
      </c>
    </row>
    <row r="1022" spans="1:3" x14ac:dyDescent="0.15">
      <c r="A1022" t="s">
        <v>774</v>
      </c>
      <c r="B1022">
        <v>128</v>
      </c>
      <c r="C1022">
        <v>9.8208999999999994E-5</v>
      </c>
    </row>
    <row r="1023" spans="1:3" x14ac:dyDescent="0.15">
      <c r="A1023" t="s">
        <v>774</v>
      </c>
      <c r="B1023">
        <v>181.01929999999999</v>
      </c>
      <c r="C1023">
        <v>5.4973999999999999E-5</v>
      </c>
    </row>
    <row r="1024" spans="1:3" x14ac:dyDescent="0.15">
      <c r="A1024" t="s">
        <v>774</v>
      </c>
      <c r="B1024">
        <v>256</v>
      </c>
      <c r="C1024">
        <v>8.4819999999999994E-6</v>
      </c>
    </row>
    <row r="1025" spans="1:3" x14ac:dyDescent="0.15">
      <c r="A1025" t="s">
        <v>774</v>
      </c>
      <c r="B1025">
        <v>362.03870000000001</v>
      </c>
      <c r="C1025">
        <v>1.5800000000000001E-7</v>
      </c>
    </row>
    <row r="1026" spans="1:3" x14ac:dyDescent="0.15">
      <c r="A1026" t="s">
        <v>774</v>
      </c>
      <c r="B1026">
        <v>512</v>
      </c>
      <c r="C1026">
        <v>0</v>
      </c>
    </row>
    <row r="1027" spans="1:3" x14ac:dyDescent="0.15">
      <c r="A1027" t="s">
        <v>774</v>
      </c>
      <c r="B1027">
        <v>724.07730000000004</v>
      </c>
      <c r="C1027">
        <v>0</v>
      </c>
    </row>
    <row r="1028" spans="1:3" x14ac:dyDescent="0.15">
      <c r="A1028" t="s">
        <v>775</v>
      </c>
      <c r="B1028">
        <v>2</v>
      </c>
      <c r="C1028">
        <v>1.2980299999999999E-3</v>
      </c>
    </row>
    <row r="1029" spans="1:3" x14ac:dyDescent="0.15">
      <c r="A1029" t="s">
        <v>775</v>
      </c>
      <c r="B1029">
        <v>2.8283999999999998</v>
      </c>
      <c r="C1029">
        <v>1.5611360000000001E-3</v>
      </c>
    </row>
    <row r="1030" spans="1:3" x14ac:dyDescent="0.15">
      <c r="A1030" t="s">
        <v>775</v>
      </c>
      <c r="B1030">
        <v>4</v>
      </c>
      <c r="C1030">
        <v>1.7134240000000001E-3</v>
      </c>
    </row>
    <row r="1031" spans="1:3" x14ac:dyDescent="0.15">
      <c r="A1031" t="s">
        <v>775</v>
      </c>
      <c r="B1031">
        <v>5.6569000000000003</v>
      </c>
      <c r="C1031">
        <v>1.5848749999999999E-3</v>
      </c>
    </row>
    <row r="1032" spans="1:3" x14ac:dyDescent="0.15">
      <c r="A1032" t="s">
        <v>775</v>
      </c>
      <c r="B1032">
        <v>8</v>
      </c>
      <c r="C1032">
        <v>1.2969450000000001E-3</v>
      </c>
    </row>
    <row r="1033" spans="1:3" x14ac:dyDescent="0.15">
      <c r="A1033" t="s">
        <v>775</v>
      </c>
      <c r="B1033">
        <v>11.313700000000001</v>
      </c>
      <c r="C1033">
        <v>1.259123E-3</v>
      </c>
    </row>
    <row r="1034" spans="1:3" x14ac:dyDescent="0.15">
      <c r="A1034" t="s">
        <v>775</v>
      </c>
      <c r="B1034">
        <v>16</v>
      </c>
      <c r="C1034">
        <v>1.370413E-3</v>
      </c>
    </row>
    <row r="1035" spans="1:3" x14ac:dyDescent="0.15">
      <c r="A1035" t="s">
        <v>775</v>
      </c>
      <c r="B1035">
        <v>22.627400000000002</v>
      </c>
      <c r="C1035">
        <v>1.215587E-3</v>
      </c>
    </row>
    <row r="1036" spans="1:3" x14ac:dyDescent="0.15">
      <c r="A1036" t="s">
        <v>775</v>
      </c>
      <c r="B1036">
        <v>32</v>
      </c>
      <c r="C1036">
        <v>8.9013000000000004E-4</v>
      </c>
    </row>
    <row r="1037" spans="1:3" x14ac:dyDescent="0.15">
      <c r="A1037" t="s">
        <v>775</v>
      </c>
      <c r="B1037">
        <v>45.254800000000003</v>
      </c>
      <c r="C1037">
        <v>8.4079200000000004E-4</v>
      </c>
    </row>
    <row r="1038" spans="1:3" x14ac:dyDescent="0.15">
      <c r="A1038" t="s">
        <v>775</v>
      </c>
      <c r="B1038">
        <v>64</v>
      </c>
      <c r="C1038">
        <v>8.4672800000000004E-4</v>
      </c>
    </row>
    <row r="1039" spans="1:3" x14ac:dyDescent="0.15">
      <c r="A1039" t="s">
        <v>775</v>
      </c>
      <c r="B1039">
        <v>90.509699999999995</v>
      </c>
      <c r="C1039">
        <v>6.9884999999999999E-4</v>
      </c>
    </row>
    <row r="1040" spans="1:3" x14ac:dyDescent="0.15">
      <c r="A1040" t="s">
        <v>775</v>
      </c>
      <c r="B1040">
        <v>128</v>
      </c>
      <c r="C1040">
        <v>6.0045499999999996E-4</v>
      </c>
    </row>
    <row r="1041" spans="1:3" x14ac:dyDescent="0.15">
      <c r="A1041" t="s">
        <v>775</v>
      </c>
      <c r="B1041">
        <v>181.01929999999999</v>
      </c>
      <c r="C1041">
        <v>3.05187E-4</v>
      </c>
    </row>
    <row r="1042" spans="1:3" x14ac:dyDescent="0.15">
      <c r="A1042" t="s">
        <v>775</v>
      </c>
      <c r="B1042">
        <v>256</v>
      </c>
      <c r="C1042">
        <v>4.7074999999999999E-5</v>
      </c>
    </row>
    <row r="1043" spans="1:3" x14ac:dyDescent="0.15">
      <c r="A1043" t="s">
        <v>775</v>
      </c>
      <c r="B1043">
        <v>362.03870000000001</v>
      </c>
      <c r="C1043">
        <v>8.7899999999999997E-7</v>
      </c>
    </row>
    <row r="1044" spans="1:3" x14ac:dyDescent="0.15">
      <c r="A1044" t="s">
        <v>775</v>
      </c>
      <c r="B1044">
        <v>512</v>
      </c>
      <c r="C1044">
        <v>0</v>
      </c>
    </row>
    <row r="1045" spans="1:3" x14ac:dyDescent="0.15">
      <c r="A1045" t="s">
        <v>775</v>
      </c>
      <c r="B1045">
        <v>724.07730000000004</v>
      </c>
      <c r="C1045">
        <v>0</v>
      </c>
    </row>
    <row r="1046" spans="1:3" x14ac:dyDescent="0.15">
      <c r="A1046" t="s">
        <v>776</v>
      </c>
      <c r="B1046">
        <v>2</v>
      </c>
      <c r="C1046">
        <v>1.0343360000000001E-3</v>
      </c>
    </row>
    <row r="1047" spans="1:3" x14ac:dyDescent="0.15">
      <c r="A1047" t="s">
        <v>776</v>
      </c>
      <c r="B1047">
        <v>2.8283999999999998</v>
      </c>
      <c r="C1047">
        <v>1.255452E-3</v>
      </c>
    </row>
    <row r="1048" spans="1:3" x14ac:dyDescent="0.15">
      <c r="A1048" t="s">
        <v>776</v>
      </c>
      <c r="B1048">
        <v>4</v>
      </c>
      <c r="C1048">
        <v>1.3575830000000001E-3</v>
      </c>
    </row>
    <row r="1049" spans="1:3" x14ac:dyDescent="0.15">
      <c r="A1049" t="s">
        <v>776</v>
      </c>
      <c r="B1049">
        <v>5.6569000000000003</v>
      </c>
      <c r="C1049">
        <v>1.2956350000000001E-3</v>
      </c>
    </row>
    <row r="1050" spans="1:3" x14ac:dyDescent="0.15">
      <c r="A1050" t="s">
        <v>776</v>
      </c>
      <c r="B1050">
        <v>8</v>
      </c>
      <c r="C1050">
        <v>1.1029849999999999E-3</v>
      </c>
    </row>
    <row r="1051" spans="1:3" x14ac:dyDescent="0.15">
      <c r="A1051" t="s">
        <v>776</v>
      </c>
      <c r="B1051">
        <v>11.313700000000001</v>
      </c>
      <c r="C1051">
        <v>8.4376500000000001E-4</v>
      </c>
    </row>
    <row r="1052" spans="1:3" x14ac:dyDescent="0.15">
      <c r="A1052" t="s">
        <v>776</v>
      </c>
      <c r="B1052">
        <v>16</v>
      </c>
      <c r="C1052">
        <v>7.4104699999999999E-4</v>
      </c>
    </row>
    <row r="1053" spans="1:3" x14ac:dyDescent="0.15">
      <c r="A1053" t="s">
        <v>776</v>
      </c>
      <c r="B1053">
        <v>22.627400000000002</v>
      </c>
      <c r="C1053">
        <v>7.1434099999999996E-4</v>
      </c>
    </row>
    <row r="1054" spans="1:3" x14ac:dyDescent="0.15">
      <c r="A1054" t="s">
        <v>776</v>
      </c>
      <c r="B1054">
        <v>32</v>
      </c>
      <c r="C1054">
        <v>5.8779399999999999E-4</v>
      </c>
    </row>
    <row r="1055" spans="1:3" x14ac:dyDescent="0.15">
      <c r="A1055" t="s">
        <v>776</v>
      </c>
      <c r="B1055">
        <v>45.254800000000003</v>
      </c>
      <c r="C1055">
        <v>5.2866199999999995E-4</v>
      </c>
    </row>
    <row r="1056" spans="1:3" x14ac:dyDescent="0.15">
      <c r="A1056" t="s">
        <v>776</v>
      </c>
      <c r="B1056">
        <v>64</v>
      </c>
      <c r="C1056">
        <v>4.7437899999999998E-4</v>
      </c>
    </row>
    <row r="1057" spans="1:3" x14ac:dyDescent="0.15">
      <c r="A1057" t="s">
        <v>776</v>
      </c>
      <c r="B1057">
        <v>90.509699999999995</v>
      </c>
      <c r="C1057">
        <v>2.36424E-4</v>
      </c>
    </row>
    <row r="1058" spans="1:3" x14ac:dyDescent="0.15">
      <c r="A1058" t="s">
        <v>776</v>
      </c>
      <c r="B1058">
        <v>128</v>
      </c>
      <c r="C1058">
        <v>3.6264999999999999E-5</v>
      </c>
    </row>
    <row r="1059" spans="1:3" x14ac:dyDescent="0.15">
      <c r="A1059" t="s">
        <v>776</v>
      </c>
      <c r="B1059">
        <v>181.01929999999999</v>
      </c>
      <c r="C1059">
        <v>6.7700000000000004E-7</v>
      </c>
    </row>
    <row r="1060" spans="1:3" x14ac:dyDescent="0.15">
      <c r="A1060" t="s">
        <v>776</v>
      </c>
      <c r="B1060">
        <v>256</v>
      </c>
      <c r="C1060">
        <v>0</v>
      </c>
    </row>
    <row r="1061" spans="1:3" x14ac:dyDescent="0.15">
      <c r="A1061" t="s">
        <v>776</v>
      </c>
      <c r="B1061">
        <v>362.03870000000001</v>
      </c>
      <c r="C1061">
        <v>0</v>
      </c>
    </row>
    <row r="1062" spans="1:3" x14ac:dyDescent="0.15">
      <c r="A1062" t="s">
        <v>776</v>
      </c>
      <c r="B1062">
        <v>512</v>
      </c>
      <c r="C1062">
        <v>0</v>
      </c>
    </row>
    <row r="1063" spans="1:3" x14ac:dyDescent="0.15">
      <c r="A1063" t="s">
        <v>776</v>
      </c>
      <c r="B1063">
        <v>724.07730000000004</v>
      </c>
      <c r="C1063">
        <v>0</v>
      </c>
    </row>
    <row r="1064" spans="1:3" x14ac:dyDescent="0.15">
      <c r="A1064" t="s">
        <v>777</v>
      </c>
      <c r="B1064">
        <v>2</v>
      </c>
      <c r="C1064">
        <v>7.9171600000000003E-4</v>
      </c>
    </row>
    <row r="1065" spans="1:3" x14ac:dyDescent="0.15">
      <c r="A1065" t="s">
        <v>777</v>
      </c>
      <c r="B1065">
        <v>2.8283999999999998</v>
      </c>
      <c r="C1065">
        <v>9.7143299999999995E-4</v>
      </c>
    </row>
    <row r="1066" spans="1:3" x14ac:dyDescent="0.15">
      <c r="A1066" t="s">
        <v>777</v>
      </c>
      <c r="B1066">
        <v>4</v>
      </c>
      <c r="C1066">
        <v>1.0605530000000001E-3</v>
      </c>
    </row>
    <row r="1067" spans="1:3" x14ac:dyDescent="0.15">
      <c r="A1067" t="s">
        <v>777</v>
      </c>
      <c r="B1067">
        <v>5.6569000000000003</v>
      </c>
      <c r="C1067">
        <v>1.1157630000000001E-3</v>
      </c>
    </row>
    <row r="1068" spans="1:3" x14ac:dyDescent="0.15">
      <c r="A1068" t="s">
        <v>777</v>
      </c>
      <c r="B1068">
        <v>8</v>
      </c>
      <c r="C1068">
        <v>1.2106479999999999E-3</v>
      </c>
    </row>
    <row r="1069" spans="1:3" x14ac:dyDescent="0.15">
      <c r="A1069" t="s">
        <v>777</v>
      </c>
      <c r="B1069">
        <v>11.313700000000001</v>
      </c>
      <c r="C1069">
        <v>1.1265660000000001E-3</v>
      </c>
    </row>
    <row r="1070" spans="1:3" x14ac:dyDescent="0.15">
      <c r="A1070" t="s">
        <v>777</v>
      </c>
      <c r="B1070">
        <v>16</v>
      </c>
      <c r="C1070">
        <v>1.0735569999999999E-3</v>
      </c>
    </row>
    <row r="1071" spans="1:3" x14ac:dyDescent="0.15">
      <c r="A1071" t="s">
        <v>777</v>
      </c>
      <c r="B1071">
        <v>22.627400000000002</v>
      </c>
      <c r="C1071">
        <v>1.0546819999999999E-3</v>
      </c>
    </row>
    <row r="1072" spans="1:3" x14ac:dyDescent="0.15">
      <c r="A1072" t="s">
        <v>777</v>
      </c>
      <c r="B1072">
        <v>32</v>
      </c>
      <c r="C1072">
        <v>9.2299799999999996E-4</v>
      </c>
    </row>
    <row r="1073" spans="1:3" x14ac:dyDescent="0.15">
      <c r="A1073" t="s">
        <v>777</v>
      </c>
      <c r="B1073">
        <v>45.254800000000003</v>
      </c>
      <c r="C1073">
        <v>8.7124200000000005E-4</v>
      </c>
    </row>
    <row r="1074" spans="1:3" x14ac:dyDescent="0.15">
      <c r="A1074" t="s">
        <v>777</v>
      </c>
      <c r="B1074">
        <v>64</v>
      </c>
      <c r="C1074">
        <v>7.3659599999999995E-4</v>
      </c>
    </row>
    <row r="1075" spans="1:3" x14ac:dyDescent="0.15">
      <c r="A1075" t="s">
        <v>777</v>
      </c>
      <c r="B1075">
        <v>90.509699999999995</v>
      </c>
      <c r="C1075">
        <v>5.6195300000000002E-4</v>
      </c>
    </row>
    <row r="1076" spans="1:3" x14ac:dyDescent="0.15">
      <c r="A1076" t="s">
        <v>777</v>
      </c>
      <c r="B1076">
        <v>128</v>
      </c>
      <c r="C1076">
        <v>4.03166E-4</v>
      </c>
    </row>
    <row r="1077" spans="1:3" x14ac:dyDescent="0.15">
      <c r="A1077" t="s">
        <v>777</v>
      </c>
      <c r="B1077">
        <v>181.01929999999999</v>
      </c>
      <c r="C1077">
        <v>1.92783E-4</v>
      </c>
    </row>
    <row r="1078" spans="1:3" x14ac:dyDescent="0.15">
      <c r="A1078" t="s">
        <v>777</v>
      </c>
      <c r="B1078">
        <v>256</v>
      </c>
      <c r="C1078">
        <v>2.9611000000000002E-5</v>
      </c>
    </row>
    <row r="1079" spans="1:3" x14ac:dyDescent="0.15">
      <c r="A1079" t="s">
        <v>777</v>
      </c>
      <c r="B1079">
        <v>362.03870000000001</v>
      </c>
      <c r="C1079">
        <v>5.5199999999999997E-7</v>
      </c>
    </row>
    <row r="1080" spans="1:3" x14ac:dyDescent="0.15">
      <c r="A1080" t="s">
        <v>777</v>
      </c>
      <c r="B1080">
        <v>512</v>
      </c>
      <c r="C1080">
        <v>0</v>
      </c>
    </row>
    <row r="1081" spans="1:3" x14ac:dyDescent="0.15">
      <c r="A1081" t="s">
        <v>777</v>
      </c>
      <c r="B1081">
        <v>724.07730000000004</v>
      </c>
      <c r="C1081">
        <v>0</v>
      </c>
    </row>
    <row r="1082" spans="1:3" x14ac:dyDescent="0.15">
      <c r="A1082" s="9" t="s">
        <v>778</v>
      </c>
      <c r="B1082">
        <v>2</v>
      </c>
      <c r="C1082">
        <v>1.2265290000000001E-3</v>
      </c>
    </row>
    <row r="1083" spans="1:3" x14ac:dyDescent="0.15">
      <c r="A1083" s="9" t="s">
        <v>778</v>
      </c>
      <c r="B1083">
        <v>2.8283999999999998</v>
      </c>
      <c r="C1083">
        <v>1.4235509999999999E-3</v>
      </c>
    </row>
    <row r="1084" spans="1:3" x14ac:dyDescent="0.15">
      <c r="A1084" s="9" t="s">
        <v>778</v>
      </c>
      <c r="B1084">
        <v>4</v>
      </c>
      <c r="C1084">
        <v>1.5048609999999999E-3</v>
      </c>
    </row>
    <row r="1085" spans="1:3" x14ac:dyDescent="0.15">
      <c r="A1085" s="9" t="s">
        <v>778</v>
      </c>
      <c r="B1085">
        <v>5.6569000000000003</v>
      </c>
      <c r="C1085">
        <v>1.638668E-3</v>
      </c>
    </row>
    <row r="1086" spans="1:3" x14ac:dyDescent="0.15">
      <c r="A1086" s="9" t="s">
        <v>778</v>
      </c>
      <c r="B1086">
        <v>8</v>
      </c>
      <c r="C1086">
        <v>1.7708730000000001E-3</v>
      </c>
    </row>
    <row r="1087" spans="1:3" x14ac:dyDescent="0.15">
      <c r="A1087" s="9" t="s">
        <v>778</v>
      </c>
      <c r="B1087">
        <v>11.313700000000001</v>
      </c>
      <c r="C1087">
        <v>1.5455829999999999E-3</v>
      </c>
    </row>
    <row r="1088" spans="1:3" x14ac:dyDescent="0.15">
      <c r="A1088" s="9" t="s">
        <v>778</v>
      </c>
      <c r="B1088">
        <v>16</v>
      </c>
      <c r="C1088">
        <v>1.1647389999999999E-3</v>
      </c>
    </row>
    <row r="1089" spans="1:3" x14ac:dyDescent="0.15">
      <c r="A1089" s="9" t="s">
        <v>778</v>
      </c>
      <c r="B1089">
        <v>22.627400000000002</v>
      </c>
      <c r="C1089">
        <v>1.189154E-3</v>
      </c>
    </row>
    <row r="1090" spans="1:3" x14ac:dyDescent="0.15">
      <c r="A1090" s="9" t="s">
        <v>778</v>
      </c>
      <c r="B1090">
        <v>32</v>
      </c>
      <c r="C1090">
        <v>1.3007100000000001E-3</v>
      </c>
    </row>
    <row r="1091" spans="1:3" x14ac:dyDescent="0.15">
      <c r="A1091" s="9" t="s">
        <v>778</v>
      </c>
      <c r="B1091">
        <v>45.254800000000003</v>
      </c>
      <c r="C1091">
        <v>1.002249E-3</v>
      </c>
    </row>
    <row r="1092" spans="1:3" x14ac:dyDescent="0.15">
      <c r="A1092" s="9" t="s">
        <v>778</v>
      </c>
      <c r="B1092">
        <v>64</v>
      </c>
      <c r="C1092">
        <v>6.2362099999999998E-4</v>
      </c>
    </row>
    <row r="1093" spans="1:3" x14ac:dyDescent="0.15">
      <c r="A1093" s="9" t="s">
        <v>778</v>
      </c>
      <c r="B1093">
        <v>90.509699999999995</v>
      </c>
      <c r="C1093">
        <v>2.88134E-4</v>
      </c>
    </row>
    <row r="1094" spans="1:3" x14ac:dyDescent="0.15">
      <c r="A1094" s="9" t="s">
        <v>778</v>
      </c>
      <c r="B1094">
        <v>128</v>
      </c>
      <c r="C1094">
        <v>4.4236999999999997E-5</v>
      </c>
    </row>
    <row r="1095" spans="1:3" x14ac:dyDescent="0.15">
      <c r="A1095" s="9" t="s">
        <v>778</v>
      </c>
      <c r="B1095">
        <v>181.01929999999999</v>
      </c>
      <c r="C1095">
        <v>8.2500000000000004E-7</v>
      </c>
    </row>
    <row r="1096" spans="1:3" x14ac:dyDescent="0.15">
      <c r="A1096" s="9" t="s">
        <v>778</v>
      </c>
      <c r="B1096">
        <v>256</v>
      </c>
      <c r="C1096">
        <v>1.0000000000000001E-9</v>
      </c>
    </row>
    <row r="1097" spans="1:3" x14ac:dyDescent="0.15">
      <c r="A1097" s="9" t="s">
        <v>778</v>
      </c>
      <c r="B1097">
        <v>362.03870000000001</v>
      </c>
      <c r="C1097">
        <v>0</v>
      </c>
    </row>
    <row r="1098" spans="1:3" x14ac:dyDescent="0.15">
      <c r="A1098" s="9" t="s">
        <v>778</v>
      </c>
      <c r="B1098">
        <v>512</v>
      </c>
      <c r="C1098">
        <v>0</v>
      </c>
    </row>
    <row r="1099" spans="1:3" x14ac:dyDescent="0.15">
      <c r="A1099" s="9" t="s">
        <v>778</v>
      </c>
      <c r="B1099">
        <v>724.07730000000004</v>
      </c>
      <c r="C1099">
        <v>0</v>
      </c>
    </row>
    <row r="1100" spans="1:3" x14ac:dyDescent="0.15">
      <c r="A1100" t="s">
        <v>779</v>
      </c>
      <c r="B1100">
        <v>2</v>
      </c>
      <c r="C1100">
        <v>7.9630499999999997E-4</v>
      </c>
    </row>
    <row r="1101" spans="1:3" x14ac:dyDescent="0.15">
      <c r="A1101" t="s">
        <v>779</v>
      </c>
      <c r="B1101">
        <v>2.8283999999999998</v>
      </c>
      <c r="C1101">
        <v>9.5194400000000003E-4</v>
      </c>
    </row>
    <row r="1102" spans="1:3" x14ac:dyDescent="0.15">
      <c r="A1102" t="s">
        <v>779</v>
      </c>
      <c r="B1102">
        <v>4</v>
      </c>
      <c r="C1102">
        <v>1.069459E-3</v>
      </c>
    </row>
    <row r="1103" spans="1:3" x14ac:dyDescent="0.15">
      <c r="A1103" t="s">
        <v>779</v>
      </c>
      <c r="B1103">
        <v>5.6569000000000003</v>
      </c>
      <c r="C1103">
        <v>1.2215629999999999E-3</v>
      </c>
    </row>
    <row r="1104" spans="1:3" x14ac:dyDescent="0.15">
      <c r="A1104" t="s">
        <v>779</v>
      </c>
      <c r="B1104">
        <v>8</v>
      </c>
      <c r="C1104">
        <v>1.120937E-3</v>
      </c>
    </row>
    <row r="1105" spans="1:3" x14ac:dyDescent="0.15">
      <c r="A1105" t="s">
        <v>779</v>
      </c>
      <c r="B1105">
        <v>11.313700000000001</v>
      </c>
      <c r="C1105">
        <v>9.0518200000000004E-4</v>
      </c>
    </row>
    <row r="1106" spans="1:3" x14ac:dyDescent="0.15">
      <c r="A1106" t="s">
        <v>779</v>
      </c>
      <c r="B1106">
        <v>16</v>
      </c>
      <c r="C1106">
        <v>1.052154E-3</v>
      </c>
    </row>
    <row r="1107" spans="1:3" x14ac:dyDescent="0.15">
      <c r="A1107" t="s">
        <v>779</v>
      </c>
      <c r="B1107">
        <v>22.627400000000002</v>
      </c>
      <c r="C1107">
        <v>1.3288530000000001E-3</v>
      </c>
    </row>
    <row r="1108" spans="1:3" x14ac:dyDescent="0.15">
      <c r="A1108" t="s">
        <v>779</v>
      </c>
      <c r="B1108">
        <v>32</v>
      </c>
      <c r="C1108">
        <v>1.4875540000000001E-3</v>
      </c>
    </row>
    <row r="1109" spans="1:3" x14ac:dyDescent="0.15">
      <c r="A1109" t="s">
        <v>779</v>
      </c>
      <c r="B1109">
        <v>45.254800000000003</v>
      </c>
      <c r="C1109">
        <v>1.410236E-3</v>
      </c>
    </row>
    <row r="1110" spans="1:3" x14ac:dyDescent="0.15">
      <c r="A1110" t="s">
        <v>779</v>
      </c>
      <c r="B1110">
        <v>64</v>
      </c>
      <c r="C1110">
        <v>1.231357E-3</v>
      </c>
    </row>
    <row r="1111" spans="1:3" x14ac:dyDescent="0.15">
      <c r="A1111" t="s">
        <v>779</v>
      </c>
      <c r="B1111">
        <v>90.509699999999995</v>
      </c>
      <c r="C1111">
        <v>9.2293599999999996E-4</v>
      </c>
    </row>
    <row r="1112" spans="1:3" x14ac:dyDescent="0.15">
      <c r="A1112" t="s">
        <v>779</v>
      </c>
      <c r="B1112">
        <v>128</v>
      </c>
      <c r="C1112">
        <v>5.2181500000000002E-4</v>
      </c>
    </row>
    <row r="1113" spans="1:3" x14ac:dyDescent="0.15">
      <c r="A1113" t="s">
        <v>779</v>
      </c>
      <c r="B1113">
        <v>181.01929999999999</v>
      </c>
      <c r="C1113">
        <v>2.2764199999999999E-4</v>
      </c>
    </row>
    <row r="1114" spans="1:3" x14ac:dyDescent="0.15">
      <c r="A1114" t="s">
        <v>779</v>
      </c>
      <c r="B1114">
        <v>256</v>
      </c>
      <c r="C1114">
        <v>3.4798999999999997E-5</v>
      </c>
    </row>
    <row r="1115" spans="1:3" x14ac:dyDescent="0.15">
      <c r="A1115" t="s">
        <v>779</v>
      </c>
      <c r="B1115">
        <v>362.03870000000001</v>
      </c>
      <c r="C1115">
        <v>6.4899999999999995E-7</v>
      </c>
    </row>
    <row r="1116" spans="1:3" x14ac:dyDescent="0.15">
      <c r="A1116" t="s">
        <v>779</v>
      </c>
      <c r="B1116">
        <v>512</v>
      </c>
      <c r="C1116">
        <v>0</v>
      </c>
    </row>
    <row r="1117" spans="1:3" x14ac:dyDescent="0.15">
      <c r="A1117" t="s">
        <v>779</v>
      </c>
      <c r="B1117">
        <v>724.07730000000004</v>
      </c>
      <c r="C1117">
        <v>0</v>
      </c>
    </row>
    <row r="1118" spans="1:3" x14ac:dyDescent="0.15">
      <c r="A1118" t="s">
        <v>780</v>
      </c>
      <c r="B1118">
        <v>2</v>
      </c>
      <c r="C1118">
        <v>7.1808400000000002E-4</v>
      </c>
    </row>
    <row r="1119" spans="1:3" x14ac:dyDescent="0.15">
      <c r="A1119" t="s">
        <v>780</v>
      </c>
      <c r="B1119">
        <v>2.8283999999999998</v>
      </c>
      <c r="C1119">
        <v>9.4747099999999997E-4</v>
      </c>
    </row>
    <row r="1120" spans="1:3" x14ac:dyDescent="0.15">
      <c r="A1120" t="s">
        <v>780</v>
      </c>
      <c r="B1120">
        <v>4</v>
      </c>
      <c r="C1120">
        <v>1.1878049999999999E-3</v>
      </c>
    </row>
    <row r="1121" spans="1:3" x14ac:dyDescent="0.15">
      <c r="A1121" t="s">
        <v>780</v>
      </c>
      <c r="B1121">
        <v>5.6569000000000003</v>
      </c>
      <c r="C1121">
        <v>1.198476E-3</v>
      </c>
    </row>
    <row r="1122" spans="1:3" x14ac:dyDescent="0.15">
      <c r="A1122" t="s">
        <v>780</v>
      </c>
      <c r="B1122">
        <v>8</v>
      </c>
      <c r="C1122">
        <v>1.060634E-3</v>
      </c>
    </row>
    <row r="1123" spans="1:3" x14ac:dyDescent="0.15">
      <c r="A1123" t="s">
        <v>780</v>
      </c>
      <c r="B1123">
        <v>11.313700000000001</v>
      </c>
      <c r="C1123">
        <v>1.00865E-3</v>
      </c>
    </row>
    <row r="1124" spans="1:3" x14ac:dyDescent="0.15">
      <c r="A1124" t="s">
        <v>780</v>
      </c>
      <c r="B1124">
        <v>16</v>
      </c>
      <c r="C1124">
        <v>8.6956100000000003E-4</v>
      </c>
    </row>
    <row r="1125" spans="1:3" x14ac:dyDescent="0.15">
      <c r="A1125" t="s">
        <v>780</v>
      </c>
      <c r="B1125">
        <v>22.627400000000002</v>
      </c>
      <c r="C1125">
        <v>7.1956400000000001E-4</v>
      </c>
    </row>
    <row r="1126" spans="1:3" x14ac:dyDescent="0.15">
      <c r="A1126" t="s">
        <v>780</v>
      </c>
      <c r="B1126">
        <v>32</v>
      </c>
      <c r="C1126">
        <v>6.8823799999999998E-4</v>
      </c>
    </row>
    <row r="1127" spans="1:3" x14ac:dyDescent="0.15">
      <c r="A1127" t="s">
        <v>780</v>
      </c>
      <c r="B1127">
        <v>45.254800000000003</v>
      </c>
      <c r="C1127">
        <v>8.2769899999999999E-4</v>
      </c>
    </row>
    <row r="1128" spans="1:3" x14ac:dyDescent="0.15">
      <c r="A1128" t="s">
        <v>780</v>
      </c>
      <c r="B1128">
        <v>64</v>
      </c>
      <c r="C1128">
        <v>9.4408100000000004E-4</v>
      </c>
    </row>
    <row r="1129" spans="1:3" x14ac:dyDescent="0.15">
      <c r="A1129" t="s">
        <v>780</v>
      </c>
      <c r="B1129">
        <v>90.509699999999995</v>
      </c>
      <c r="C1129">
        <v>9.5977400000000004E-4</v>
      </c>
    </row>
    <row r="1130" spans="1:3" x14ac:dyDescent="0.15">
      <c r="A1130" t="s">
        <v>780</v>
      </c>
      <c r="B1130">
        <v>128</v>
      </c>
      <c r="C1130">
        <v>8.47813E-4</v>
      </c>
    </row>
    <row r="1131" spans="1:3" x14ac:dyDescent="0.15">
      <c r="A1131" t="s">
        <v>780</v>
      </c>
      <c r="B1131">
        <v>181.01929999999999</v>
      </c>
      <c r="C1131">
        <v>4.2003500000000003E-4</v>
      </c>
    </row>
    <row r="1132" spans="1:3" x14ac:dyDescent="0.15">
      <c r="A1132" t="s">
        <v>780</v>
      </c>
      <c r="B1132">
        <v>256</v>
      </c>
      <c r="C1132">
        <v>6.4335E-5</v>
      </c>
    </row>
    <row r="1133" spans="1:3" x14ac:dyDescent="0.15">
      <c r="A1133" t="s">
        <v>780</v>
      </c>
      <c r="B1133">
        <v>362.03870000000001</v>
      </c>
      <c r="C1133">
        <v>1.1990000000000001E-6</v>
      </c>
    </row>
    <row r="1134" spans="1:3" x14ac:dyDescent="0.15">
      <c r="A1134" t="s">
        <v>780</v>
      </c>
      <c r="B1134">
        <v>512</v>
      </c>
      <c r="C1134">
        <v>0</v>
      </c>
    </row>
    <row r="1135" spans="1:3" x14ac:dyDescent="0.15">
      <c r="A1135" t="s">
        <v>780</v>
      </c>
      <c r="B1135">
        <v>724.07730000000004</v>
      </c>
      <c r="C1135">
        <v>0</v>
      </c>
    </row>
    <row r="1136" spans="1:3" x14ac:dyDescent="0.15">
      <c r="A1136" t="s">
        <v>781</v>
      </c>
      <c r="B1136">
        <v>2</v>
      </c>
      <c r="C1136">
        <v>8.7572799999999999E-4</v>
      </c>
    </row>
    <row r="1137" spans="1:3" x14ac:dyDescent="0.15">
      <c r="A1137" t="s">
        <v>781</v>
      </c>
      <c r="B1137">
        <v>2.8283999999999998</v>
      </c>
      <c r="C1137">
        <v>1.0965219999999999E-3</v>
      </c>
    </row>
    <row r="1138" spans="1:3" x14ac:dyDescent="0.15">
      <c r="A1138" t="s">
        <v>781</v>
      </c>
      <c r="B1138">
        <v>4</v>
      </c>
      <c r="C1138">
        <v>1.2423429999999999E-3</v>
      </c>
    </row>
    <row r="1139" spans="1:3" x14ac:dyDescent="0.15">
      <c r="A1139" t="s">
        <v>781</v>
      </c>
      <c r="B1139">
        <v>5.6569000000000003</v>
      </c>
      <c r="C1139">
        <v>1.08457E-3</v>
      </c>
    </row>
    <row r="1140" spans="1:3" x14ac:dyDescent="0.15">
      <c r="A1140" t="s">
        <v>781</v>
      </c>
      <c r="B1140">
        <v>8</v>
      </c>
      <c r="C1140">
        <v>9.2728199999999998E-4</v>
      </c>
    </row>
    <row r="1141" spans="1:3" x14ac:dyDescent="0.15">
      <c r="A1141" t="s">
        <v>781</v>
      </c>
      <c r="B1141">
        <v>11.313700000000001</v>
      </c>
      <c r="C1141">
        <v>8.7162700000000004E-4</v>
      </c>
    </row>
    <row r="1142" spans="1:3" x14ac:dyDescent="0.15">
      <c r="A1142" t="s">
        <v>781</v>
      </c>
      <c r="B1142">
        <v>16</v>
      </c>
      <c r="C1142">
        <v>7.87107E-4</v>
      </c>
    </row>
    <row r="1143" spans="1:3" x14ac:dyDescent="0.15">
      <c r="A1143" t="s">
        <v>781</v>
      </c>
      <c r="B1143">
        <v>22.627400000000002</v>
      </c>
      <c r="C1143">
        <v>8.1905499999999996E-4</v>
      </c>
    </row>
    <row r="1144" spans="1:3" x14ac:dyDescent="0.15">
      <c r="A1144" t="s">
        <v>781</v>
      </c>
      <c r="B1144">
        <v>32</v>
      </c>
      <c r="C1144">
        <v>9.5145600000000005E-4</v>
      </c>
    </row>
    <row r="1145" spans="1:3" x14ac:dyDescent="0.15">
      <c r="A1145" t="s">
        <v>781</v>
      </c>
      <c r="B1145">
        <v>45.254800000000003</v>
      </c>
      <c r="C1145">
        <v>1.0812110000000001E-3</v>
      </c>
    </row>
    <row r="1146" spans="1:3" x14ac:dyDescent="0.15">
      <c r="A1146" t="s">
        <v>781</v>
      </c>
      <c r="B1146">
        <v>64</v>
      </c>
      <c r="C1146">
        <v>1.119044E-3</v>
      </c>
    </row>
    <row r="1147" spans="1:3" x14ac:dyDescent="0.15">
      <c r="A1147" t="s">
        <v>781</v>
      </c>
      <c r="B1147">
        <v>90.509699999999995</v>
      </c>
      <c r="C1147">
        <v>9.9780300000000001E-4</v>
      </c>
    </row>
    <row r="1148" spans="1:3" x14ac:dyDescent="0.15">
      <c r="A1148" t="s">
        <v>781</v>
      </c>
      <c r="B1148">
        <v>128</v>
      </c>
      <c r="C1148">
        <v>8.7363899999999995E-4</v>
      </c>
    </row>
    <row r="1149" spans="1:3" x14ac:dyDescent="0.15">
      <c r="A1149" t="s">
        <v>781</v>
      </c>
      <c r="B1149">
        <v>181.01929999999999</v>
      </c>
      <c r="C1149">
        <v>4.3881299999999997E-4</v>
      </c>
    </row>
    <row r="1150" spans="1:3" x14ac:dyDescent="0.15">
      <c r="A1150" t="s">
        <v>781</v>
      </c>
      <c r="B1150">
        <v>256</v>
      </c>
      <c r="C1150">
        <v>6.7293999999999996E-5</v>
      </c>
    </row>
    <row r="1151" spans="1:3" x14ac:dyDescent="0.15">
      <c r="A1151" t="s">
        <v>781</v>
      </c>
      <c r="B1151">
        <v>362.03870000000001</v>
      </c>
      <c r="C1151">
        <v>1.254E-6</v>
      </c>
    </row>
    <row r="1152" spans="1:3" x14ac:dyDescent="0.15">
      <c r="A1152" t="s">
        <v>781</v>
      </c>
      <c r="B1152">
        <v>512</v>
      </c>
      <c r="C1152">
        <v>0</v>
      </c>
    </row>
    <row r="1153" spans="1:3" x14ac:dyDescent="0.15">
      <c r="A1153" t="s">
        <v>781</v>
      </c>
      <c r="B1153">
        <v>724.07730000000004</v>
      </c>
      <c r="C1153">
        <v>0</v>
      </c>
    </row>
    <row r="1154" spans="1:3" x14ac:dyDescent="0.15">
      <c r="A1154" t="s">
        <v>782</v>
      </c>
      <c r="B1154">
        <v>2</v>
      </c>
      <c r="C1154">
        <v>1.129068E-3</v>
      </c>
    </row>
    <row r="1155" spans="1:3" x14ac:dyDescent="0.15">
      <c r="A1155" t="s">
        <v>782</v>
      </c>
      <c r="B1155">
        <v>2.8283999999999998</v>
      </c>
      <c r="C1155">
        <v>1.44119E-3</v>
      </c>
    </row>
    <row r="1156" spans="1:3" x14ac:dyDescent="0.15">
      <c r="A1156" t="s">
        <v>782</v>
      </c>
      <c r="B1156">
        <v>4</v>
      </c>
      <c r="C1156">
        <v>1.7227329999999999E-3</v>
      </c>
    </row>
    <row r="1157" spans="1:3" x14ac:dyDescent="0.15">
      <c r="A1157" t="s">
        <v>782</v>
      </c>
      <c r="B1157">
        <v>5.6569000000000003</v>
      </c>
      <c r="C1157">
        <v>1.8300250000000001E-3</v>
      </c>
    </row>
    <row r="1158" spans="1:3" x14ac:dyDescent="0.15">
      <c r="A1158" t="s">
        <v>782</v>
      </c>
      <c r="B1158">
        <v>8</v>
      </c>
      <c r="C1158">
        <v>1.83625E-3</v>
      </c>
    </row>
    <row r="1159" spans="1:3" x14ac:dyDescent="0.15">
      <c r="A1159" t="s">
        <v>782</v>
      </c>
      <c r="B1159">
        <v>11.313700000000001</v>
      </c>
      <c r="C1159">
        <v>1.637052E-3</v>
      </c>
    </row>
    <row r="1160" spans="1:3" x14ac:dyDescent="0.15">
      <c r="A1160" t="s">
        <v>782</v>
      </c>
      <c r="B1160">
        <v>16</v>
      </c>
      <c r="C1160">
        <v>1.365481E-3</v>
      </c>
    </row>
    <row r="1161" spans="1:3" x14ac:dyDescent="0.15">
      <c r="A1161" t="s">
        <v>782</v>
      </c>
      <c r="B1161">
        <v>22.627400000000002</v>
      </c>
      <c r="C1161">
        <v>1.1669040000000001E-3</v>
      </c>
    </row>
    <row r="1162" spans="1:3" x14ac:dyDescent="0.15">
      <c r="A1162" t="s">
        <v>782</v>
      </c>
      <c r="B1162">
        <v>32</v>
      </c>
      <c r="C1162">
        <v>1.163713E-3</v>
      </c>
    </row>
    <row r="1163" spans="1:3" x14ac:dyDescent="0.15">
      <c r="A1163" t="s">
        <v>782</v>
      </c>
      <c r="B1163">
        <v>45.254800000000003</v>
      </c>
      <c r="C1163">
        <v>1.0986349999999999E-3</v>
      </c>
    </row>
    <row r="1164" spans="1:3" x14ac:dyDescent="0.15">
      <c r="A1164" t="s">
        <v>782</v>
      </c>
      <c r="B1164">
        <v>64</v>
      </c>
      <c r="C1164">
        <v>6.6588599999999997E-4</v>
      </c>
    </row>
    <row r="1165" spans="1:3" x14ac:dyDescent="0.15">
      <c r="A1165" t="s">
        <v>782</v>
      </c>
      <c r="B1165">
        <v>90.509699999999995</v>
      </c>
      <c r="C1165">
        <v>3.78811E-4</v>
      </c>
    </row>
    <row r="1166" spans="1:3" x14ac:dyDescent="0.15">
      <c r="A1166" t="s">
        <v>782</v>
      </c>
      <c r="B1166">
        <v>128</v>
      </c>
      <c r="C1166">
        <v>2.3700500000000001E-4</v>
      </c>
    </row>
    <row r="1167" spans="1:3" x14ac:dyDescent="0.15">
      <c r="A1167" t="s">
        <v>782</v>
      </c>
      <c r="B1167">
        <v>181.01929999999999</v>
      </c>
      <c r="C1167">
        <v>1.0849900000000001E-4</v>
      </c>
    </row>
    <row r="1168" spans="1:3" x14ac:dyDescent="0.15">
      <c r="A1168" t="s">
        <v>782</v>
      </c>
      <c r="B1168">
        <v>256</v>
      </c>
      <c r="C1168">
        <v>1.6605000000000001E-5</v>
      </c>
    </row>
    <row r="1169" spans="1:3" x14ac:dyDescent="0.15">
      <c r="A1169" t="s">
        <v>782</v>
      </c>
      <c r="B1169">
        <v>362.03870000000001</v>
      </c>
      <c r="C1169">
        <v>3.1E-7</v>
      </c>
    </row>
    <row r="1170" spans="1:3" x14ac:dyDescent="0.15">
      <c r="A1170" t="s">
        <v>782</v>
      </c>
      <c r="B1170">
        <v>512</v>
      </c>
      <c r="C1170">
        <v>0</v>
      </c>
    </row>
    <row r="1171" spans="1:3" x14ac:dyDescent="0.15">
      <c r="A1171" t="s">
        <v>782</v>
      </c>
      <c r="B1171">
        <v>724.07730000000004</v>
      </c>
      <c r="C1171">
        <v>0</v>
      </c>
    </row>
    <row r="1172" spans="1:3" x14ac:dyDescent="0.15">
      <c r="A1172" t="s">
        <v>783</v>
      </c>
      <c r="B1172">
        <v>2</v>
      </c>
      <c r="C1172">
        <v>5.8914099999999995E-4</v>
      </c>
    </row>
    <row r="1173" spans="1:3" x14ac:dyDescent="0.15">
      <c r="A1173" t="s">
        <v>783</v>
      </c>
      <c r="B1173">
        <v>2.8283999999999998</v>
      </c>
      <c r="C1173">
        <v>7.24356E-4</v>
      </c>
    </row>
    <row r="1174" spans="1:3" x14ac:dyDescent="0.15">
      <c r="A1174" t="s">
        <v>783</v>
      </c>
      <c r="B1174">
        <v>4</v>
      </c>
      <c r="C1174">
        <v>8.8317199999999999E-4</v>
      </c>
    </row>
    <row r="1175" spans="1:3" x14ac:dyDescent="0.15">
      <c r="A1175" t="s">
        <v>783</v>
      </c>
      <c r="B1175">
        <v>5.6569000000000003</v>
      </c>
      <c r="C1175">
        <v>1.0054459999999999E-3</v>
      </c>
    </row>
    <row r="1176" spans="1:3" x14ac:dyDescent="0.15">
      <c r="A1176" t="s">
        <v>783</v>
      </c>
      <c r="B1176">
        <v>8</v>
      </c>
      <c r="C1176">
        <v>1.0263500000000001E-3</v>
      </c>
    </row>
    <row r="1177" spans="1:3" x14ac:dyDescent="0.15">
      <c r="A1177" t="s">
        <v>783</v>
      </c>
      <c r="B1177">
        <v>11.313700000000001</v>
      </c>
      <c r="C1177">
        <v>1.1481169999999999E-3</v>
      </c>
    </row>
    <row r="1178" spans="1:3" x14ac:dyDescent="0.15">
      <c r="A1178" t="s">
        <v>783</v>
      </c>
      <c r="B1178">
        <v>16</v>
      </c>
      <c r="C1178">
        <v>1.169366E-3</v>
      </c>
    </row>
    <row r="1179" spans="1:3" x14ac:dyDescent="0.15">
      <c r="A1179" t="s">
        <v>783</v>
      </c>
      <c r="B1179">
        <v>22.627400000000002</v>
      </c>
      <c r="C1179">
        <v>8.9962400000000002E-4</v>
      </c>
    </row>
    <row r="1180" spans="1:3" x14ac:dyDescent="0.15">
      <c r="A1180" t="s">
        <v>783</v>
      </c>
      <c r="B1180">
        <v>32</v>
      </c>
      <c r="C1180">
        <v>6.6116500000000002E-4</v>
      </c>
    </row>
    <row r="1181" spans="1:3" x14ac:dyDescent="0.15">
      <c r="A1181" t="s">
        <v>783</v>
      </c>
      <c r="B1181">
        <v>45.254800000000003</v>
      </c>
      <c r="C1181">
        <v>5.9917100000000001E-4</v>
      </c>
    </row>
    <row r="1182" spans="1:3" x14ac:dyDescent="0.15">
      <c r="A1182" t="s">
        <v>783</v>
      </c>
      <c r="B1182">
        <v>64</v>
      </c>
      <c r="C1182">
        <v>4.6628400000000002E-4</v>
      </c>
    </row>
    <row r="1183" spans="1:3" x14ac:dyDescent="0.15">
      <c r="A1183" t="s">
        <v>783</v>
      </c>
      <c r="B1183">
        <v>90.509699999999995</v>
      </c>
      <c r="C1183">
        <v>3.23982E-4</v>
      </c>
    </row>
    <row r="1184" spans="1:3" x14ac:dyDescent="0.15">
      <c r="A1184" t="s">
        <v>783</v>
      </c>
      <c r="B1184">
        <v>128</v>
      </c>
      <c r="C1184">
        <v>2.43429E-4</v>
      </c>
    </row>
    <row r="1185" spans="1:3" x14ac:dyDescent="0.15">
      <c r="A1185" t="s">
        <v>783</v>
      </c>
      <c r="B1185">
        <v>181.01929999999999</v>
      </c>
      <c r="C1185">
        <v>1.18448E-4</v>
      </c>
    </row>
    <row r="1186" spans="1:3" x14ac:dyDescent="0.15">
      <c r="A1186" t="s">
        <v>783</v>
      </c>
      <c r="B1186">
        <v>256</v>
      </c>
      <c r="C1186">
        <v>1.8182999999999999E-5</v>
      </c>
    </row>
    <row r="1187" spans="1:3" x14ac:dyDescent="0.15">
      <c r="A1187" t="s">
        <v>783</v>
      </c>
      <c r="B1187">
        <v>362.03870000000001</v>
      </c>
      <c r="C1187">
        <v>3.39E-7</v>
      </c>
    </row>
    <row r="1188" spans="1:3" x14ac:dyDescent="0.15">
      <c r="A1188" t="s">
        <v>783</v>
      </c>
      <c r="B1188">
        <v>512</v>
      </c>
      <c r="C1188">
        <v>0</v>
      </c>
    </row>
    <row r="1189" spans="1:3" x14ac:dyDescent="0.15">
      <c r="A1189" t="s">
        <v>783</v>
      </c>
      <c r="B1189">
        <v>724.07730000000004</v>
      </c>
      <c r="C1189">
        <v>0</v>
      </c>
    </row>
    <row r="1190" spans="1:3" x14ac:dyDescent="0.15">
      <c r="A1190" t="s">
        <v>784</v>
      </c>
      <c r="B1190">
        <v>2</v>
      </c>
      <c r="C1190">
        <v>7.3376400000000003E-4</v>
      </c>
    </row>
    <row r="1191" spans="1:3" x14ac:dyDescent="0.15">
      <c r="A1191" t="s">
        <v>784</v>
      </c>
      <c r="B1191">
        <v>2.8283999999999998</v>
      </c>
      <c r="C1191">
        <v>8.30564E-4</v>
      </c>
    </row>
    <row r="1192" spans="1:3" x14ac:dyDescent="0.15">
      <c r="A1192" t="s">
        <v>784</v>
      </c>
      <c r="B1192">
        <v>4</v>
      </c>
      <c r="C1192">
        <v>9.4579699999999996E-4</v>
      </c>
    </row>
    <row r="1193" spans="1:3" x14ac:dyDescent="0.15">
      <c r="A1193" t="s">
        <v>784</v>
      </c>
      <c r="B1193">
        <v>5.6569000000000003</v>
      </c>
      <c r="C1193">
        <v>1.04335E-3</v>
      </c>
    </row>
    <row r="1194" spans="1:3" x14ac:dyDescent="0.15">
      <c r="A1194" t="s">
        <v>784</v>
      </c>
      <c r="B1194">
        <v>8</v>
      </c>
      <c r="C1194">
        <v>1.0751809999999999E-3</v>
      </c>
    </row>
    <row r="1195" spans="1:3" x14ac:dyDescent="0.15">
      <c r="A1195" t="s">
        <v>784</v>
      </c>
      <c r="B1195">
        <v>11.313700000000001</v>
      </c>
      <c r="C1195">
        <v>1.0096090000000001E-3</v>
      </c>
    </row>
    <row r="1196" spans="1:3" x14ac:dyDescent="0.15">
      <c r="A1196" t="s">
        <v>784</v>
      </c>
      <c r="B1196">
        <v>16</v>
      </c>
      <c r="C1196">
        <v>9.0783400000000005E-4</v>
      </c>
    </row>
    <row r="1197" spans="1:3" x14ac:dyDescent="0.15">
      <c r="A1197" t="s">
        <v>784</v>
      </c>
      <c r="B1197">
        <v>22.627400000000002</v>
      </c>
      <c r="C1197">
        <v>8.0177199999999997E-4</v>
      </c>
    </row>
    <row r="1198" spans="1:3" x14ac:dyDescent="0.15">
      <c r="A1198" t="s">
        <v>784</v>
      </c>
      <c r="B1198">
        <v>32</v>
      </c>
      <c r="C1198">
        <v>6.2240899999999998E-4</v>
      </c>
    </row>
    <row r="1199" spans="1:3" x14ac:dyDescent="0.15">
      <c r="A1199" t="s">
        <v>784</v>
      </c>
      <c r="B1199">
        <v>45.254800000000003</v>
      </c>
      <c r="C1199">
        <v>4.0880499999999999E-4</v>
      </c>
    </row>
    <row r="1200" spans="1:3" x14ac:dyDescent="0.15">
      <c r="A1200" t="s">
        <v>784</v>
      </c>
      <c r="B1200">
        <v>64</v>
      </c>
      <c r="C1200">
        <v>2.27891E-4</v>
      </c>
    </row>
    <row r="1201" spans="1:3" x14ac:dyDescent="0.15">
      <c r="A1201" t="s">
        <v>784</v>
      </c>
      <c r="B1201">
        <v>90.509699999999995</v>
      </c>
      <c r="C1201">
        <v>9.7015999999999994E-5</v>
      </c>
    </row>
    <row r="1202" spans="1:3" x14ac:dyDescent="0.15">
      <c r="A1202" t="s">
        <v>784</v>
      </c>
      <c r="B1202">
        <v>128</v>
      </c>
      <c r="C1202">
        <v>1.8253E-5</v>
      </c>
    </row>
    <row r="1203" spans="1:3" x14ac:dyDescent="0.15">
      <c r="A1203" t="s">
        <v>784</v>
      </c>
      <c r="B1203">
        <v>181.01929999999999</v>
      </c>
      <c r="C1203">
        <v>3.9129999999999996E-6</v>
      </c>
    </row>
    <row r="1204" spans="1:3" x14ac:dyDescent="0.15">
      <c r="A1204" t="s">
        <v>784</v>
      </c>
      <c r="B1204">
        <v>256</v>
      </c>
      <c r="C1204">
        <v>6.7999999999999995E-7</v>
      </c>
    </row>
    <row r="1205" spans="1:3" x14ac:dyDescent="0.15">
      <c r="A1205" t="s">
        <v>784</v>
      </c>
      <c r="B1205">
        <v>362.03870000000001</v>
      </c>
      <c r="C1205">
        <v>1.3000000000000001E-8</v>
      </c>
    </row>
    <row r="1206" spans="1:3" x14ac:dyDescent="0.15">
      <c r="A1206" t="s">
        <v>784</v>
      </c>
      <c r="B1206">
        <v>512</v>
      </c>
      <c r="C1206">
        <v>0</v>
      </c>
    </row>
    <row r="1207" spans="1:3" x14ac:dyDescent="0.15">
      <c r="A1207" t="s">
        <v>784</v>
      </c>
      <c r="B1207">
        <v>724.07730000000004</v>
      </c>
      <c r="C1207">
        <v>0</v>
      </c>
    </row>
    <row r="1208" spans="1:3" x14ac:dyDescent="0.15">
      <c r="A1208" t="s">
        <v>785</v>
      </c>
      <c r="B1208">
        <v>2</v>
      </c>
      <c r="C1208">
        <v>1.3057500000000001E-3</v>
      </c>
    </row>
    <row r="1209" spans="1:3" x14ac:dyDescent="0.15">
      <c r="A1209" t="s">
        <v>785</v>
      </c>
      <c r="B1209">
        <v>2.8283999999999998</v>
      </c>
      <c r="C1209">
        <v>1.545156E-3</v>
      </c>
    </row>
    <row r="1210" spans="1:3" x14ac:dyDescent="0.15">
      <c r="A1210" t="s">
        <v>785</v>
      </c>
      <c r="B1210">
        <v>4</v>
      </c>
      <c r="C1210">
        <v>1.577342E-3</v>
      </c>
    </row>
    <row r="1211" spans="1:3" x14ac:dyDescent="0.15">
      <c r="A1211" t="s">
        <v>785</v>
      </c>
      <c r="B1211">
        <v>5.6569000000000003</v>
      </c>
      <c r="C1211">
        <v>1.4362680000000001E-3</v>
      </c>
    </row>
    <row r="1212" spans="1:3" x14ac:dyDescent="0.15">
      <c r="A1212" t="s">
        <v>785</v>
      </c>
      <c r="B1212">
        <v>8</v>
      </c>
      <c r="C1212">
        <v>1.4615279999999999E-3</v>
      </c>
    </row>
    <row r="1213" spans="1:3" x14ac:dyDescent="0.15">
      <c r="A1213" t="s">
        <v>785</v>
      </c>
      <c r="B1213">
        <v>11.313700000000001</v>
      </c>
      <c r="C1213">
        <v>1.544854E-3</v>
      </c>
    </row>
    <row r="1214" spans="1:3" x14ac:dyDescent="0.15">
      <c r="A1214" t="s">
        <v>785</v>
      </c>
      <c r="B1214">
        <v>16</v>
      </c>
      <c r="C1214">
        <v>1.3156140000000001E-3</v>
      </c>
    </row>
    <row r="1215" spans="1:3" x14ac:dyDescent="0.15">
      <c r="A1215" t="s">
        <v>785</v>
      </c>
      <c r="B1215">
        <v>22.627400000000002</v>
      </c>
      <c r="C1215">
        <v>1.0224050000000001E-3</v>
      </c>
    </row>
    <row r="1216" spans="1:3" x14ac:dyDescent="0.15">
      <c r="A1216" t="s">
        <v>785</v>
      </c>
      <c r="B1216">
        <v>32</v>
      </c>
      <c r="C1216">
        <v>1.158E-3</v>
      </c>
    </row>
    <row r="1217" spans="1:3" x14ac:dyDescent="0.15">
      <c r="A1217" t="s">
        <v>785</v>
      </c>
      <c r="B1217">
        <v>45.254800000000003</v>
      </c>
      <c r="C1217">
        <v>1.220584E-3</v>
      </c>
    </row>
    <row r="1218" spans="1:3" x14ac:dyDescent="0.15">
      <c r="A1218" t="s">
        <v>785</v>
      </c>
      <c r="B1218">
        <v>64</v>
      </c>
      <c r="C1218">
        <v>7.5981300000000002E-4</v>
      </c>
    </row>
    <row r="1219" spans="1:3" x14ac:dyDescent="0.15">
      <c r="A1219" t="s">
        <v>785</v>
      </c>
      <c r="B1219">
        <v>90.509699999999995</v>
      </c>
      <c r="C1219">
        <v>1.96193E-4</v>
      </c>
    </row>
    <row r="1220" spans="1:3" x14ac:dyDescent="0.15">
      <c r="A1220" t="s">
        <v>785</v>
      </c>
      <c r="B1220">
        <v>128</v>
      </c>
      <c r="C1220">
        <v>4.1232000000000001E-5</v>
      </c>
    </row>
    <row r="1221" spans="1:3" x14ac:dyDescent="0.15">
      <c r="A1221" t="s">
        <v>785</v>
      </c>
      <c r="B1221">
        <v>181.01929999999999</v>
      </c>
      <c r="C1221">
        <v>3.7960999999999998E-5</v>
      </c>
    </row>
    <row r="1222" spans="1:3" x14ac:dyDescent="0.15">
      <c r="A1222" t="s">
        <v>785</v>
      </c>
      <c r="B1222">
        <v>256</v>
      </c>
      <c r="C1222">
        <v>5.9309999999999996E-6</v>
      </c>
    </row>
    <row r="1223" spans="1:3" x14ac:dyDescent="0.15">
      <c r="A1223" t="s">
        <v>785</v>
      </c>
      <c r="B1223">
        <v>362.03870000000001</v>
      </c>
      <c r="C1223">
        <v>1.11E-7</v>
      </c>
    </row>
    <row r="1224" spans="1:3" x14ac:dyDescent="0.15">
      <c r="A1224" t="s">
        <v>785</v>
      </c>
      <c r="B1224">
        <v>512</v>
      </c>
      <c r="C1224">
        <v>0</v>
      </c>
    </row>
    <row r="1225" spans="1:3" x14ac:dyDescent="0.15">
      <c r="A1225" t="s">
        <v>785</v>
      </c>
      <c r="B1225">
        <v>724.07730000000004</v>
      </c>
      <c r="C1225">
        <v>0</v>
      </c>
    </row>
    <row r="1226" spans="1:3" x14ac:dyDescent="0.15">
      <c r="A1226" t="s">
        <v>786</v>
      </c>
      <c r="B1226">
        <v>2</v>
      </c>
      <c r="C1226">
        <v>8.83661E-4</v>
      </c>
    </row>
    <row r="1227" spans="1:3" x14ac:dyDescent="0.15">
      <c r="A1227" t="s">
        <v>786</v>
      </c>
      <c r="B1227">
        <v>2.8283999999999998</v>
      </c>
      <c r="C1227">
        <v>1.0361190000000001E-3</v>
      </c>
    </row>
    <row r="1228" spans="1:3" x14ac:dyDescent="0.15">
      <c r="A1228" t="s">
        <v>786</v>
      </c>
      <c r="B1228">
        <v>4</v>
      </c>
      <c r="C1228">
        <v>1.288478E-3</v>
      </c>
    </row>
    <row r="1229" spans="1:3" x14ac:dyDescent="0.15">
      <c r="A1229" t="s">
        <v>786</v>
      </c>
      <c r="B1229">
        <v>5.6569000000000003</v>
      </c>
      <c r="C1229">
        <v>1.4740910000000001E-3</v>
      </c>
    </row>
    <row r="1230" spans="1:3" x14ac:dyDescent="0.15">
      <c r="A1230" t="s">
        <v>786</v>
      </c>
      <c r="B1230">
        <v>8</v>
      </c>
      <c r="C1230">
        <v>1.475409E-3</v>
      </c>
    </row>
    <row r="1231" spans="1:3" x14ac:dyDescent="0.15">
      <c r="A1231" t="s">
        <v>786</v>
      </c>
      <c r="B1231">
        <v>11.313700000000001</v>
      </c>
      <c r="C1231">
        <v>1.3122990000000001E-3</v>
      </c>
    </row>
    <row r="1232" spans="1:3" x14ac:dyDescent="0.15">
      <c r="A1232" t="s">
        <v>786</v>
      </c>
      <c r="B1232">
        <v>16</v>
      </c>
      <c r="C1232">
        <v>1.0970400000000001E-3</v>
      </c>
    </row>
    <row r="1233" spans="1:3" x14ac:dyDescent="0.15">
      <c r="A1233" t="s">
        <v>786</v>
      </c>
      <c r="B1233">
        <v>22.627400000000002</v>
      </c>
      <c r="C1233">
        <v>8.7465199999999996E-4</v>
      </c>
    </row>
    <row r="1234" spans="1:3" x14ac:dyDescent="0.15">
      <c r="A1234" t="s">
        <v>786</v>
      </c>
      <c r="B1234">
        <v>32</v>
      </c>
      <c r="C1234">
        <v>5.7234600000000005E-4</v>
      </c>
    </row>
    <row r="1235" spans="1:3" x14ac:dyDescent="0.15">
      <c r="A1235" t="s">
        <v>786</v>
      </c>
      <c r="B1235">
        <v>45.254800000000003</v>
      </c>
      <c r="C1235">
        <v>4.7484300000000002E-4</v>
      </c>
    </row>
    <row r="1236" spans="1:3" x14ac:dyDescent="0.15">
      <c r="A1236" t="s">
        <v>786</v>
      </c>
      <c r="B1236">
        <v>64</v>
      </c>
      <c r="C1236">
        <v>6.3001300000000001E-4</v>
      </c>
    </row>
    <row r="1237" spans="1:3" x14ac:dyDescent="0.15">
      <c r="A1237" t="s">
        <v>786</v>
      </c>
      <c r="B1237">
        <v>90.509699999999995</v>
      </c>
      <c r="C1237">
        <v>8.5780100000000005E-4</v>
      </c>
    </row>
    <row r="1238" spans="1:3" x14ac:dyDescent="0.15">
      <c r="A1238" t="s">
        <v>786</v>
      </c>
      <c r="B1238">
        <v>128</v>
      </c>
      <c r="C1238">
        <v>8.3255199999999997E-4</v>
      </c>
    </row>
    <row r="1239" spans="1:3" x14ac:dyDescent="0.15">
      <c r="A1239" t="s">
        <v>786</v>
      </c>
      <c r="B1239">
        <v>181.01929999999999</v>
      </c>
      <c r="C1239">
        <v>4.15282E-4</v>
      </c>
    </row>
    <row r="1240" spans="1:3" x14ac:dyDescent="0.15">
      <c r="A1240" t="s">
        <v>786</v>
      </c>
      <c r="B1240">
        <v>256</v>
      </c>
      <c r="C1240">
        <v>6.3552000000000004E-5</v>
      </c>
    </row>
    <row r="1241" spans="1:3" x14ac:dyDescent="0.15">
      <c r="A1241" t="s">
        <v>786</v>
      </c>
      <c r="B1241">
        <v>362.03870000000001</v>
      </c>
      <c r="C1241">
        <v>1.1850000000000001E-6</v>
      </c>
    </row>
    <row r="1242" spans="1:3" x14ac:dyDescent="0.15">
      <c r="A1242" t="s">
        <v>786</v>
      </c>
      <c r="B1242">
        <v>512</v>
      </c>
      <c r="C1242">
        <v>0</v>
      </c>
    </row>
    <row r="1243" spans="1:3" x14ac:dyDescent="0.15">
      <c r="A1243" t="s">
        <v>786</v>
      </c>
      <c r="B1243">
        <v>724.07730000000004</v>
      </c>
      <c r="C1243">
        <v>0</v>
      </c>
    </row>
    <row r="1244" spans="1:3" x14ac:dyDescent="0.15">
      <c r="A1244" t="s">
        <v>787</v>
      </c>
      <c r="B1244">
        <v>2</v>
      </c>
      <c r="C1244">
        <v>1.027591E-3</v>
      </c>
    </row>
    <row r="1245" spans="1:3" x14ac:dyDescent="0.15">
      <c r="A1245" t="s">
        <v>787</v>
      </c>
      <c r="B1245">
        <v>2.8283999999999998</v>
      </c>
      <c r="C1245">
        <v>1.2941949999999999E-3</v>
      </c>
    </row>
    <row r="1246" spans="1:3" x14ac:dyDescent="0.15">
      <c r="A1246" t="s">
        <v>787</v>
      </c>
      <c r="B1246">
        <v>4</v>
      </c>
      <c r="C1246">
        <v>1.5042510000000001E-3</v>
      </c>
    </row>
    <row r="1247" spans="1:3" x14ac:dyDescent="0.15">
      <c r="A1247" t="s">
        <v>787</v>
      </c>
      <c r="B1247">
        <v>5.6569000000000003</v>
      </c>
      <c r="C1247">
        <v>1.514177E-3</v>
      </c>
    </row>
    <row r="1248" spans="1:3" x14ac:dyDescent="0.15">
      <c r="A1248" t="s">
        <v>787</v>
      </c>
      <c r="B1248">
        <v>8</v>
      </c>
      <c r="C1248">
        <v>1.497883E-3</v>
      </c>
    </row>
    <row r="1249" spans="1:3" x14ac:dyDescent="0.15">
      <c r="A1249" t="s">
        <v>787</v>
      </c>
      <c r="B1249">
        <v>11.313700000000001</v>
      </c>
      <c r="C1249">
        <v>1.44092E-3</v>
      </c>
    </row>
    <row r="1250" spans="1:3" x14ac:dyDescent="0.15">
      <c r="A1250" t="s">
        <v>787</v>
      </c>
      <c r="B1250">
        <v>16</v>
      </c>
      <c r="C1250">
        <v>1.1330800000000001E-3</v>
      </c>
    </row>
    <row r="1251" spans="1:3" x14ac:dyDescent="0.15">
      <c r="A1251" t="s">
        <v>787</v>
      </c>
      <c r="B1251">
        <v>22.627400000000002</v>
      </c>
      <c r="C1251">
        <v>1.029037E-3</v>
      </c>
    </row>
    <row r="1252" spans="1:3" x14ac:dyDescent="0.15">
      <c r="A1252" t="s">
        <v>787</v>
      </c>
      <c r="B1252">
        <v>32</v>
      </c>
      <c r="C1252">
        <v>1.21524E-3</v>
      </c>
    </row>
    <row r="1253" spans="1:3" x14ac:dyDescent="0.15">
      <c r="A1253" t="s">
        <v>787</v>
      </c>
      <c r="B1253">
        <v>45.254800000000003</v>
      </c>
      <c r="C1253">
        <v>1.2384130000000001E-3</v>
      </c>
    </row>
    <row r="1254" spans="1:3" x14ac:dyDescent="0.15">
      <c r="A1254" t="s">
        <v>787</v>
      </c>
      <c r="B1254">
        <v>64</v>
      </c>
      <c r="C1254">
        <v>1.0148729999999999E-3</v>
      </c>
    </row>
    <row r="1255" spans="1:3" x14ac:dyDescent="0.15">
      <c r="A1255" t="s">
        <v>787</v>
      </c>
      <c r="B1255">
        <v>90.509699999999995</v>
      </c>
      <c r="C1255">
        <v>7.6539999999999996E-4</v>
      </c>
    </row>
    <row r="1256" spans="1:3" x14ac:dyDescent="0.15">
      <c r="A1256" t="s">
        <v>787</v>
      </c>
      <c r="B1256">
        <v>128</v>
      </c>
      <c r="C1256">
        <v>5.0542899999999995E-4</v>
      </c>
    </row>
    <row r="1257" spans="1:3" x14ac:dyDescent="0.15">
      <c r="A1257" t="s">
        <v>787</v>
      </c>
      <c r="B1257">
        <v>181.01929999999999</v>
      </c>
      <c r="C1257">
        <v>2.3286300000000001E-4</v>
      </c>
    </row>
    <row r="1258" spans="1:3" x14ac:dyDescent="0.15">
      <c r="A1258" t="s">
        <v>787</v>
      </c>
      <c r="B1258">
        <v>256</v>
      </c>
      <c r="C1258">
        <v>3.5612999999999999E-5</v>
      </c>
    </row>
    <row r="1259" spans="1:3" x14ac:dyDescent="0.15">
      <c r="A1259" t="s">
        <v>787</v>
      </c>
      <c r="B1259">
        <v>362.03870000000001</v>
      </c>
      <c r="C1259">
        <v>6.6400000000000002E-7</v>
      </c>
    </row>
    <row r="1260" spans="1:3" x14ac:dyDescent="0.15">
      <c r="A1260" t="s">
        <v>787</v>
      </c>
      <c r="B1260">
        <v>512</v>
      </c>
      <c r="C1260">
        <v>0</v>
      </c>
    </row>
    <row r="1261" spans="1:3" x14ac:dyDescent="0.15">
      <c r="A1261" t="s">
        <v>787</v>
      </c>
      <c r="B1261">
        <v>724.07730000000004</v>
      </c>
      <c r="C1261">
        <v>0</v>
      </c>
    </row>
    <row r="1262" spans="1:3" x14ac:dyDescent="0.15">
      <c r="A1262" t="s">
        <v>788</v>
      </c>
      <c r="B1262">
        <v>2</v>
      </c>
      <c r="C1262">
        <v>8.1611400000000005E-4</v>
      </c>
    </row>
    <row r="1263" spans="1:3" x14ac:dyDescent="0.15">
      <c r="A1263" t="s">
        <v>788</v>
      </c>
      <c r="B1263">
        <v>2.8283999999999998</v>
      </c>
      <c r="C1263">
        <v>1.011446E-3</v>
      </c>
    </row>
    <row r="1264" spans="1:3" x14ac:dyDescent="0.15">
      <c r="A1264" t="s">
        <v>788</v>
      </c>
      <c r="B1264">
        <v>4</v>
      </c>
      <c r="C1264">
        <v>1.031948E-3</v>
      </c>
    </row>
    <row r="1265" spans="1:3" x14ac:dyDescent="0.15">
      <c r="A1265" t="s">
        <v>788</v>
      </c>
      <c r="B1265">
        <v>5.6569000000000003</v>
      </c>
      <c r="C1265">
        <v>9.1728800000000004E-4</v>
      </c>
    </row>
    <row r="1266" spans="1:3" x14ac:dyDescent="0.15">
      <c r="A1266" t="s">
        <v>788</v>
      </c>
      <c r="B1266">
        <v>8</v>
      </c>
      <c r="C1266">
        <v>9.5507700000000003E-4</v>
      </c>
    </row>
    <row r="1267" spans="1:3" x14ac:dyDescent="0.15">
      <c r="A1267" t="s">
        <v>788</v>
      </c>
      <c r="B1267">
        <v>11.313700000000001</v>
      </c>
      <c r="C1267">
        <v>9.9990499999999993E-4</v>
      </c>
    </row>
    <row r="1268" spans="1:3" x14ac:dyDescent="0.15">
      <c r="A1268" t="s">
        <v>788</v>
      </c>
      <c r="B1268">
        <v>16</v>
      </c>
      <c r="C1268">
        <v>9.2144000000000004E-4</v>
      </c>
    </row>
    <row r="1269" spans="1:3" x14ac:dyDescent="0.15">
      <c r="A1269" t="s">
        <v>788</v>
      </c>
      <c r="B1269">
        <v>22.627400000000002</v>
      </c>
      <c r="C1269">
        <v>8.7386899999999999E-4</v>
      </c>
    </row>
    <row r="1270" spans="1:3" x14ac:dyDescent="0.15">
      <c r="A1270" t="s">
        <v>788</v>
      </c>
      <c r="B1270">
        <v>32</v>
      </c>
      <c r="C1270">
        <v>1.0855560000000001E-3</v>
      </c>
    </row>
    <row r="1271" spans="1:3" x14ac:dyDescent="0.15">
      <c r="A1271" t="s">
        <v>788</v>
      </c>
      <c r="B1271">
        <v>45.254800000000003</v>
      </c>
      <c r="C1271">
        <v>1.042135E-3</v>
      </c>
    </row>
    <row r="1272" spans="1:3" x14ac:dyDescent="0.15">
      <c r="A1272" t="s">
        <v>788</v>
      </c>
      <c r="B1272">
        <v>64</v>
      </c>
      <c r="C1272">
        <v>5.5301600000000003E-4</v>
      </c>
    </row>
    <row r="1273" spans="1:3" x14ac:dyDescent="0.15">
      <c r="A1273" t="s">
        <v>788</v>
      </c>
      <c r="B1273">
        <v>90.509699999999995</v>
      </c>
      <c r="C1273">
        <v>1.2438400000000001E-4</v>
      </c>
    </row>
    <row r="1274" spans="1:3" x14ac:dyDescent="0.15">
      <c r="A1274" t="s">
        <v>788</v>
      </c>
      <c r="B1274">
        <v>128</v>
      </c>
      <c r="C1274">
        <v>4.8322999999999998E-5</v>
      </c>
    </row>
    <row r="1275" spans="1:3" x14ac:dyDescent="0.15">
      <c r="A1275" t="s">
        <v>788</v>
      </c>
      <c r="B1275">
        <v>181.01929999999999</v>
      </c>
      <c r="C1275">
        <v>2.9275999999999999E-5</v>
      </c>
    </row>
    <row r="1276" spans="1:3" x14ac:dyDescent="0.15">
      <c r="A1276" t="s">
        <v>788</v>
      </c>
      <c r="B1276">
        <v>256</v>
      </c>
      <c r="C1276">
        <v>4.5329999999999996E-6</v>
      </c>
    </row>
    <row r="1277" spans="1:3" x14ac:dyDescent="0.15">
      <c r="A1277" t="s">
        <v>788</v>
      </c>
      <c r="B1277">
        <v>362.03870000000001</v>
      </c>
      <c r="C1277">
        <v>8.3999999999999998E-8</v>
      </c>
    </row>
    <row r="1278" spans="1:3" x14ac:dyDescent="0.15">
      <c r="A1278" t="s">
        <v>788</v>
      </c>
      <c r="B1278">
        <v>512</v>
      </c>
      <c r="C1278">
        <v>0</v>
      </c>
    </row>
    <row r="1279" spans="1:3" x14ac:dyDescent="0.15">
      <c r="A1279" t="s">
        <v>788</v>
      </c>
      <c r="B1279">
        <v>724.07730000000004</v>
      </c>
      <c r="C1279">
        <v>0</v>
      </c>
    </row>
    <row r="1280" spans="1:3" x14ac:dyDescent="0.15">
      <c r="A1280" t="s">
        <v>789</v>
      </c>
      <c r="B1280">
        <v>2</v>
      </c>
      <c r="C1280">
        <v>8.6834200000000003E-4</v>
      </c>
    </row>
    <row r="1281" spans="1:3" x14ac:dyDescent="0.15">
      <c r="A1281" t="s">
        <v>789</v>
      </c>
      <c r="B1281">
        <v>2.8283999999999998</v>
      </c>
      <c r="C1281">
        <v>1.145704E-3</v>
      </c>
    </row>
    <row r="1282" spans="1:3" x14ac:dyDescent="0.15">
      <c r="A1282" t="s">
        <v>789</v>
      </c>
      <c r="B1282">
        <v>4</v>
      </c>
      <c r="C1282">
        <v>1.4103500000000001E-3</v>
      </c>
    </row>
    <row r="1283" spans="1:3" x14ac:dyDescent="0.15">
      <c r="A1283" t="s">
        <v>789</v>
      </c>
      <c r="B1283">
        <v>5.6569000000000003</v>
      </c>
      <c r="C1283">
        <v>1.523815E-3</v>
      </c>
    </row>
    <row r="1284" spans="1:3" x14ac:dyDescent="0.15">
      <c r="A1284" t="s">
        <v>789</v>
      </c>
      <c r="B1284">
        <v>8</v>
      </c>
      <c r="C1284">
        <v>1.4640409999999999E-3</v>
      </c>
    </row>
    <row r="1285" spans="1:3" x14ac:dyDescent="0.15">
      <c r="A1285" t="s">
        <v>789</v>
      </c>
      <c r="B1285">
        <v>11.313700000000001</v>
      </c>
      <c r="C1285">
        <v>1.2531339999999999E-3</v>
      </c>
    </row>
    <row r="1286" spans="1:3" x14ac:dyDescent="0.15">
      <c r="A1286" t="s">
        <v>789</v>
      </c>
      <c r="B1286">
        <v>16</v>
      </c>
      <c r="C1286">
        <v>9.6580400000000001E-4</v>
      </c>
    </row>
    <row r="1287" spans="1:3" x14ac:dyDescent="0.15">
      <c r="A1287" t="s">
        <v>789</v>
      </c>
      <c r="B1287">
        <v>22.627400000000002</v>
      </c>
      <c r="C1287">
        <v>7.2803500000000003E-4</v>
      </c>
    </row>
    <row r="1288" spans="1:3" x14ac:dyDescent="0.15">
      <c r="A1288" t="s">
        <v>789</v>
      </c>
      <c r="B1288">
        <v>32</v>
      </c>
      <c r="C1288">
        <v>5.7406099999999995E-4</v>
      </c>
    </row>
    <row r="1289" spans="1:3" x14ac:dyDescent="0.15">
      <c r="A1289" t="s">
        <v>789</v>
      </c>
      <c r="B1289">
        <v>45.254800000000003</v>
      </c>
      <c r="C1289">
        <v>4.7262999999999998E-4</v>
      </c>
    </row>
    <row r="1290" spans="1:3" x14ac:dyDescent="0.15">
      <c r="A1290" t="s">
        <v>789</v>
      </c>
      <c r="B1290">
        <v>64</v>
      </c>
      <c r="C1290">
        <v>4.4418600000000001E-4</v>
      </c>
    </row>
    <row r="1291" spans="1:3" x14ac:dyDescent="0.15">
      <c r="A1291" t="s">
        <v>789</v>
      </c>
      <c r="B1291">
        <v>90.509699999999995</v>
      </c>
      <c r="C1291">
        <v>4.3023399999999999E-4</v>
      </c>
    </row>
    <row r="1292" spans="1:3" x14ac:dyDescent="0.15">
      <c r="A1292" t="s">
        <v>789</v>
      </c>
      <c r="B1292">
        <v>128</v>
      </c>
      <c r="C1292">
        <v>3.4508199999999997E-4</v>
      </c>
    </row>
    <row r="1293" spans="1:3" x14ac:dyDescent="0.15">
      <c r="A1293" t="s">
        <v>789</v>
      </c>
      <c r="B1293">
        <v>181.01929999999999</v>
      </c>
      <c r="C1293">
        <v>1.6814600000000001E-4</v>
      </c>
    </row>
    <row r="1294" spans="1:3" x14ac:dyDescent="0.15">
      <c r="A1294" t="s">
        <v>789</v>
      </c>
      <c r="B1294">
        <v>256</v>
      </c>
      <c r="C1294">
        <v>2.5879000000000001E-5</v>
      </c>
    </row>
    <row r="1295" spans="1:3" x14ac:dyDescent="0.15">
      <c r="A1295" t="s">
        <v>789</v>
      </c>
      <c r="B1295">
        <v>362.03870000000001</v>
      </c>
      <c r="C1295">
        <v>4.8299999999999997E-7</v>
      </c>
    </row>
    <row r="1296" spans="1:3" x14ac:dyDescent="0.15">
      <c r="A1296" t="s">
        <v>789</v>
      </c>
      <c r="B1296">
        <v>512</v>
      </c>
      <c r="C1296">
        <v>0</v>
      </c>
    </row>
    <row r="1297" spans="1:3" x14ac:dyDescent="0.15">
      <c r="A1297" t="s">
        <v>789</v>
      </c>
      <c r="B1297">
        <v>724.07730000000004</v>
      </c>
      <c r="C1297">
        <v>0</v>
      </c>
    </row>
    <row r="1298" spans="1:3" x14ac:dyDescent="0.15">
      <c r="A1298" t="s">
        <v>790</v>
      </c>
      <c r="B1298">
        <v>2</v>
      </c>
      <c r="C1298">
        <v>1.6752900000000001E-3</v>
      </c>
    </row>
    <row r="1299" spans="1:3" x14ac:dyDescent="0.15">
      <c r="A1299" t="s">
        <v>790</v>
      </c>
      <c r="B1299">
        <v>2.8283999999999998</v>
      </c>
      <c r="C1299">
        <v>1.9545840000000001E-3</v>
      </c>
    </row>
    <row r="1300" spans="1:3" x14ac:dyDescent="0.15">
      <c r="A1300" t="s">
        <v>790</v>
      </c>
      <c r="B1300">
        <v>4</v>
      </c>
      <c r="C1300">
        <v>2.034915E-3</v>
      </c>
    </row>
    <row r="1301" spans="1:3" x14ac:dyDescent="0.15">
      <c r="A1301" t="s">
        <v>790</v>
      </c>
      <c r="B1301">
        <v>5.6569000000000003</v>
      </c>
      <c r="C1301">
        <v>1.94166E-3</v>
      </c>
    </row>
    <row r="1302" spans="1:3" x14ac:dyDescent="0.15">
      <c r="A1302" t="s">
        <v>790</v>
      </c>
      <c r="B1302">
        <v>8</v>
      </c>
      <c r="C1302">
        <v>1.7407810000000001E-3</v>
      </c>
    </row>
    <row r="1303" spans="1:3" x14ac:dyDescent="0.15">
      <c r="A1303" t="s">
        <v>790</v>
      </c>
      <c r="B1303">
        <v>11.313700000000001</v>
      </c>
      <c r="C1303">
        <v>1.534795E-3</v>
      </c>
    </row>
    <row r="1304" spans="1:3" x14ac:dyDescent="0.15">
      <c r="A1304" t="s">
        <v>790</v>
      </c>
      <c r="B1304">
        <v>16</v>
      </c>
      <c r="C1304">
        <v>1.1434139999999999E-3</v>
      </c>
    </row>
    <row r="1305" spans="1:3" x14ac:dyDescent="0.15">
      <c r="A1305" t="s">
        <v>790</v>
      </c>
      <c r="B1305">
        <v>22.627400000000002</v>
      </c>
      <c r="C1305">
        <v>8.7849399999999995E-4</v>
      </c>
    </row>
    <row r="1306" spans="1:3" x14ac:dyDescent="0.15">
      <c r="A1306" t="s">
        <v>790</v>
      </c>
      <c r="B1306">
        <v>32</v>
      </c>
      <c r="C1306">
        <v>9.6994900000000001E-4</v>
      </c>
    </row>
    <row r="1307" spans="1:3" x14ac:dyDescent="0.15">
      <c r="A1307" t="s">
        <v>790</v>
      </c>
      <c r="B1307">
        <v>45.254800000000003</v>
      </c>
      <c r="C1307">
        <v>1.0324329999999999E-3</v>
      </c>
    </row>
    <row r="1308" spans="1:3" x14ac:dyDescent="0.15">
      <c r="A1308" t="s">
        <v>790</v>
      </c>
      <c r="B1308">
        <v>64</v>
      </c>
      <c r="C1308">
        <v>9.9781099999999992E-4</v>
      </c>
    </row>
    <row r="1309" spans="1:3" x14ac:dyDescent="0.15">
      <c r="A1309" t="s">
        <v>790</v>
      </c>
      <c r="B1309">
        <v>90.509699999999995</v>
      </c>
      <c r="C1309">
        <v>8.7040999999999996E-4</v>
      </c>
    </row>
    <row r="1310" spans="1:3" x14ac:dyDescent="0.15">
      <c r="A1310" t="s">
        <v>790</v>
      </c>
      <c r="B1310">
        <v>128</v>
      </c>
      <c r="C1310">
        <v>6.3004700000000001E-4</v>
      </c>
    </row>
    <row r="1311" spans="1:3" x14ac:dyDescent="0.15">
      <c r="A1311" t="s">
        <v>790</v>
      </c>
      <c r="B1311">
        <v>181.01929999999999</v>
      </c>
      <c r="C1311">
        <v>2.9700000000000001E-4</v>
      </c>
    </row>
    <row r="1312" spans="1:3" x14ac:dyDescent="0.15">
      <c r="A1312" t="s">
        <v>790</v>
      </c>
      <c r="B1312">
        <v>256</v>
      </c>
      <c r="C1312">
        <v>4.5457000000000002E-5</v>
      </c>
    </row>
    <row r="1313" spans="1:3" x14ac:dyDescent="0.15">
      <c r="A1313" t="s">
        <v>790</v>
      </c>
      <c r="B1313">
        <v>362.03870000000001</v>
      </c>
      <c r="C1313">
        <v>8.47E-7</v>
      </c>
    </row>
    <row r="1314" spans="1:3" x14ac:dyDescent="0.15">
      <c r="A1314" t="s">
        <v>790</v>
      </c>
      <c r="B1314">
        <v>512</v>
      </c>
      <c r="C1314">
        <v>0</v>
      </c>
    </row>
    <row r="1315" spans="1:3" x14ac:dyDescent="0.15">
      <c r="A1315" t="s">
        <v>790</v>
      </c>
      <c r="B1315">
        <v>724.07730000000004</v>
      </c>
      <c r="C1315">
        <v>0</v>
      </c>
    </row>
    <row r="1316" spans="1:3" x14ac:dyDescent="0.15">
      <c r="A1316" t="s">
        <v>791</v>
      </c>
      <c r="B1316">
        <v>2</v>
      </c>
      <c r="C1316">
        <v>9.6592399999999995E-4</v>
      </c>
    </row>
    <row r="1317" spans="1:3" x14ac:dyDescent="0.15">
      <c r="A1317" t="s">
        <v>791</v>
      </c>
      <c r="B1317">
        <v>2.8283999999999998</v>
      </c>
      <c r="C1317">
        <v>1.208548E-3</v>
      </c>
    </row>
    <row r="1318" spans="1:3" x14ac:dyDescent="0.15">
      <c r="A1318" t="s">
        <v>791</v>
      </c>
      <c r="B1318">
        <v>4</v>
      </c>
      <c r="C1318">
        <v>1.3504719999999999E-3</v>
      </c>
    </row>
    <row r="1319" spans="1:3" x14ac:dyDescent="0.15">
      <c r="A1319" t="s">
        <v>791</v>
      </c>
      <c r="B1319">
        <v>5.6569000000000003</v>
      </c>
      <c r="C1319">
        <v>1.34121E-3</v>
      </c>
    </row>
    <row r="1320" spans="1:3" x14ac:dyDescent="0.15">
      <c r="A1320" t="s">
        <v>791</v>
      </c>
      <c r="B1320">
        <v>8</v>
      </c>
      <c r="C1320">
        <v>1.3143510000000001E-3</v>
      </c>
    </row>
    <row r="1321" spans="1:3" x14ac:dyDescent="0.15">
      <c r="A1321" t="s">
        <v>791</v>
      </c>
      <c r="B1321">
        <v>11.313700000000001</v>
      </c>
      <c r="C1321">
        <v>1.2514819999999999E-3</v>
      </c>
    </row>
    <row r="1322" spans="1:3" x14ac:dyDescent="0.15">
      <c r="A1322" t="s">
        <v>791</v>
      </c>
      <c r="B1322">
        <v>16</v>
      </c>
      <c r="C1322">
        <v>9.9098599999999991E-4</v>
      </c>
    </row>
    <row r="1323" spans="1:3" x14ac:dyDescent="0.15">
      <c r="A1323" t="s">
        <v>791</v>
      </c>
      <c r="B1323">
        <v>22.627400000000002</v>
      </c>
      <c r="C1323">
        <v>6.7924499999999998E-4</v>
      </c>
    </row>
    <row r="1324" spans="1:3" x14ac:dyDescent="0.15">
      <c r="A1324" t="s">
        <v>791</v>
      </c>
      <c r="B1324">
        <v>32</v>
      </c>
      <c r="C1324">
        <v>5.2173599999999997E-4</v>
      </c>
    </row>
    <row r="1325" spans="1:3" x14ac:dyDescent="0.15">
      <c r="A1325" t="s">
        <v>791</v>
      </c>
      <c r="B1325">
        <v>45.254800000000003</v>
      </c>
      <c r="C1325">
        <v>6.4042000000000005E-4</v>
      </c>
    </row>
    <row r="1326" spans="1:3" x14ac:dyDescent="0.15">
      <c r="A1326" t="s">
        <v>791</v>
      </c>
      <c r="B1326">
        <v>64</v>
      </c>
      <c r="C1326">
        <v>8.5284200000000003E-4</v>
      </c>
    </row>
    <row r="1327" spans="1:3" x14ac:dyDescent="0.15">
      <c r="A1327" t="s">
        <v>791</v>
      </c>
      <c r="B1327">
        <v>90.509699999999995</v>
      </c>
      <c r="C1327">
        <v>9.9449200000000003E-4</v>
      </c>
    </row>
    <row r="1328" spans="1:3" x14ac:dyDescent="0.15">
      <c r="A1328" t="s">
        <v>791</v>
      </c>
      <c r="B1328">
        <v>128</v>
      </c>
      <c r="C1328">
        <v>8.9742900000000004E-4</v>
      </c>
    </row>
    <row r="1329" spans="1:3" x14ac:dyDescent="0.15">
      <c r="A1329" t="s">
        <v>791</v>
      </c>
      <c r="B1329">
        <v>181.01929999999999</v>
      </c>
      <c r="C1329">
        <v>4.4338100000000002E-4</v>
      </c>
    </row>
    <row r="1330" spans="1:3" x14ac:dyDescent="0.15">
      <c r="A1330" t="s">
        <v>791</v>
      </c>
      <c r="B1330">
        <v>256</v>
      </c>
      <c r="C1330">
        <v>6.7904999999999994E-5</v>
      </c>
    </row>
    <row r="1331" spans="1:3" x14ac:dyDescent="0.15">
      <c r="A1331" t="s">
        <v>791</v>
      </c>
      <c r="B1331">
        <v>362.03870000000001</v>
      </c>
      <c r="C1331">
        <v>1.266E-6</v>
      </c>
    </row>
    <row r="1332" spans="1:3" x14ac:dyDescent="0.15">
      <c r="A1332" t="s">
        <v>791</v>
      </c>
      <c r="B1332">
        <v>512</v>
      </c>
      <c r="C1332">
        <v>0</v>
      </c>
    </row>
    <row r="1333" spans="1:3" x14ac:dyDescent="0.15">
      <c r="A1333" t="s">
        <v>791</v>
      </c>
      <c r="B1333">
        <v>724.07730000000004</v>
      </c>
      <c r="C1333">
        <v>0</v>
      </c>
    </row>
    <row r="1334" spans="1:3" x14ac:dyDescent="0.15">
      <c r="A1334" t="s">
        <v>792</v>
      </c>
      <c r="B1334">
        <v>2</v>
      </c>
      <c r="C1334">
        <v>1.23748E-3</v>
      </c>
    </row>
    <row r="1335" spans="1:3" x14ac:dyDescent="0.15">
      <c r="A1335" t="s">
        <v>792</v>
      </c>
      <c r="B1335">
        <v>2.8283999999999998</v>
      </c>
      <c r="C1335">
        <v>1.55375E-3</v>
      </c>
    </row>
    <row r="1336" spans="1:3" x14ac:dyDescent="0.15">
      <c r="A1336" t="s">
        <v>792</v>
      </c>
      <c r="B1336">
        <v>4</v>
      </c>
      <c r="C1336">
        <v>1.709426E-3</v>
      </c>
    </row>
    <row r="1337" spans="1:3" x14ac:dyDescent="0.15">
      <c r="A1337" t="s">
        <v>792</v>
      </c>
      <c r="B1337">
        <v>5.6569000000000003</v>
      </c>
      <c r="C1337">
        <v>1.6773000000000001E-3</v>
      </c>
    </row>
    <row r="1338" spans="1:3" x14ac:dyDescent="0.15">
      <c r="A1338" t="s">
        <v>792</v>
      </c>
      <c r="B1338">
        <v>8</v>
      </c>
      <c r="C1338">
        <v>1.5839269999999999E-3</v>
      </c>
    </row>
    <row r="1339" spans="1:3" x14ac:dyDescent="0.15">
      <c r="A1339" t="s">
        <v>792</v>
      </c>
      <c r="B1339">
        <v>11.313700000000001</v>
      </c>
      <c r="C1339">
        <v>1.4629910000000001E-3</v>
      </c>
    </row>
    <row r="1340" spans="1:3" x14ac:dyDescent="0.15">
      <c r="A1340" t="s">
        <v>792</v>
      </c>
      <c r="B1340">
        <v>16</v>
      </c>
      <c r="C1340">
        <v>1.0959520000000001E-3</v>
      </c>
    </row>
    <row r="1341" spans="1:3" x14ac:dyDescent="0.15">
      <c r="A1341" t="s">
        <v>792</v>
      </c>
      <c r="B1341">
        <v>22.627400000000002</v>
      </c>
      <c r="C1341">
        <v>7.7328399999999995E-4</v>
      </c>
    </row>
    <row r="1342" spans="1:3" x14ac:dyDescent="0.15">
      <c r="A1342" t="s">
        <v>792</v>
      </c>
      <c r="B1342">
        <v>32</v>
      </c>
      <c r="C1342">
        <v>7.85868E-4</v>
      </c>
    </row>
    <row r="1343" spans="1:3" x14ac:dyDescent="0.15">
      <c r="A1343" t="s">
        <v>792</v>
      </c>
      <c r="B1343">
        <v>45.254800000000003</v>
      </c>
      <c r="C1343">
        <v>8.7235299999999997E-4</v>
      </c>
    </row>
    <row r="1344" spans="1:3" x14ac:dyDescent="0.15">
      <c r="A1344" t="s">
        <v>792</v>
      </c>
      <c r="B1344">
        <v>64</v>
      </c>
      <c r="C1344">
        <v>9.771160000000001E-4</v>
      </c>
    </row>
    <row r="1345" spans="1:3" x14ac:dyDescent="0.15">
      <c r="A1345" t="s">
        <v>792</v>
      </c>
      <c r="B1345">
        <v>90.509699999999995</v>
      </c>
      <c r="C1345">
        <v>8.63148E-4</v>
      </c>
    </row>
    <row r="1346" spans="1:3" x14ac:dyDescent="0.15">
      <c r="A1346" t="s">
        <v>792</v>
      </c>
      <c r="B1346">
        <v>128</v>
      </c>
      <c r="C1346">
        <v>5.9074300000000002E-4</v>
      </c>
    </row>
    <row r="1347" spans="1:3" x14ac:dyDescent="0.15">
      <c r="A1347" t="s">
        <v>792</v>
      </c>
      <c r="B1347">
        <v>181.01929999999999</v>
      </c>
      <c r="C1347">
        <v>2.7348299999999998E-4</v>
      </c>
    </row>
    <row r="1348" spans="1:3" x14ac:dyDescent="0.15">
      <c r="A1348" t="s">
        <v>792</v>
      </c>
      <c r="B1348">
        <v>256</v>
      </c>
      <c r="C1348">
        <v>4.1822E-5</v>
      </c>
    </row>
    <row r="1349" spans="1:3" x14ac:dyDescent="0.15">
      <c r="A1349" t="s">
        <v>792</v>
      </c>
      <c r="B1349">
        <v>362.03870000000001</v>
      </c>
      <c r="C1349">
        <v>7.8000000000000005E-7</v>
      </c>
    </row>
    <row r="1350" spans="1:3" x14ac:dyDescent="0.15">
      <c r="A1350" t="s">
        <v>792</v>
      </c>
      <c r="B1350">
        <v>512</v>
      </c>
      <c r="C1350">
        <v>0</v>
      </c>
    </row>
    <row r="1351" spans="1:3" x14ac:dyDescent="0.15">
      <c r="A1351" t="s">
        <v>792</v>
      </c>
      <c r="B1351">
        <v>724.07730000000004</v>
      </c>
      <c r="C1351">
        <v>0</v>
      </c>
    </row>
    <row r="1352" spans="1:3" x14ac:dyDescent="0.15">
      <c r="A1352" t="s">
        <v>793</v>
      </c>
      <c r="B1352">
        <v>2</v>
      </c>
      <c r="C1352">
        <v>1.252583E-3</v>
      </c>
    </row>
    <row r="1353" spans="1:3" x14ac:dyDescent="0.15">
      <c r="A1353" t="s">
        <v>793</v>
      </c>
      <c r="B1353">
        <v>2.8283999999999998</v>
      </c>
      <c r="C1353">
        <v>1.4615139999999999E-3</v>
      </c>
    </row>
    <row r="1354" spans="1:3" x14ac:dyDescent="0.15">
      <c r="A1354" t="s">
        <v>793</v>
      </c>
      <c r="B1354">
        <v>4</v>
      </c>
      <c r="C1354">
        <v>1.5141569999999999E-3</v>
      </c>
    </row>
    <row r="1355" spans="1:3" x14ac:dyDescent="0.15">
      <c r="A1355" t="s">
        <v>793</v>
      </c>
      <c r="B1355">
        <v>5.6569000000000003</v>
      </c>
      <c r="C1355">
        <v>1.439715E-3</v>
      </c>
    </row>
    <row r="1356" spans="1:3" x14ac:dyDescent="0.15">
      <c r="A1356" t="s">
        <v>793</v>
      </c>
      <c r="B1356">
        <v>8</v>
      </c>
      <c r="C1356">
        <v>1.412794E-3</v>
      </c>
    </row>
    <row r="1357" spans="1:3" x14ac:dyDescent="0.15">
      <c r="A1357" t="s">
        <v>793</v>
      </c>
      <c r="B1357">
        <v>11.313700000000001</v>
      </c>
      <c r="C1357">
        <v>1.4485780000000001E-3</v>
      </c>
    </row>
    <row r="1358" spans="1:3" x14ac:dyDescent="0.15">
      <c r="A1358" t="s">
        <v>793</v>
      </c>
      <c r="B1358">
        <v>16</v>
      </c>
      <c r="C1358">
        <v>1.4044929999999999E-3</v>
      </c>
    </row>
    <row r="1359" spans="1:3" x14ac:dyDescent="0.15">
      <c r="A1359" t="s">
        <v>793</v>
      </c>
      <c r="B1359">
        <v>22.627400000000002</v>
      </c>
      <c r="C1359">
        <v>1.144361E-3</v>
      </c>
    </row>
    <row r="1360" spans="1:3" x14ac:dyDescent="0.15">
      <c r="A1360" t="s">
        <v>793</v>
      </c>
      <c r="B1360">
        <v>32</v>
      </c>
      <c r="C1360">
        <v>8.6315299999999997E-4</v>
      </c>
    </row>
    <row r="1361" spans="1:3" x14ac:dyDescent="0.15">
      <c r="A1361" t="s">
        <v>793</v>
      </c>
      <c r="B1361">
        <v>45.254800000000003</v>
      </c>
      <c r="C1361">
        <v>7.9365800000000004E-4</v>
      </c>
    </row>
    <row r="1362" spans="1:3" x14ac:dyDescent="0.15">
      <c r="A1362" t="s">
        <v>793</v>
      </c>
      <c r="B1362">
        <v>64</v>
      </c>
      <c r="C1362">
        <v>6.2129199999999996E-4</v>
      </c>
    </row>
    <row r="1363" spans="1:3" x14ac:dyDescent="0.15">
      <c r="A1363" t="s">
        <v>793</v>
      </c>
      <c r="B1363">
        <v>90.509699999999995</v>
      </c>
      <c r="C1363">
        <v>4.3923500000000001E-4</v>
      </c>
    </row>
    <row r="1364" spans="1:3" x14ac:dyDescent="0.15">
      <c r="A1364" t="s">
        <v>793</v>
      </c>
      <c r="B1364">
        <v>128</v>
      </c>
      <c r="C1364">
        <v>3.2671600000000001E-4</v>
      </c>
    </row>
    <row r="1365" spans="1:3" x14ac:dyDescent="0.15">
      <c r="A1365" t="s">
        <v>793</v>
      </c>
      <c r="B1365">
        <v>181.01929999999999</v>
      </c>
      <c r="C1365">
        <v>1.58832E-4</v>
      </c>
    </row>
    <row r="1366" spans="1:3" x14ac:dyDescent="0.15">
      <c r="A1366" t="s">
        <v>793</v>
      </c>
      <c r="B1366">
        <v>256</v>
      </c>
      <c r="C1366">
        <v>2.4431999999999999E-5</v>
      </c>
    </row>
    <row r="1367" spans="1:3" x14ac:dyDescent="0.15">
      <c r="A1367" t="s">
        <v>793</v>
      </c>
      <c r="B1367">
        <v>362.03870000000001</v>
      </c>
      <c r="C1367">
        <v>4.5600000000000001E-7</v>
      </c>
    </row>
    <row r="1368" spans="1:3" x14ac:dyDescent="0.15">
      <c r="A1368" t="s">
        <v>793</v>
      </c>
      <c r="B1368">
        <v>512</v>
      </c>
      <c r="C1368">
        <v>0</v>
      </c>
    </row>
    <row r="1369" spans="1:3" x14ac:dyDescent="0.15">
      <c r="A1369" t="s">
        <v>793</v>
      </c>
      <c r="B1369">
        <v>724.07730000000004</v>
      </c>
      <c r="C1369">
        <v>0</v>
      </c>
    </row>
    <row r="1370" spans="1:3" x14ac:dyDescent="0.15">
      <c r="A1370" t="s">
        <v>794</v>
      </c>
      <c r="B1370">
        <v>2</v>
      </c>
      <c r="C1370">
        <v>6.4984600000000004E-4</v>
      </c>
    </row>
    <row r="1371" spans="1:3" x14ac:dyDescent="0.15">
      <c r="A1371" t="s">
        <v>794</v>
      </c>
      <c r="B1371">
        <v>2.8283999999999998</v>
      </c>
      <c r="C1371">
        <v>7.9961400000000003E-4</v>
      </c>
    </row>
    <row r="1372" spans="1:3" x14ac:dyDescent="0.15">
      <c r="A1372" t="s">
        <v>794</v>
      </c>
      <c r="B1372">
        <v>4</v>
      </c>
      <c r="C1372">
        <v>8.9613599999999996E-4</v>
      </c>
    </row>
    <row r="1373" spans="1:3" x14ac:dyDescent="0.15">
      <c r="A1373" t="s">
        <v>794</v>
      </c>
      <c r="B1373">
        <v>5.6569000000000003</v>
      </c>
      <c r="C1373">
        <v>9.2439599999999996E-4</v>
      </c>
    </row>
    <row r="1374" spans="1:3" x14ac:dyDescent="0.15">
      <c r="A1374" t="s">
        <v>794</v>
      </c>
      <c r="B1374">
        <v>8</v>
      </c>
      <c r="C1374">
        <v>9.8815100000000005E-4</v>
      </c>
    </row>
    <row r="1375" spans="1:3" x14ac:dyDescent="0.15">
      <c r="A1375" t="s">
        <v>794</v>
      </c>
      <c r="B1375">
        <v>11.313700000000001</v>
      </c>
      <c r="C1375">
        <v>9.4934900000000005E-4</v>
      </c>
    </row>
    <row r="1376" spans="1:3" x14ac:dyDescent="0.15">
      <c r="A1376" t="s">
        <v>794</v>
      </c>
      <c r="B1376">
        <v>16</v>
      </c>
      <c r="C1376">
        <v>7.0432100000000005E-4</v>
      </c>
    </row>
    <row r="1377" spans="1:3" x14ac:dyDescent="0.15">
      <c r="A1377" t="s">
        <v>794</v>
      </c>
      <c r="B1377">
        <v>22.627400000000002</v>
      </c>
      <c r="C1377">
        <v>5.7971900000000002E-4</v>
      </c>
    </row>
    <row r="1378" spans="1:3" x14ac:dyDescent="0.15">
      <c r="A1378" t="s">
        <v>794</v>
      </c>
      <c r="B1378">
        <v>32</v>
      </c>
      <c r="C1378">
        <v>7.0547800000000005E-4</v>
      </c>
    </row>
    <row r="1379" spans="1:3" x14ac:dyDescent="0.15">
      <c r="A1379" t="s">
        <v>794</v>
      </c>
      <c r="B1379">
        <v>45.254800000000003</v>
      </c>
      <c r="C1379">
        <v>9.3095999999999999E-4</v>
      </c>
    </row>
    <row r="1380" spans="1:3" x14ac:dyDescent="0.15">
      <c r="A1380" t="s">
        <v>794</v>
      </c>
      <c r="B1380">
        <v>64</v>
      </c>
      <c r="C1380">
        <v>9.0668200000000002E-4</v>
      </c>
    </row>
    <row r="1381" spans="1:3" x14ac:dyDescent="0.15">
      <c r="A1381" t="s">
        <v>794</v>
      </c>
      <c r="B1381">
        <v>90.509699999999995</v>
      </c>
      <c r="C1381">
        <v>5.3467300000000005E-4</v>
      </c>
    </row>
    <row r="1382" spans="1:3" x14ac:dyDescent="0.15">
      <c r="A1382" t="s">
        <v>794</v>
      </c>
      <c r="B1382">
        <v>128</v>
      </c>
      <c r="C1382">
        <v>3.3124599999999999E-4</v>
      </c>
    </row>
    <row r="1383" spans="1:3" x14ac:dyDescent="0.15">
      <c r="A1383" t="s">
        <v>794</v>
      </c>
      <c r="B1383">
        <v>181.01929999999999</v>
      </c>
      <c r="C1383">
        <v>1.66145E-4</v>
      </c>
    </row>
    <row r="1384" spans="1:3" x14ac:dyDescent="0.15">
      <c r="A1384" t="s">
        <v>794</v>
      </c>
      <c r="B1384">
        <v>256</v>
      </c>
      <c r="C1384">
        <v>2.5505000000000001E-5</v>
      </c>
    </row>
    <row r="1385" spans="1:3" x14ac:dyDescent="0.15">
      <c r="A1385" t="s">
        <v>794</v>
      </c>
      <c r="B1385">
        <v>362.03870000000001</v>
      </c>
      <c r="C1385">
        <v>4.7599999999999997E-7</v>
      </c>
    </row>
    <row r="1386" spans="1:3" x14ac:dyDescent="0.15">
      <c r="A1386" t="s">
        <v>794</v>
      </c>
      <c r="B1386">
        <v>512</v>
      </c>
      <c r="C1386">
        <v>0</v>
      </c>
    </row>
    <row r="1387" spans="1:3" x14ac:dyDescent="0.15">
      <c r="A1387" t="s">
        <v>794</v>
      </c>
      <c r="B1387">
        <v>724.07730000000004</v>
      </c>
      <c r="C1387">
        <v>0</v>
      </c>
    </row>
    <row r="1388" spans="1:3" x14ac:dyDescent="0.15">
      <c r="A1388" t="s">
        <v>795</v>
      </c>
      <c r="B1388">
        <v>2</v>
      </c>
      <c r="C1388">
        <v>1.423257E-3</v>
      </c>
    </row>
    <row r="1389" spans="1:3" x14ac:dyDescent="0.15">
      <c r="A1389" t="s">
        <v>795</v>
      </c>
      <c r="B1389">
        <v>2.8283999999999998</v>
      </c>
      <c r="C1389">
        <v>1.7629500000000001E-3</v>
      </c>
    </row>
    <row r="1390" spans="1:3" x14ac:dyDescent="0.15">
      <c r="A1390" t="s">
        <v>795</v>
      </c>
      <c r="B1390">
        <v>4</v>
      </c>
      <c r="C1390">
        <v>1.9090940000000001E-3</v>
      </c>
    </row>
    <row r="1391" spans="1:3" x14ac:dyDescent="0.15">
      <c r="A1391" t="s">
        <v>795</v>
      </c>
      <c r="B1391">
        <v>5.6569000000000003</v>
      </c>
      <c r="C1391">
        <v>1.762851E-3</v>
      </c>
    </row>
    <row r="1392" spans="1:3" x14ac:dyDescent="0.15">
      <c r="A1392" t="s">
        <v>795</v>
      </c>
      <c r="B1392">
        <v>8</v>
      </c>
      <c r="C1392">
        <v>1.522338E-3</v>
      </c>
    </row>
    <row r="1393" spans="1:3" x14ac:dyDescent="0.15">
      <c r="A1393" t="s">
        <v>795</v>
      </c>
      <c r="B1393">
        <v>11.313700000000001</v>
      </c>
      <c r="C1393">
        <v>1.3772019999999999E-3</v>
      </c>
    </row>
    <row r="1394" spans="1:3" x14ac:dyDescent="0.15">
      <c r="A1394" t="s">
        <v>795</v>
      </c>
      <c r="B1394">
        <v>16</v>
      </c>
      <c r="C1394">
        <v>1.269142E-3</v>
      </c>
    </row>
    <row r="1395" spans="1:3" x14ac:dyDescent="0.15">
      <c r="A1395" t="s">
        <v>795</v>
      </c>
      <c r="B1395">
        <v>22.627400000000002</v>
      </c>
      <c r="C1395">
        <v>1.023026E-3</v>
      </c>
    </row>
    <row r="1396" spans="1:3" x14ac:dyDescent="0.15">
      <c r="A1396" t="s">
        <v>795</v>
      </c>
      <c r="B1396">
        <v>32</v>
      </c>
      <c r="C1396">
        <v>8.5536100000000001E-4</v>
      </c>
    </row>
    <row r="1397" spans="1:3" x14ac:dyDescent="0.15">
      <c r="A1397" t="s">
        <v>795</v>
      </c>
      <c r="B1397">
        <v>45.254800000000003</v>
      </c>
      <c r="C1397">
        <v>8.6359999999999996E-4</v>
      </c>
    </row>
    <row r="1398" spans="1:3" x14ac:dyDescent="0.15">
      <c r="A1398" t="s">
        <v>795</v>
      </c>
      <c r="B1398">
        <v>64</v>
      </c>
      <c r="C1398">
        <v>7.5600500000000002E-4</v>
      </c>
    </row>
    <row r="1399" spans="1:3" x14ac:dyDescent="0.15">
      <c r="A1399" t="s">
        <v>795</v>
      </c>
      <c r="B1399">
        <v>90.509699999999995</v>
      </c>
      <c r="C1399">
        <v>3.7122000000000001E-4</v>
      </c>
    </row>
    <row r="1400" spans="1:3" x14ac:dyDescent="0.15">
      <c r="A1400" t="s">
        <v>795</v>
      </c>
      <c r="B1400">
        <v>128</v>
      </c>
      <c r="C1400">
        <v>5.6783000000000002E-5</v>
      </c>
    </row>
    <row r="1401" spans="1:3" x14ac:dyDescent="0.15">
      <c r="A1401" t="s">
        <v>795</v>
      </c>
      <c r="B1401">
        <v>181.01929999999999</v>
      </c>
      <c r="C1401">
        <v>1.0589999999999999E-6</v>
      </c>
    </row>
    <row r="1402" spans="1:3" x14ac:dyDescent="0.15">
      <c r="A1402" t="s">
        <v>795</v>
      </c>
      <c r="B1402">
        <v>256</v>
      </c>
      <c r="C1402">
        <v>0</v>
      </c>
    </row>
    <row r="1403" spans="1:3" x14ac:dyDescent="0.15">
      <c r="A1403" t="s">
        <v>795</v>
      </c>
      <c r="B1403">
        <v>362.03870000000001</v>
      </c>
      <c r="C1403">
        <v>0</v>
      </c>
    </row>
    <row r="1404" spans="1:3" x14ac:dyDescent="0.15">
      <c r="A1404" t="s">
        <v>795</v>
      </c>
      <c r="B1404">
        <v>512</v>
      </c>
      <c r="C1404">
        <v>0</v>
      </c>
    </row>
    <row r="1405" spans="1:3" x14ac:dyDescent="0.15">
      <c r="A1405" t="s">
        <v>795</v>
      </c>
      <c r="B1405">
        <v>724.07730000000004</v>
      </c>
      <c r="C1405">
        <v>0</v>
      </c>
    </row>
    <row r="1406" spans="1:3" x14ac:dyDescent="0.15">
      <c r="A1406" t="s">
        <v>796</v>
      </c>
      <c r="B1406">
        <v>2</v>
      </c>
      <c r="C1406">
        <v>5.8251799999999997E-4</v>
      </c>
    </row>
    <row r="1407" spans="1:3" x14ac:dyDescent="0.15">
      <c r="A1407" t="s">
        <v>796</v>
      </c>
      <c r="B1407">
        <v>2.8283999999999998</v>
      </c>
      <c r="C1407">
        <v>7.65692E-4</v>
      </c>
    </row>
    <row r="1408" spans="1:3" x14ac:dyDescent="0.15">
      <c r="A1408" t="s">
        <v>796</v>
      </c>
      <c r="B1408">
        <v>4</v>
      </c>
      <c r="C1408">
        <v>9.6484200000000004E-4</v>
      </c>
    </row>
    <row r="1409" spans="1:3" x14ac:dyDescent="0.15">
      <c r="A1409" t="s">
        <v>796</v>
      </c>
      <c r="B1409">
        <v>5.6569000000000003</v>
      </c>
      <c r="C1409">
        <v>1.1735510000000001E-3</v>
      </c>
    </row>
    <row r="1410" spans="1:3" x14ac:dyDescent="0.15">
      <c r="A1410" t="s">
        <v>796</v>
      </c>
      <c r="B1410">
        <v>8</v>
      </c>
      <c r="C1410">
        <v>1.2788700000000001E-3</v>
      </c>
    </row>
    <row r="1411" spans="1:3" x14ac:dyDescent="0.15">
      <c r="A1411" t="s">
        <v>796</v>
      </c>
      <c r="B1411">
        <v>11.313700000000001</v>
      </c>
      <c r="C1411">
        <v>1.2099190000000001E-3</v>
      </c>
    </row>
    <row r="1412" spans="1:3" x14ac:dyDescent="0.15">
      <c r="A1412" t="s">
        <v>796</v>
      </c>
      <c r="B1412">
        <v>16</v>
      </c>
      <c r="C1412">
        <v>1.221581E-3</v>
      </c>
    </row>
    <row r="1413" spans="1:3" x14ac:dyDescent="0.15">
      <c r="A1413" t="s">
        <v>796</v>
      </c>
      <c r="B1413">
        <v>22.627400000000002</v>
      </c>
      <c r="C1413">
        <v>1.1789400000000001E-3</v>
      </c>
    </row>
    <row r="1414" spans="1:3" x14ac:dyDescent="0.15">
      <c r="A1414" t="s">
        <v>796</v>
      </c>
      <c r="B1414">
        <v>32</v>
      </c>
      <c r="C1414">
        <v>8.1149100000000001E-4</v>
      </c>
    </row>
    <row r="1415" spans="1:3" x14ac:dyDescent="0.15">
      <c r="A1415" t="s">
        <v>796</v>
      </c>
      <c r="B1415">
        <v>45.254800000000003</v>
      </c>
      <c r="C1415">
        <v>5.7609499999999999E-4</v>
      </c>
    </row>
    <row r="1416" spans="1:3" x14ac:dyDescent="0.15">
      <c r="A1416" t="s">
        <v>796</v>
      </c>
      <c r="B1416">
        <v>64</v>
      </c>
      <c r="C1416">
        <v>6.4084299999999999E-4</v>
      </c>
    </row>
    <row r="1417" spans="1:3" x14ac:dyDescent="0.15">
      <c r="A1417" t="s">
        <v>796</v>
      </c>
      <c r="B1417">
        <v>90.509699999999995</v>
      </c>
      <c r="C1417">
        <v>6.1224200000000004E-4</v>
      </c>
    </row>
    <row r="1418" spans="1:3" x14ac:dyDescent="0.15">
      <c r="A1418" t="s">
        <v>796</v>
      </c>
      <c r="B1418">
        <v>128</v>
      </c>
      <c r="C1418">
        <v>4.6828100000000002E-4</v>
      </c>
    </row>
    <row r="1419" spans="1:3" x14ac:dyDescent="0.15">
      <c r="A1419" t="s">
        <v>796</v>
      </c>
      <c r="B1419">
        <v>181.01929999999999</v>
      </c>
      <c r="C1419">
        <v>2.24346E-4</v>
      </c>
    </row>
    <row r="1420" spans="1:3" x14ac:dyDescent="0.15">
      <c r="A1420" t="s">
        <v>796</v>
      </c>
      <c r="B1420">
        <v>256</v>
      </c>
      <c r="C1420">
        <v>3.4405E-5</v>
      </c>
    </row>
    <row r="1421" spans="1:3" x14ac:dyDescent="0.15">
      <c r="A1421" t="s">
        <v>796</v>
      </c>
      <c r="B1421">
        <v>362.03870000000001</v>
      </c>
      <c r="C1421">
        <v>6.4199999999999995E-7</v>
      </c>
    </row>
    <row r="1422" spans="1:3" x14ac:dyDescent="0.15">
      <c r="A1422" t="s">
        <v>796</v>
      </c>
      <c r="B1422">
        <v>512</v>
      </c>
      <c r="C1422">
        <v>0</v>
      </c>
    </row>
    <row r="1423" spans="1:3" x14ac:dyDescent="0.15">
      <c r="A1423" t="s">
        <v>796</v>
      </c>
      <c r="B1423">
        <v>724.07730000000004</v>
      </c>
      <c r="C1423">
        <v>0</v>
      </c>
    </row>
    <row r="1424" spans="1:3" x14ac:dyDescent="0.15">
      <c r="A1424" t="s">
        <v>797</v>
      </c>
      <c r="B1424">
        <v>2</v>
      </c>
      <c r="C1424">
        <v>1.118761E-3</v>
      </c>
    </row>
    <row r="1425" spans="1:3" x14ac:dyDescent="0.15">
      <c r="A1425" t="s">
        <v>797</v>
      </c>
      <c r="B1425">
        <v>2.8283999999999998</v>
      </c>
      <c r="C1425">
        <v>1.402274E-3</v>
      </c>
    </row>
    <row r="1426" spans="1:3" x14ac:dyDescent="0.15">
      <c r="A1426" t="s">
        <v>797</v>
      </c>
      <c r="B1426">
        <v>4</v>
      </c>
      <c r="C1426">
        <v>1.6741480000000001E-3</v>
      </c>
    </row>
    <row r="1427" spans="1:3" x14ac:dyDescent="0.15">
      <c r="A1427" t="s">
        <v>797</v>
      </c>
      <c r="B1427">
        <v>5.6569000000000003</v>
      </c>
      <c r="C1427">
        <v>1.8083509999999999E-3</v>
      </c>
    </row>
    <row r="1428" spans="1:3" x14ac:dyDescent="0.15">
      <c r="A1428" t="s">
        <v>797</v>
      </c>
      <c r="B1428">
        <v>8</v>
      </c>
      <c r="C1428">
        <v>1.8800830000000001E-3</v>
      </c>
    </row>
    <row r="1429" spans="1:3" x14ac:dyDescent="0.15">
      <c r="A1429" t="s">
        <v>797</v>
      </c>
      <c r="B1429">
        <v>11.313700000000001</v>
      </c>
      <c r="C1429">
        <v>1.8789099999999999E-3</v>
      </c>
    </row>
    <row r="1430" spans="1:3" x14ac:dyDescent="0.15">
      <c r="A1430" t="s">
        <v>797</v>
      </c>
      <c r="B1430">
        <v>16</v>
      </c>
      <c r="C1430">
        <v>1.7745149999999999E-3</v>
      </c>
    </row>
    <row r="1431" spans="1:3" x14ac:dyDescent="0.15">
      <c r="A1431" t="s">
        <v>797</v>
      </c>
      <c r="B1431">
        <v>22.627400000000002</v>
      </c>
      <c r="C1431">
        <v>1.4899030000000001E-3</v>
      </c>
    </row>
    <row r="1432" spans="1:3" x14ac:dyDescent="0.15">
      <c r="A1432" t="s">
        <v>797</v>
      </c>
      <c r="B1432">
        <v>32</v>
      </c>
      <c r="C1432">
        <v>1.1411150000000001E-3</v>
      </c>
    </row>
    <row r="1433" spans="1:3" x14ac:dyDescent="0.15">
      <c r="A1433" t="s">
        <v>797</v>
      </c>
      <c r="B1433">
        <v>45.254800000000003</v>
      </c>
      <c r="C1433">
        <v>8.9895000000000003E-4</v>
      </c>
    </row>
    <row r="1434" spans="1:3" x14ac:dyDescent="0.15">
      <c r="A1434" t="s">
        <v>797</v>
      </c>
      <c r="B1434">
        <v>64</v>
      </c>
      <c r="C1434">
        <v>5.3487999999999995E-4</v>
      </c>
    </row>
    <row r="1435" spans="1:3" x14ac:dyDescent="0.15">
      <c r="A1435" t="s">
        <v>797</v>
      </c>
      <c r="B1435">
        <v>90.509699999999995</v>
      </c>
      <c r="C1435">
        <v>2.9976699999999999E-4</v>
      </c>
    </row>
    <row r="1436" spans="1:3" x14ac:dyDescent="0.15">
      <c r="A1436" t="s">
        <v>797</v>
      </c>
      <c r="B1436">
        <v>128</v>
      </c>
      <c r="C1436">
        <v>1.7589E-4</v>
      </c>
    </row>
    <row r="1437" spans="1:3" x14ac:dyDescent="0.15">
      <c r="A1437" t="s">
        <v>797</v>
      </c>
      <c r="B1437">
        <v>181.01929999999999</v>
      </c>
      <c r="C1437">
        <v>7.8370999999999999E-5</v>
      </c>
    </row>
    <row r="1438" spans="1:3" x14ac:dyDescent="0.15">
      <c r="A1438" t="s">
        <v>797</v>
      </c>
      <c r="B1438">
        <v>256</v>
      </c>
      <c r="C1438">
        <v>1.1956E-5</v>
      </c>
    </row>
    <row r="1439" spans="1:3" x14ac:dyDescent="0.15">
      <c r="A1439" t="s">
        <v>797</v>
      </c>
      <c r="B1439">
        <v>362.03870000000001</v>
      </c>
      <c r="C1439">
        <v>2.23E-7</v>
      </c>
    </row>
    <row r="1440" spans="1:3" x14ac:dyDescent="0.15">
      <c r="A1440" t="s">
        <v>797</v>
      </c>
      <c r="B1440">
        <v>512</v>
      </c>
      <c r="C1440">
        <v>0</v>
      </c>
    </row>
    <row r="1441" spans="1:3" x14ac:dyDescent="0.15">
      <c r="A1441" t="s">
        <v>797</v>
      </c>
      <c r="B1441">
        <v>724.07730000000004</v>
      </c>
      <c r="C1441">
        <v>0</v>
      </c>
    </row>
    <row r="1442" spans="1:3" x14ac:dyDescent="0.15">
      <c r="A1442" t="s">
        <v>798</v>
      </c>
      <c r="B1442">
        <v>2</v>
      </c>
      <c r="C1442">
        <v>1.2559159999999999E-3</v>
      </c>
    </row>
    <row r="1443" spans="1:3" x14ac:dyDescent="0.15">
      <c r="A1443" t="s">
        <v>798</v>
      </c>
      <c r="B1443">
        <v>2.8283999999999998</v>
      </c>
      <c r="C1443">
        <v>1.5995250000000001E-3</v>
      </c>
    </row>
    <row r="1444" spans="1:3" x14ac:dyDescent="0.15">
      <c r="A1444" t="s">
        <v>798</v>
      </c>
      <c r="B1444">
        <v>4</v>
      </c>
      <c r="C1444">
        <v>1.864119E-3</v>
      </c>
    </row>
    <row r="1445" spans="1:3" x14ac:dyDescent="0.15">
      <c r="A1445" t="s">
        <v>798</v>
      </c>
      <c r="B1445">
        <v>5.6569000000000003</v>
      </c>
      <c r="C1445">
        <v>1.9321430000000001E-3</v>
      </c>
    </row>
    <row r="1446" spans="1:3" x14ac:dyDescent="0.15">
      <c r="A1446" t="s">
        <v>798</v>
      </c>
      <c r="B1446">
        <v>8</v>
      </c>
      <c r="C1446">
        <v>1.897679E-3</v>
      </c>
    </row>
    <row r="1447" spans="1:3" x14ac:dyDescent="0.15">
      <c r="A1447" t="s">
        <v>798</v>
      </c>
      <c r="B1447">
        <v>11.313700000000001</v>
      </c>
      <c r="C1447">
        <v>1.842631E-3</v>
      </c>
    </row>
    <row r="1448" spans="1:3" x14ac:dyDescent="0.15">
      <c r="A1448" t="s">
        <v>798</v>
      </c>
      <c r="B1448">
        <v>16</v>
      </c>
      <c r="C1448">
        <v>1.764545E-3</v>
      </c>
    </row>
    <row r="1449" spans="1:3" x14ac:dyDescent="0.15">
      <c r="A1449" t="s">
        <v>798</v>
      </c>
      <c r="B1449">
        <v>22.627400000000002</v>
      </c>
      <c r="C1449">
        <v>1.5869510000000001E-3</v>
      </c>
    </row>
    <row r="1450" spans="1:3" x14ac:dyDescent="0.15">
      <c r="A1450" t="s">
        <v>798</v>
      </c>
      <c r="B1450">
        <v>32</v>
      </c>
      <c r="C1450">
        <v>1.1560800000000001E-3</v>
      </c>
    </row>
    <row r="1451" spans="1:3" x14ac:dyDescent="0.15">
      <c r="A1451" t="s">
        <v>798</v>
      </c>
      <c r="B1451">
        <v>45.254800000000003</v>
      </c>
      <c r="C1451">
        <v>6.6619699999999999E-4</v>
      </c>
    </row>
    <row r="1452" spans="1:3" x14ac:dyDescent="0.15">
      <c r="A1452" t="s">
        <v>798</v>
      </c>
      <c r="B1452">
        <v>64</v>
      </c>
      <c r="C1452">
        <v>4.0118700000000001E-4</v>
      </c>
    </row>
    <row r="1453" spans="1:3" x14ac:dyDescent="0.15">
      <c r="A1453" t="s">
        <v>798</v>
      </c>
      <c r="B1453">
        <v>90.509699999999995</v>
      </c>
      <c r="C1453">
        <v>1.9226399999999999E-4</v>
      </c>
    </row>
    <row r="1454" spans="1:3" x14ac:dyDescent="0.15">
      <c r="A1454" t="s">
        <v>798</v>
      </c>
      <c r="B1454">
        <v>128</v>
      </c>
      <c r="C1454">
        <v>2.9859999999999999E-5</v>
      </c>
    </row>
    <row r="1455" spans="1:3" x14ac:dyDescent="0.15">
      <c r="A1455" t="s">
        <v>798</v>
      </c>
      <c r="B1455">
        <v>181.01929999999999</v>
      </c>
      <c r="C1455">
        <v>5.5799999999999999E-7</v>
      </c>
    </row>
    <row r="1456" spans="1:3" x14ac:dyDescent="0.15">
      <c r="A1456" t="s">
        <v>798</v>
      </c>
      <c r="B1456">
        <v>256</v>
      </c>
      <c r="C1456">
        <v>0</v>
      </c>
    </row>
    <row r="1457" spans="1:3" x14ac:dyDescent="0.15">
      <c r="A1457" t="s">
        <v>798</v>
      </c>
      <c r="B1457">
        <v>362.03870000000001</v>
      </c>
      <c r="C1457">
        <v>0</v>
      </c>
    </row>
    <row r="1458" spans="1:3" x14ac:dyDescent="0.15">
      <c r="A1458" t="s">
        <v>798</v>
      </c>
      <c r="B1458">
        <v>512</v>
      </c>
      <c r="C1458">
        <v>0</v>
      </c>
    </row>
    <row r="1459" spans="1:3" x14ac:dyDescent="0.15">
      <c r="A1459" t="s">
        <v>798</v>
      </c>
      <c r="B1459">
        <v>724.07730000000004</v>
      </c>
      <c r="C1459">
        <v>0</v>
      </c>
    </row>
    <row r="1460" spans="1:3" x14ac:dyDescent="0.15">
      <c r="A1460" t="s">
        <v>799</v>
      </c>
      <c r="B1460">
        <v>2</v>
      </c>
      <c r="C1460">
        <v>6.4300700000000002E-4</v>
      </c>
    </row>
    <row r="1461" spans="1:3" x14ac:dyDescent="0.15">
      <c r="A1461" t="s">
        <v>799</v>
      </c>
      <c r="B1461">
        <v>2.8283999999999998</v>
      </c>
      <c r="C1461">
        <v>8.00893E-4</v>
      </c>
    </row>
    <row r="1462" spans="1:3" x14ac:dyDescent="0.15">
      <c r="A1462" t="s">
        <v>799</v>
      </c>
      <c r="B1462">
        <v>4</v>
      </c>
      <c r="C1462">
        <v>9.7600699999999998E-4</v>
      </c>
    </row>
    <row r="1463" spans="1:3" x14ac:dyDescent="0.15">
      <c r="A1463" t="s">
        <v>799</v>
      </c>
      <c r="B1463">
        <v>5.6569000000000003</v>
      </c>
      <c r="C1463">
        <v>1.0588609999999999E-3</v>
      </c>
    </row>
    <row r="1464" spans="1:3" x14ac:dyDescent="0.15">
      <c r="A1464" t="s">
        <v>799</v>
      </c>
      <c r="B1464">
        <v>8</v>
      </c>
      <c r="C1464">
        <v>1.012223E-3</v>
      </c>
    </row>
    <row r="1465" spans="1:3" x14ac:dyDescent="0.15">
      <c r="A1465" t="s">
        <v>799</v>
      </c>
      <c r="B1465">
        <v>11.313700000000001</v>
      </c>
      <c r="C1465">
        <v>8.5275800000000001E-4</v>
      </c>
    </row>
    <row r="1466" spans="1:3" x14ac:dyDescent="0.15">
      <c r="A1466" t="s">
        <v>799</v>
      </c>
      <c r="B1466">
        <v>16</v>
      </c>
      <c r="C1466">
        <v>6.1975599999999995E-4</v>
      </c>
    </row>
    <row r="1467" spans="1:3" x14ac:dyDescent="0.15">
      <c r="A1467" t="s">
        <v>799</v>
      </c>
      <c r="B1467">
        <v>22.627400000000002</v>
      </c>
      <c r="C1467">
        <v>4.05256E-4</v>
      </c>
    </row>
    <row r="1468" spans="1:3" x14ac:dyDescent="0.15">
      <c r="A1468" t="s">
        <v>799</v>
      </c>
      <c r="B1468">
        <v>32</v>
      </c>
      <c r="C1468">
        <v>2.64422E-4</v>
      </c>
    </row>
    <row r="1469" spans="1:3" x14ac:dyDescent="0.15">
      <c r="A1469" t="s">
        <v>799</v>
      </c>
      <c r="B1469">
        <v>45.254800000000003</v>
      </c>
      <c r="C1469">
        <v>2.08848E-4</v>
      </c>
    </row>
    <row r="1470" spans="1:3" x14ac:dyDescent="0.15">
      <c r="A1470" t="s">
        <v>799</v>
      </c>
      <c r="B1470">
        <v>64</v>
      </c>
      <c r="C1470">
        <v>2.5840800000000001E-4</v>
      </c>
    </row>
    <row r="1471" spans="1:3" x14ac:dyDescent="0.15">
      <c r="A1471" t="s">
        <v>799</v>
      </c>
      <c r="B1471">
        <v>90.509699999999995</v>
      </c>
      <c r="C1471">
        <v>3.2573500000000001E-4</v>
      </c>
    </row>
    <row r="1472" spans="1:3" x14ac:dyDescent="0.15">
      <c r="A1472" t="s">
        <v>799</v>
      </c>
      <c r="B1472">
        <v>128</v>
      </c>
      <c r="C1472">
        <v>3.1916900000000001E-4</v>
      </c>
    </row>
    <row r="1473" spans="1:3" x14ac:dyDescent="0.15">
      <c r="A1473" t="s">
        <v>799</v>
      </c>
      <c r="B1473">
        <v>181.01929999999999</v>
      </c>
      <c r="C1473">
        <v>1.6143799999999999E-4</v>
      </c>
    </row>
    <row r="1474" spans="1:3" x14ac:dyDescent="0.15">
      <c r="A1474" t="s">
        <v>799</v>
      </c>
      <c r="B1474">
        <v>256</v>
      </c>
      <c r="C1474">
        <v>2.4810000000000001E-5</v>
      </c>
    </row>
    <row r="1475" spans="1:3" x14ac:dyDescent="0.15">
      <c r="A1475" t="s">
        <v>799</v>
      </c>
      <c r="B1475">
        <v>362.03870000000001</v>
      </c>
      <c r="C1475">
        <v>4.63E-7</v>
      </c>
    </row>
    <row r="1476" spans="1:3" x14ac:dyDescent="0.15">
      <c r="A1476" t="s">
        <v>799</v>
      </c>
      <c r="B1476">
        <v>512</v>
      </c>
      <c r="C1476">
        <v>0</v>
      </c>
    </row>
    <row r="1477" spans="1:3" x14ac:dyDescent="0.15">
      <c r="A1477" t="s">
        <v>799</v>
      </c>
      <c r="B1477">
        <v>724.07730000000004</v>
      </c>
      <c r="C1477">
        <v>0</v>
      </c>
    </row>
    <row r="1478" spans="1:3" x14ac:dyDescent="0.15">
      <c r="A1478" t="s">
        <v>800</v>
      </c>
      <c r="B1478">
        <v>2</v>
      </c>
      <c r="C1478">
        <v>1.886485E-3</v>
      </c>
    </row>
    <row r="1479" spans="1:3" x14ac:dyDescent="0.15">
      <c r="A1479" t="s">
        <v>800</v>
      </c>
      <c r="B1479">
        <v>2.8283999999999998</v>
      </c>
      <c r="C1479">
        <v>2.2812269999999998E-3</v>
      </c>
    </row>
    <row r="1480" spans="1:3" x14ac:dyDescent="0.15">
      <c r="A1480" t="s">
        <v>800</v>
      </c>
      <c r="B1480">
        <v>4</v>
      </c>
      <c r="C1480">
        <v>2.3931289999999999E-3</v>
      </c>
    </row>
    <row r="1481" spans="1:3" x14ac:dyDescent="0.15">
      <c r="A1481" t="s">
        <v>800</v>
      </c>
      <c r="B1481">
        <v>5.6569000000000003</v>
      </c>
      <c r="C1481">
        <v>2.2256659999999998E-3</v>
      </c>
    </row>
    <row r="1482" spans="1:3" x14ac:dyDescent="0.15">
      <c r="A1482" t="s">
        <v>800</v>
      </c>
      <c r="B1482">
        <v>8</v>
      </c>
      <c r="C1482">
        <v>1.965456E-3</v>
      </c>
    </row>
    <row r="1483" spans="1:3" x14ac:dyDescent="0.15">
      <c r="A1483" t="s">
        <v>800</v>
      </c>
      <c r="B1483">
        <v>11.313700000000001</v>
      </c>
      <c r="C1483">
        <v>1.650929E-3</v>
      </c>
    </row>
    <row r="1484" spans="1:3" x14ac:dyDescent="0.15">
      <c r="A1484" t="s">
        <v>800</v>
      </c>
      <c r="B1484">
        <v>16</v>
      </c>
      <c r="C1484">
        <v>1.387571E-3</v>
      </c>
    </row>
    <row r="1485" spans="1:3" x14ac:dyDescent="0.15">
      <c r="A1485" t="s">
        <v>800</v>
      </c>
      <c r="B1485">
        <v>22.627400000000002</v>
      </c>
      <c r="C1485">
        <v>1.145994E-3</v>
      </c>
    </row>
    <row r="1486" spans="1:3" x14ac:dyDescent="0.15">
      <c r="A1486" t="s">
        <v>800</v>
      </c>
      <c r="B1486">
        <v>32</v>
      </c>
      <c r="C1486">
        <v>1.0014100000000001E-3</v>
      </c>
    </row>
    <row r="1487" spans="1:3" x14ac:dyDescent="0.15">
      <c r="A1487" t="s">
        <v>800</v>
      </c>
      <c r="B1487">
        <v>45.254800000000003</v>
      </c>
      <c r="C1487">
        <v>9.5381899999999996E-4</v>
      </c>
    </row>
    <row r="1488" spans="1:3" x14ac:dyDescent="0.15">
      <c r="A1488" t="s">
        <v>800</v>
      </c>
      <c r="B1488">
        <v>64</v>
      </c>
      <c r="C1488">
        <v>8.3751400000000003E-4</v>
      </c>
    </row>
    <row r="1489" spans="1:3" x14ac:dyDescent="0.15">
      <c r="A1489" t="s">
        <v>800</v>
      </c>
      <c r="B1489">
        <v>90.509699999999995</v>
      </c>
      <c r="C1489">
        <v>6.8264300000000003E-4</v>
      </c>
    </row>
    <row r="1490" spans="1:3" x14ac:dyDescent="0.15">
      <c r="A1490" t="s">
        <v>800</v>
      </c>
      <c r="B1490">
        <v>128</v>
      </c>
      <c r="C1490">
        <v>4.5828600000000002E-4</v>
      </c>
    </row>
    <row r="1491" spans="1:3" x14ac:dyDescent="0.15">
      <c r="A1491" t="s">
        <v>800</v>
      </c>
      <c r="B1491">
        <v>181.01929999999999</v>
      </c>
      <c r="C1491">
        <v>2.11385E-4</v>
      </c>
    </row>
    <row r="1492" spans="1:3" x14ac:dyDescent="0.15">
      <c r="A1492" t="s">
        <v>800</v>
      </c>
      <c r="B1492">
        <v>256</v>
      </c>
      <c r="C1492">
        <v>3.2335999999999997E-5</v>
      </c>
    </row>
    <row r="1493" spans="1:3" x14ac:dyDescent="0.15">
      <c r="A1493" t="s">
        <v>800</v>
      </c>
      <c r="B1493">
        <v>362.03870000000001</v>
      </c>
      <c r="C1493">
        <v>6.0299999999999999E-7</v>
      </c>
    </row>
    <row r="1494" spans="1:3" x14ac:dyDescent="0.15">
      <c r="A1494" t="s">
        <v>800</v>
      </c>
      <c r="B1494">
        <v>512</v>
      </c>
      <c r="C1494">
        <v>0</v>
      </c>
    </row>
    <row r="1495" spans="1:3" x14ac:dyDescent="0.15">
      <c r="A1495" t="s">
        <v>800</v>
      </c>
      <c r="B1495">
        <v>724.07730000000004</v>
      </c>
      <c r="C1495">
        <v>0</v>
      </c>
    </row>
    <row r="1496" spans="1:3" x14ac:dyDescent="0.15">
      <c r="A1496" t="s">
        <v>801</v>
      </c>
      <c r="B1496">
        <v>2</v>
      </c>
      <c r="C1496">
        <v>1.018026E-3</v>
      </c>
    </row>
    <row r="1497" spans="1:3" x14ac:dyDescent="0.15">
      <c r="A1497" t="s">
        <v>801</v>
      </c>
      <c r="B1497">
        <v>2.8283999999999998</v>
      </c>
      <c r="C1497">
        <v>1.2264279999999999E-3</v>
      </c>
    </row>
    <row r="1498" spans="1:3" x14ac:dyDescent="0.15">
      <c r="A1498" t="s">
        <v>801</v>
      </c>
      <c r="B1498">
        <v>4</v>
      </c>
      <c r="C1498">
        <v>1.36169E-3</v>
      </c>
    </row>
    <row r="1499" spans="1:3" x14ac:dyDescent="0.15">
      <c r="A1499" t="s">
        <v>801</v>
      </c>
      <c r="B1499">
        <v>5.6569000000000003</v>
      </c>
      <c r="C1499">
        <v>1.313874E-3</v>
      </c>
    </row>
    <row r="1500" spans="1:3" x14ac:dyDescent="0.15">
      <c r="A1500" t="s">
        <v>801</v>
      </c>
      <c r="B1500">
        <v>8</v>
      </c>
      <c r="C1500">
        <v>1.184388E-3</v>
      </c>
    </row>
    <row r="1501" spans="1:3" x14ac:dyDescent="0.15">
      <c r="A1501" t="s">
        <v>801</v>
      </c>
      <c r="B1501">
        <v>11.313700000000001</v>
      </c>
      <c r="C1501">
        <v>1.109402E-3</v>
      </c>
    </row>
    <row r="1502" spans="1:3" x14ac:dyDescent="0.15">
      <c r="A1502" t="s">
        <v>801</v>
      </c>
      <c r="B1502">
        <v>16</v>
      </c>
      <c r="C1502">
        <v>1.0910920000000001E-3</v>
      </c>
    </row>
    <row r="1503" spans="1:3" x14ac:dyDescent="0.15">
      <c r="A1503" t="s">
        <v>801</v>
      </c>
      <c r="B1503">
        <v>22.627400000000002</v>
      </c>
      <c r="C1503">
        <v>1.0709739999999999E-3</v>
      </c>
    </row>
    <row r="1504" spans="1:3" x14ac:dyDescent="0.15">
      <c r="A1504" t="s">
        <v>801</v>
      </c>
      <c r="B1504">
        <v>32</v>
      </c>
      <c r="C1504">
        <v>9.2444200000000004E-4</v>
      </c>
    </row>
    <row r="1505" spans="1:3" x14ac:dyDescent="0.15">
      <c r="A1505" t="s">
        <v>801</v>
      </c>
      <c r="B1505">
        <v>45.254800000000003</v>
      </c>
      <c r="C1505">
        <v>4.7077300000000001E-4</v>
      </c>
    </row>
    <row r="1506" spans="1:3" x14ac:dyDescent="0.15">
      <c r="A1506" t="s">
        <v>801</v>
      </c>
      <c r="B1506">
        <v>64</v>
      </c>
      <c r="C1506">
        <v>9.0135000000000004E-5</v>
      </c>
    </row>
    <row r="1507" spans="1:3" x14ac:dyDescent="0.15">
      <c r="A1507" t="s">
        <v>801</v>
      </c>
      <c r="B1507">
        <v>90.509699999999995</v>
      </c>
      <c r="C1507">
        <v>1.2458E-5</v>
      </c>
    </row>
    <row r="1508" spans="1:3" x14ac:dyDescent="0.15">
      <c r="A1508" t="s">
        <v>801</v>
      </c>
      <c r="B1508">
        <v>128</v>
      </c>
      <c r="C1508">
        <v>1.615E-6</v>
      </c>
    </row>
    <row r="1509" spans="1:3" x14ac:dyDescent="0.15">
      <c r="A1509" t="s">
        <v>801</v>
      </c>
      <c r="B1509">
        <v>181.01929999999999</v>
      </c>
      <c r="C1509">
        <v>2.9999999999999997E-8</v>
      </c>
    </row>
    <row r="1510" spans="1:3" x14ac:dyDescent="0.15">
      <c r="A1510" t="s">
        <v>801</v>
      </c>
      <c r="B1510">
        <v>256</v>
      </c>
      <c r="C1510">
        <v>0</v>
      </c>
    </row>
    <row r="1511" spans="1:3" x14ac:dyDescent="0.15">
      <c r="A1511" t="s">
        <v>801</v>
      </c>
      <c r="B1511">
        <v>362.03870000000001</v>
      </c>
      <c r="C1511">
        <v>0</v>
      </c>
    </row>
    <row r="1512" spans="1:3" x14ac:dyDescent="0.15">
      <c r="A1512" t="s">
        <v>801</v>
      </c>
      <c r="B1512">
        <v>512</v>
      </c>
      <c r="C1512">
        <v>0</v>
      </c>
    </row>
    <row r="1513" spans="1:3" x14ac:dyDescent="0.15">
      <c r="A1513" t="s">
        <v>801</v>
      </c>
      <c r="B1513">
        <v>724.07730000000004</v>
      </c>
      <c r="C1513">
        <v>0</v>
      </c>
    </row>
    <row r="1514" spans="1:3" x14ac:dyDescent="0.15">
      <c r="A1514" t="s">
        <v>802</v>
      </c>
      <c r="B1514">
        <v>2</v>
      </c>
      <c r="C1514">
        <v>7.7406000000000003E-4</v>
      </c>
    </row>
    <row r="1515" spans="1:3" x14ac:dyDescent="0.15">
      <c r="A1515" t="s">
        <v>802</v>
      </c>
      <c r="B1515">
        <v>2.8283999999999998</v>
      </c>
      <c r="C1515">
        <v>9.1378499999999997E-4</v>
      </c>
    </row>
    <row r="1516" spans="1:3" x14ac:dyDescent="0.15">
      <c r="A1516" t="s">
        <v>802</v>
      </c>
      <c r="B1516">
        <v>4</v>
      </c>
      <c r="C1516">
        <v>1.017682E-3</v>
      </c>
    </row>
    <row r="1517" spans="1:3" x14ac:dyDescent="0.15">
      <c r="A1517" t="s">
        <v>802</v>
      </c>
      <c r="B1517">
        <v>5.6569000000000003</v>
      </c>
      <c r="C1517">
        <v>1.091786E-3</v>
      </c>
    </row>
    <row r="1518" spans="1:3" x14ac:dyDescent="0.15">
      <c r="A1518" t="s">
        <v>802</v>
      </c>
      <c r="B1518">
        <v>8</v>
      </c>
      <c r="C1518">
        <v>1.1565659999999999E-3</v>
      </c>
    </row>
    <row r="1519" spans="1:3" x14ac:dyDescent="0.15">
      <c r="A1519" t="s">
        <v>802</v>
      </c>
      <c r="B1519">
        <v>11.313700000000001</v>
      </c>
      <c r="C1519">
        <v>1.121623E-3</v>
      </c>
    </row>
    <row r="1520" spans="1:3" x14ac:dyDescent="0.15">
      <c r="A1520" t="s">
        <v>802</v>
      </c>
      <c r="B1520">
        <v>16</v>
      </c>
      <c r="C1520">
        <v>9.6684899999999999E-4</v>
      </c>
    </row>
    <row r="1521" spans="1:3" x14ac:dyDescent="0.15">
      <c r="A1521" t="s">
        <v>802</v>
      </c>
      <c r="B1521">
        <v>22.627400000000002</v>
      </c>
      <c r="C1521">
        <v>7.4020100000000001E-4</v>
      </c>
    </row>
    <row r="1522" spans="1:3" x14ac:dyDescent="0.15">
      <c r="A1522" t="s">
        <v>802</v>
      </c>
      <c r="B1522">
        <v>32</v>
      </c>
      <c r="C1522">
        <v>5.02251E-4</v>
      </c>
    </row>
    <row r="1523" spans="1:3" x14ac:dyDescent="0.15">
      <c r="A1523" t="s">
        <v>802</v>
      </c>
      <c r="B1523">
        <v>45.254800000000003</v>
      </c>
      <c r="C1523">
        <v>3.40405E-4</v>
      </c>
    </row>
    <row r="1524" spans="1:3" x14ac:dyDescent="0.15">
      <c r="A1524" t="s">
        <v>802</v>
      </c>
      <c r="B1524">
        <v>64</v>
      </c>
      <c r="C1524">
        <v>1.97968E-4</v>
      </c>
    </row>
    <row r="1525" spans="1:3" x14ac:dyDescent="0.15">
      <c r="A1525" t="s">
        <v>802</v>
      </c>
      <c r="B1525">
        <v>90.509699999999995</v>
      </c>
      <c r="C1525">
        <v>1.18176E-4</v>
      </c>
    </row>
    <row r="1526" spans="1:3" x14ac:dyDescent="0.15">
      <c r="A1526" t="s">
        <v>802</v>
      </c>
      <c r="B1526">
        <v>128</v>
      </c>
      <c r="C1526">
        <v>7.1451000000000004E-5</v>
      </c>
    </row>
    <row r="1527" spans="1:3" x14ac:dyDescent="0.15">
      <c r="A1527" t="s">
        <v>802</v>
      </c>
      <c r="B1527">
        <v>181.01929999999999</v>
      </c>
      <c r="C1527">
        <v>3.2212000000000003E-5</v>
      </c>
    </row>
    <row r="1528" spans="1:3" x14ac:dyDescent="0.15">
      <c r="A1528" t="s">
        <v>802</v>
      </c>
      <c r="B1528">
        <v>256</v>
      </c>
      <c r="C1528">
        <v>4.9320000000000004E-6</v>
      </c>
    </row>
    <row r="1529" spans="1:3" x14ac:dyDescent="0.15">
      <c r="A1529" t="s">
        <v>802</v>
      </c>
      <c r="B1529">
        <v>362.03870000000001</v>
      </c>
      <c r="C1529">
        <v>9.2000000000000003E-8</v>
      </c>
    </row>
    <row r="1530" spans="1:3" x14ac:dyDescent="0.15">
      <c r="A1530" t="s">
        <v>802</v>
      </c>
      <c r="B1530">
        <v>512</v>
      </c>
      <c r="C1530">
        <v>0</v>
      </c>
    </row>
    <row r="1531" spans="1:3" x14ac:dyDescent="0.15">
      <c r="A1531" t="s">
        <v>802</v>
      </c>
      <c r="B1531">
        <v>724.07730000000004</v>
      </c>
      <c r="C1531">
        <v>0</v>
      </c>
    </row>
    <row r="1532" spans="1:3" x14ac:dyDescent="0.15">
      <c r="A1532" t="s">
        <v>803</v>
      </c>
      <c r="B1532">
        <v>2</v>
      </c>
      <c r="C1532">
        <v>8.2536800000000004E-4</v>
      </c>
    </row>
    <row r="1533" spans="1:3" x14ac:dyDescent="0.15">
      <c r="A1533" t="s">
        <v>803</v>
      </c>
      <c r="B1533">
        <v>2.8283999999999998</v>
      </c>
      <c r="C1533">
        <v>1.025691E-3</v>
      </c>
    </row>
    <row r="1534" spans="1:3" x14ac:dyDescent="0.15">
      <c r="A1534" t="s">
        <v>803</v>
      </c>
      <c r="B1534">
        <v>4</v>
      </c>
      <c r="C1534">
        <v>1.193368E-3</v>
      </c>
    </row>
    <row r="1535" spans="1:3" x14ac:dyDescent="0.15">
      <c r="A1535" t="s">
        <v>803</v>
      </c>
      <c r="B1535">
        <v>5.6569000000000003</v>
      </c>
      <c r="C1535">
        <v>1.407934E-3</v>
      </c>
    </row>
    <row r="1536" spans="1:3" x14ac:dyDescent="0.15">
      <c r="A1536" t="s">
        <v>803</v>
      </c>
      <c r="B1536">
        <v>8</v>
      </c>
      <c r="C1536">
        <v>1.583873E-3</v>
      </c>
    </row>
    <row r="1537" spans="1:3" x14ac:dyDescent="0.15">
      <c r="A1537" t="s">
        <v>803</v>
      </c>
      <c r="B1537">
        <v>11.313700000000001</v>
      </c>
      <c r="C1537">
        <v>1.44607E-3</v>
      </c>
    </row>
    <row r="1538" spans="1:3" x14ac:dyDescent="0.15">
      <c r="A1538" t="s">
        <v>803</v>
      </c>
      <c r="B1538">
        <v>16</v>
      </c>
      <c r="C1538">
        <v>1.2155309999999999E-3</v>
      </c>
    </row>
    <row r="1539" spans="1:3" x14ac:dyDescent="0.15">
      <c r="A1539" t="s">
        <v>803</v>
      </c>
      <c r="B1539">
        <v>22.627400000000002</v>
      </c>
      <c r="C1539">
        <v>1.1763380000000001E-3</v>
      </c>
    </row>
    <row r="1540" spans="1:3" x14ac:dyDescent="0.15">
      <c r="A1540" t="s">
        <v>803</v>
      </c>
      <c r="B1540">
        <v>32</v>
      </c>
      <c r="C1540">
        <v>1.101788E-3</v>
      </c>
    </row>
    <row r="1541" spans="1:3" x14ac:dyDescent="0.15">
      <c r="A1541" t="s">
        <v>803</v>
      </c>
      <c r="B1541">
        <v>45.254800000000003</v>
      </c>
      <c r="C1541">
        <v>9.4557199999999999E-4</v>
      </c>
    </row>
    <row r="1542" spans="1:3" x14ac:dyDescent="0.15">
      <c r="A1542" t="s">
        <v>803</v>
      </c>
      <c r="B1542">
        <v>64</v>
      </c>
      <c r="C1542">
        <v>5.2349799999999995E-4</v>
      </c>
    </row>
    <row r="1543" spans="1:3" x14ac:dyDescent="0.15">
      <c r="A1543" t="s">
        <v>803</v>
      </c>
      <c r="B1543">
        <v>90.509699999999995</v>
      </c>
      <c r="C1543">
        <v>1.24695E-4</v>
      </c>
    </row>
    <row r="1544" spans="1:3" x14ac:dyDescent="0.15">
      <c r="A1544" t="s">
        <v>803</v>
      </c>
      <c r="B1544">
        <v>128</v>
      </c>
      <c r="C1544">
        <v>6.5154000000000007E-5</v>
      </c>
    </row>
    <row r="1545" spans="1:3" x14ac:dyDescent="0.15">
      <c r="A1545" t="s">
        <v>803</v>
      </c>
      <c r="B1545">
        <v>181.01929999999999</v>
      </c>
      <c r="C1545">
        <v>4.0419E-5</v>
      </c>
    </row>
    <row r="1546" spans="1:3" x14ac:dyDescent="0.15">
      <c r="A1546" t="s">
        <v>803</v>
      </c>
      <c r="B1546">
        <v>256</v>
      </c>
      <c r="C1546">
        <v>6.2550000000000003E-6</v>
      </c>
    </row>
    <row r="1547" spans="1:3" x14ac:dyDescent="0.15">
      <c r="A1547" t="s">
        <v>803</v>
      </c>
      <c r="B1547">
        <v>362.03870000000001</v>
      </c>
      <c r="C1547">
        <v>1.1600000000000001E-7</v>
      </c>
    </row>
    <row r="1548" spans="1:3" x14ac:dyDescent="0.15">
      <c r="A1548" t="s">
        <v>803</v>
      </c>
      <c r="B1548">
        <v>512</v>
      </c>
      <c r="C1548">
        <v>0</v>
      </c>
    </row>
    <row r="1549" spans="1:3" x14ac:dyDescent="0.15">
      <c r="A1549" t="s">
        <v>803</v>
      </c>
      <c r="B1549">
        <v>724.07730000000004</v>
      </c>
      <c r="C1549">
        <v>0</v>
      </c>
    </row>
    <row r="1550" spans="1:3" x14ac:dyDescent="0.15">
      <c r="A1550" t="s">
        <v>804</v>
      </c>
      <c r="B1550">
        <v>2</v>
      </c>
      <c r="C1550">
        <v>7.7236199999999996E-4</v>
      </c>
    </row>
    <row r="1551" spans="1:3" x14ac:dyDescent="0.15">
      <c r="A1551" t="s">
        <v>804</v>
      </c>
      <c r="B1551">
        <v>2.8283999999999998</v>
      </c>
      <c r="C1551">
        <v>9.1290100000000003E-4</v>
      </c>
    </row>
    <row r="1552" spans="1:3" x14ac:dyDescent="0.15">
      <c r="A1552" t="s">
        <v>804</v>
      </c>
      <c r="B1552">
        <v>4</v>
      </c>
      <c r="C1552">
        <v>1.1227089999999999E-3</v>
      </c>
    </row>
    <row r="1553" spans="1:3" x14ac:dyDescent="0.15">
      <c r="A1553" t="s">
        <v>804</v>
      </c>
      <c r="B1553">
        <v>5.6569000000000003</v>
      </c>
      <c r="C1553">
        <v>1.289346E-3</v>
      </c>
    </row>
    <row r="1554" spans="1:3" x14ac:dyDescent="0.15">
      <c r="A1554" t="s">
        <v>804</v>
      </c>
      <c r="B1554">
        <v>8</v>
      </c>
      <c r="C1554">
        <v>1.3263649999999999E-3</v>
      </c>
    </row>
    <row r="1555" spans="1:3" x14ac:dyDescent="0.15">
      <c r="A1555" t="s">
        <v>804</v>
      </c>
      <c r="B1555">
        <v>11.313700000000001</v>
      </c>
      <c r="C1555">
        <v>1.1999669999999999E-3</v>
      </c>
    </row>
    <row r="1556" spans="1:3" x14ac:dyDescent="0.15">
      <c r="A1556" t="s">
        <v>804</v>
      </c>
      <c r="B1556">
        <v>16</v>
      </c>
      <c r="C1556">
        <v>9.6687400000000005E-4</v>
      </c>
    </row>
    <row r="1557" spans="1:3" x14ac:dyDescent="0.15">
      <c r="A1557" t="s">
        <v>804</v>
      </c>
      <c r="B1557">
        <v>22.627400000000002</v>
      </c>
      <c r="C1557">
        <v>7.1405299999999998E-4</v>
      </c>
    </row>
    <row r="1558" spans="1:3" x14ac:dyDescent="0.15">
      <c r="A1558" t="s">
        <v>804</v>
      </c>
      <c r="B1558">
        <v>32</v>
      </c>
      <c r="C1558">
        <v>4.3309199999999999E-4</v>
      </c>
    </row>
    <row r="1559" spans="1:3" x14ac:dyDescent="0.15">
      <c r="A1559" t="s">
        <v>804</v>
      </c>
      <c r="B1559">
        <v>45.254800000000003</v>
      </c>
      <c r="C1559">
        <v>2.2112499999999999E-4</v>
      </c>
    </row>
    <row r="1560" spans="1:3" x14ac:dyDescent="0.15">
      <c r="A1560" t="s">
        <v>804</v>
      </c>
      <c r="B1560">
        <v>64</v>
      </c>
      <c r="C1560">
        <v>1.79626E-4</v>
      </c>
    </row>
    <row r="1561" spans="1:3" x14ac:dyDescent="0.15">
      <c r="A1561" t="s">
        <v>804</v>
      </c>
      <c r="B1561">
        <v>90.509699999999995</v>
      </c>
      <c r="C1561">
        <v>1.5902599999999999E-4</v>
      </c>
    </row>
    <row r="1562" spans="1:3" x14ac:dyDescent="0.15">
      <c r="A1562" t="s">
        <v>804</v>
      </c>
      <c r="B1562">
        <v>128</v>
      </c>
      <c r="C1562">
        <v>1.1766500000000001E-4</v>
      </c>
    </row>
    <row r="1563" spans="1:3" x14ac:dyDescent="0.15">
      <c r="A1563" t="s">
        <v>804</v>
      </c>
      <c r="B1563">
        <v>181.01929999999999</v>
      </c>
      <c r="C1563">
        <v>5.6509999999999999E-5</v>
      </c>
    </row>
    <row r="1564" spans="1:3" x14ac:dyDescent="0.15">
      <c r="A1564" t="s">
        <v>804</v>
      </c>
      <c r="B1564">
        <v>256</v>
      </c>
      <c r="C1564">
        <v>8.6959999999999994E-6</v>
      </c>
    </row>
    <row r="1565" spans="1:3" x14ac:dyDescent="0.15">
      <c r="A1565" t="s">
        <v>804</v>
      </c>
      <c r="B1565">
        <v>362.03870000000001</v>
      </c>
      <c r="C1565">
        <v>1.6199999999999999E-7</v>
      </c>
    </row>
    <row r="1566" spans="1:3" x14ac:dyDescent="0.15">
      <c r="A1566" t="s">
        <v>804</v>
      </c>
      <c r="B1566">
        <v>512</v>
      </c>
      <c r="C1566">
        <v>0</v>
      </c>
    </row>
    <row r="1567" spans="1:3" x14ac:dyDescent="0.15">
      <c r="A1567" t="s">
        <v>804</v>
      </c>
      <c r="B1567">
        <v>724.07730000000004</v>
      </c>
      <c r="C1567">
        <v>0</v>
      </c>
    </row>
    <row r="1568" spans="1:3" x14ac:dyDescent="0.15">
      <c r="A1568" t="s">
        <v>805</v>
      </c>
      <c r="B1568">
        <v>2</v>
      </c>
      <c r="C1568">
        <v>1.472255E-3</v>
      </c>
    </row>
    <row r="1569" spans="1:3" x14ac:dyDescent="0.15">
      <c r="A1569" t="s">
        <v>805</v>
      </c>
      <c r="B1569">
        <v>2.8283999999999998</v>
      </c>
      <c r="C1569">
        <v>1.78605E-3</v>
      </c>
    </row>
    <row r="1570" spans="1:3" x14ac:dyDescent="0.15">
      <c r="A1570" t="s">
        <v>805</v>
      </c>
      <c r="B1570">
        <v>4</v>
      </c>
      <c r="C1570">
        <v>1.9646249999999998E-3</v>
      </c>
    </row>
    <row r="1571" spans="1:3" x14ac:dyDescent="0.15">
      <c r="A1571" t="s">
        <v>805</v>
      </c>
      <c r="B1571">
        <v>5.6569000000000003</v>
      </c>
      <c r="C1571">
        <v>1.879868E-3</v>
      </c>
    </row>
    <row r="1572" spans="1:3" x14ac:dyDescent="0.15">
      <c r="A1572" t="s">
        <v>805</v>
      </c>
      <c r="B1572">
        <v>8</v>
      </c>
      <c r="C1572">
        <v>1.8011850000000001E-3</v>
      </c>
    </row>
    <row r="1573" spans="1:3" x14ac:dyDescent="0.15">
      <c r="A1573" t="s">
        <v>805</v>
      </c>
      <c r="B1573">
        <v>11.313700000000001</v>
      </c>
      <c r="C1573">
        <v>1.8823589999999999E-3</v>
      </c>
    </row>
    <row r="1574" spans="1:3" x14ac:dyDescent="0.15">
      <c r="A1574" t="s">
        <v>805</v>
      </c>
      <c r="B1574">
        <v>16</v>
      </c>
      <c r="C1574">
        <v>1.9237970000000001E-3</v>
      </c>
    </row>
    <row r="1575" spans="1:3" x14ac:dyDescent="0.15">
      <c r="A1575" t="s">
        <v>805</v>
      </c>
      <c r="B1575">
        <v>22.627400000000002</v>
      </c>
      <c r="C1575">
        <v>1.723203E-3</v>
      </c>
    </row>
    <row r="1576" spans="1:3" x14ac:dyDescent="0.15">
      <c r="A1576" t="s">
        <v>805</v>
      </c>
      <c r="B1576">
        <v>32</v>
      </c>
      <c r="C1576">
        <v>1.2906599999999999E-3</v>
      </c>
    </row>
    <row r="1577" spans="1:3" x14ac:dyDescent="0.15">
      <c r="A1577" t="s">
        <v>805</v>
      </c>
      <c r="B1577">
        <v>45.254800000000003</v>
      </c>
      <c r="C1577">
        <v>9.8587099999999993E-4</v>
      </c>
    </row>
    <row r="1578" spans="1:3" x14ac:dyDescent="0.15">
      <c r="A1578" t="s">
        <v>805</v>
      </c>
      <c r="B1578">
        <v>64</v>
      </c>
      <c r="C1578">
        <v>7.18317E-4</v>
      </c>
    </row>
    <row r="1579" spans="1:3" x14ac:dyDescent="0.15">
      <c r="A1579" t="s">
        <v>805</v>
      </c>
      <c r="B1579">
        <v>90.509699999999995</v>
      </c>
      <c r="C1579">
        <v>5.0083199999999999E-4</v>
      </c>
    </row>
    <row r="1580" spans="1:3" x14ac:dyDescent="0.15">
      <c r="A1580" t="s">
        <v>805</v>
      </c>
      <c r="B1580">
        <v>128</v>
      </c>
      <c r="C1580">
        <v>3.6093799999999999E-4</v>
      </c>
    </row>
    <row r="1581" spans="1:3" x14ac:dyDescent="0.15">
      <c r="A1581" t="s">
        <v>805</v>
      </c>
      <c r="B1581">
        <v>181.01929999999999</v>
      </c>
      <c r="C1581">
        <v>1.7374799999999999E-4</v>
      </c>
    </row>
    <row r="1582" spans="1:3" x14ac:dyDescent="0.15">
      <c r="A1582" t="s">
        <v>805</v>
      </c>
      <c r="B1582">
        <v>256</v>
      </c>
      <c r="C1582">
        <v>2.6727999999999999E-5</v>
      </c>
    </row>
    <row r="1583" spans="1:3" x14ac:dyDescent="0.15">
      <c r="A1583" t="s">
        <v>805</v>
      </c>
      <c r="B1583">
        <v>362.03870000000001</v>
      </c>
      <c r="C1583">
        <v>4.9900000000000001E-7</v>
      </c>
    </row>
    <row r="1584" spans="1:3" x14ac:dyDescent="0.15">
      <c r="A1584" t="s">
        <v>805</v>
      </c>
      <c r="B1584">
        <v>512</v>
      </c>
      <c r="C1584">
        <v>0</v>
      </c>
    </row>
    <row r="1585" spans="1:3" x14ac:dyDescent="0.15">
      <c r="A1585" t="s">
        <v>805</v>
      </c>
      <c r="B1585">
        <v>724.07730000000004</v>
      </c>
      <c r="C1585">
        <v>0</v>
      </c>
    </row>
    <row r="1586" spans="1:3" x14ac:dyDescent="0.15">
      <c r="A1586" t="s">
        <v>806</v>
      </c>
      <c r="B1586">
        <v>2</v>
      </c>
      <c r="C1586">
        <v>9.66072E-4</v>
      </c>
    </row>
    <row r="1587" spans="1:3" x14ac:dyDescent="0.15">
      <c r="A1587" t="s">
        <v>806</v>
      </c>
      <c r="B1587">
        <v>2.8283999999999998</v>
      </c>
      <c r="C1587">
        <v>1.1544369999999999E-3</v>
      </c>
    </row>
    <row r="1588" spans="1:3" x14ac:dyDescent="0.15">
      <c r="A1588" t="s">
        <v>806</v>
      </c>
      <c r="B1588">
        <v>4</v>
      </c>
      <c r="C1588">
        <v>1.338084E-3</v>
      </c>
    </row>
    <row r="1589" spans="1:3" x14ac:dyDescent="0.15">
      <c r="A1589" t="s">
        <v>806</v>
      </c>
      <c r="B1589">
        <v>5.6569000000000003</v>
      </c>
      <c r="C1589">
        <v>1.3684120000000001E-3</v>
      </c>
    </row>
    <row r="1590" spans="1:3" x14ac:dyDescent="0.15">
      <c r="A1590" t="s">
        <v>806</v>
      </c>
      <c r="B1590">
        <v>8</v>
      </c>
      <c r="C1590">
        <v>1.2583060000000001E-3</v>
      </c>
    </row>
    <row r="1591" spans="1:3" x14ac:dyDescent="0.15">
      <c r="A1591" t="s">
        <v>806</v>
      </c>
      <c r="B1591">
        <v>11.313700000000001</v>
      </c>
      <c r="C1591">
        <v>1.0387389999999999E-3</v>
      </c>
    </row>
    <row r="1592" spans="1:3" x14ac:dyDescent="0.15">
      <c r="A1592" t="s">
        <v>806</v>
      </c>
      <c r="B1592">
        <v>16</v>
      </c>
      <c r="C1592">
        <v>7.86584E-4</v>
      </c>
    </row>
    <row r="1593" spans="1:3" x14ac:dyDescent="0.15">
      <c r="A1593" t="s">
        <v>806</v>
      </c>
      <c r="B1593">
        <v>22.627400000000002</v>
      </c>
      <c r="C1593">
        <v>5.7494399999999998E-4</v>
      </c>
    </row>
    <row r="1594" spans="1:3" x14ac:dyDescent="0.15">
      <c r="A1594" t="s">
        <v>806</v>
      </c>
      <c r="B1594">
        <v>32</v>
      </c>
      <c r="C1594">
        <v>4.2729200000000001E-4</v>
      </c>
    </row>
    <row r="1595" spans="1:3" x14ac:dyDescent="0.15">
      <c r="A1595" t="s">
        <v>806</v>
      </c>
      <c r="B1595">
        <v>45.254800000000003</v>
      </c>
      <c r="C1595">
        <v>3.4158399999999997E-4</v>
      </c>
    </row>
    <row r="1596" spans="1:3" x14ac:dyDescent="0.15">
      <c r="A1596" t="s">
        <v>806</v>
      </c>
      <c r="B1596">
        <v>64</v>
      </c>
      <c r="C1596">
        <v>3.3444200000000001E-4</v>
      </c>
    </row>
    <row r="1597" spans="1:3" x14ac:dyDescent="0.15">
      <c r="A1597" t="s">
        <v>806</v>
      </c>
      <c r="B1597">
        <v>90.509699999999995</v>
      </c>
      <c r="C1597">
        <v>3.3195399999999997E-4</v>
      </c>
    </row>
    <row r="1598" spans="1:3" x14ac:dyDescent="0.15">
      <c r="A1598" t="s">
        <v>806</v>
      </c>
      <c r="B1598">
        <v>128</v>
      </c>
      <c r="C1598">
        <v>2.6006599999999999E-4</v>
      </c>
    </row>
    <row r="1599" spans="1:3" x14ac:dyDescent="0.15">
      <c r="A1599" t="s">
        <v>806</v>
      </c>
      <c r="B1599">
        <v>181.01929999999999</v>
      </c>
      <c r="C1599">
        <v>1.2230699999999999E-4</v>
      </c>
    </row>
    <row r="1600" spans="1:3" x14ac:dyDescent="0.15">
      <c r="A1600" t="s">
        <v>806</v>
      </c>
      <c r="B1600">
        <v>256</v>
      </c>
      <c r="C1600">
        <v>1.8547E-5</v>
      </c>
    </row>
    <row r="1601" spans="1:3" x14ac:dyDescent="0.15">
      <c r="A1601" t="s">
        <v>806</v>
      </c>
      <c r="B1601">
        <v>362.03870000000001</v>
      </c>
      <c r="C1601">
        <v>3.4499999999999998E-7</v>
      </c>
    </row>
    <row r="1602" spans="1:3" x14ac:dyDescent="0.15">
      <c r="A1602" t="s">
        <v>806</v>
      </c>
      <c r="B1602">
        <v>512</v>
      </c>
      <c r="C1602">
        <v>0</v>
      </c>
    </row>
    <row r="1603" spans="1:3" x14ac:dyDescent="0.15">
      <c r="A1603" t="s">
        <v>806</v>
      </c>
      <c r="B1603">
        <v>724.07730000000004</v>
      </c>
      <c r="C1603">
        <v>0</v>
      </c>
    </row>
    <row r="1604" spans="1:3" x14ac:dyDescent="0.15">
      <c r="A1604" t="s">
        <v>807</v>
      </c>
      <c r="B1604">
        <v>2</v>
      </c>
      <c r="C1604">
        <v>1.26622E-3</v>
      </c>
    </row>
    <row r="1605" spans="1:3" x14ac:dyDescent="0.15">
      <c r="A1605" t="s">
        <v>807</v>
      </c>
      <c r="B1605">
        <v>2.8283999999999998</v>
      </c>
      <c r="C1605">
        <v>1.6337050000000001E-3</v>
      </c>
    </row>
    <row r="1606" spans="1:3" x14ac:dyDescent="0.15">
      <c r="A1606" t="s">
        <v>807</v>
      </c>
      <c r="B1606">
        <v>4</v>
      </c>
      <c r="C1606">
        <v>1.84245E-3</v>
      </c>
    </row>
    <row r="1607" spans="1:3" x14ac:dyDescent="0.15">
      <c r="A1607" t="s">
        <v>807</v>
      </c>
      <c r="B1607">
        <v>5.6569000000000003</v>
      </c>
      <c r="C1607">
        <v>1.524437E-3</v>
      </c>
    </row>
    <row r="1608" spans="1:3" x14ac:dyDescent="0.15">
      <c r="A1608" t="s">
        <v>807</v>
      </c>
      <c r="B1608">
        <v>8</v>
      </c>
      <c r="C1608">
        <v>1.2509660000000001E-3</v>
      </c>
    </row>
    <row r="1609" spans="1:3" x14ac:dyDescent="0.15">
      <c r="A1609" t="s">
        <v>807</v>
      </c>
      <c r="B1609">
        <v>11.313700000000001</v>
      </c>
      <c r="C1609">
        <v>1.250836E-3</v>
      </c>
    </row>
    <row r="1610" spans="1:3" x14ac:dyDescent="0.15">
      <c r="A1610" t="s">
        <v>807</v>
      </c>
      <c r="B1610">
        <v>16</v>
      </c>
      <c r="C1610">
        <v>1.537049E-3</v>
      </c>
    </row>
    <row r="1611" spans="1:3" x14ac:dyDescent="0.15">
      <c r="A1611" t="s">
        <v>807</v>
      </c>
      <c r="B1611">
        <v>22.627400000000002</v>
      </c>
      <c r="C1611">
        <v>1.885372E-3</v>
      </c>
    </row>
    <row r="1612" spans="1:3" x14ac:dyDescent="0.15">
      <c r="A1612" t="s">
        <v>807</v>
      </c>
      <c r="B1612">
        <v>32</v>
      </c>
      <c r="C1612">
        <v>2.0665660000000001E-3</v>
      </c>
    </row>
    <row r="1613" spans="1:3" x14ac:dyDescent="0.15">
      <c r="A1613" t="s">
        <v>807</v>
      </c>
      <c r="B1613">
        <v>45.254800000000003</v>
      </c>
      <c r="C1613">
        <v>2.108164E-3</v>
      </c>
    </row>
    <row r="1614" spans="1:3" x14ac:dyDescent="0.15">
      <c r="A1614" t="s">
        <v>807</v>
      </c>
      <c r="B1614">
        <v>64</v>
      </c>
      <c r="C1614">
        <v>1.450252E-3</v>
      </c>
    </row>
    <row r="1615" spans="1:3" x14ac:dyDescent="0.15">
      <c r="A1615" t="s">
        <v>807</v>
      </c>
      <c r="B1615">
        <v>90.509699999999995</v>
      </c>
      <c r="C1615">
        <v>6.7360200000000003E-4</v>
      </c>
    </row>
    <row r="1616" spans="1:3" x14ac:dyDescent="0.15">
      <c r="A1616" t="s">
        <v>807</v>
      </c>
      <c r="B1616">
        <v>128</v>
      </c>
      <c r="C1616">
        <v>4.5453900000000001E-4</v>
      </c>
    </row>
    <row r="1617" spans="1:3" x14ac:dyDescent="0.15">
      <c r="A1617" t="s">
        <v>807</v>
      </c>
      <c r="B1617">
        <v>181.01929999999999</v>
      </c>
      <c r="C1617">
        <v>2.3125700000000001E-4</v>
      </c>
    </row>
    <row r="1618" spans="1:3" x14ac:dyDescent="0.15">
      <c r="A1618" t="s">
        <v>807</v>
      </c>
      <c r="B1618">
        <v>256</v>
      </c>
      <c r="C1618">
        <v>3.5680999999999999E-5</v>
      </c>
    </row>
    <row r="1619" spans="1:3" x14ac:dyDescent="0.15">
      <c r="A1619" t="s">
        <v>807</v>
      </c>
      <c r="B1619">
        <v>362.03870000000001</v>
      </c>
      <c r="C1619">
        <v>6.6599999999999996E-7</v>
      </c>
    </row>
    <row r="1620" spans="1:3" x14ac:dyDescent="0.15">
      <c r="A1620" t="s">
        <v>807</v>
      </c>
      <c r="B1620">
        <v>512</v>
      </c>
      <c r="C1620">
        <v>0</v>
      </c>
    </row>
    <row r="1621" spans="1:3" x14ac:dyDescent="0.15">
      <c r="A1621" t="s">
        <v>807</v>
      </c>
      <c r="B1621">
        <v>724.07730000000004</v>
      </c>
      <c r="C1621">
        <v>0</v>
      </c>
    </row>
    <row r="1622" spans="1:3" x14ac:dyDescent="0.15">
      <c r="A1622" t="s">
        <v>808</v>
      </c>
      <c r="B1622">
        <v>2</v>
      </c>
      <c r="C1622">
        <v>1.055053E-3</v>
      </c>
    </row>
    <row r="1623" spans="1:3" x14ac:dyDescent="0.15">
      <c r="A1623" t="s">
        <v>808</v>
      </c>
      <c r="B1623">
        <v>2.8283999999999998</v>
      </c>
      <c r="C1623">
        <v>1.2865229999999999E-3</v>
      </c>
    </row>
    <row r="1624" spans="1:3" x14ac:dyDescent="0.15">
      <c r="A1624" t="s">
        <v>808</v>
      </c>
      <c r="B1624">
        <v>4</v>
      </c>
      <c r="C1624">
        <v>1.458577E-3</v>
      </c>
    </row>
    <row r="1625" spans="1:3" x14ac:dyDescent="0.15">
      <c r="A1625" t="s">
        <v>808</v>
      </c>
      <c r="B1625">
        <v>5.6569000000000003</v>
      </c>
      <c r="C1625">
        <v>1.432294E-3</v>
      </c>
    </row>
    <row r="1626" spans="1:3" x14ac:dyDescent="0.15">
      <c r="A1626" t="s">
        <v>808</v>
      </c>
      <c r="B1626">
        <v>8</v>
      </c>
      <c r="C1626">
        <v>1.5088E-3</v>
      </c>
    </row>
    <row r="1627" spans="1:3" x14ac:dyDescent="0.15">
      <c r="A1627" t="s">
        <v>808</v>
      </c>
      <c r="B1627">
        <v>11.313700000000001</v>
      </c>
      <c r="C1627">
        <v>1.593255E-3</v>
      </c>
    </row>
    <row r="1628" spans="1:3" x14ac:dyDescent="0.15">
      <c r="A1628" t="s">
        <v>808</v>
      </c>
      <c r="B1628">
        <v>16</v>
      </c>
      <c r="C1628">
        <v>1.444208E-3</v>
      </c>
    </row>
    <row r="1629" spans="1:3" x14ac:dyDescent="0.15">
      <c r="A1629" t="s">
        <v>808</v>
      </c>
      <c r="B1629">
        <v>22.627400000000002</v>
      </c>
      <c r="C1629">
        <v>1.2711370000000001E-3</v>
      </c>
    </row>
    <row r="1630" spans="1:3" x14ac:dyDescent="0.15">
      <c r="A1630" t="s">
        <v>808</v>
      </c>
      <c r="B1630">
        <v>32</v>
      </c>
      <c r="C1630">
        <v>1.0137810000000001E-3</v>
      </c>
    </row>
    <row r="1631" spans="1:3" x14ac:dyDescent="0.15">
      <c r="A1631" t="s">
        <v>808</v>
      </c>
      <c r="B1631">
        <v>45.254800000000003</v>
      </c>
      <c r="C1631">
        <v>8.5228699999999997E-4</v>
      </c>
    </row>
    <row r="1632" spans="1:3" x14ac:dyDescent="0.15">
      <c r="A1632" t="s">
        <v>808</v>
      </c>
      <c r="B1632">
        <v>64</v>
      </c>
      <c r="C1632">
        <v>5.9778200000000004E-4</v>
      </c>
    </row>
    <row r="1633" spans="1:3" x14ac:dyDescent="0.15">
      <c r="A1633" t="s">
        <v>808</v>
      </c>
      <c r="B1633">
        <v>90.509699999999995</v>
      </c>
      <c r="C1633">
        <v>3.12582E-4</v>
      </c>
    </row>
    <row r="1634" spans="1:3" x14ac:dyDescent="0.15">
      <c r="A1634" t="s">
        <v>808</v>
      </c>
      <c r="B1634">
        <v>128</v>
      </c>
      <c r="C1634">
        <v>2.1080900000000001E-4</v>
      </c>
    </row>
    <row r="1635" spans="1:3" x14ac:dyDescent="0.15">
      <c r="A1635" t="s">
        <v>808</v>
      </c>
      <c r="B1635">
        <v>181.01929999999999</v>
      </c>
      <c r="C1635">
        <v>1.03896E-4</v>
      </c>
    </row>
    <row r="1636" spans="1:3" x14ac:dyDescent="0.15">
      <c r="A1636" t="s">
        <v>808</v>
      </c>
      <c r="B1636">
        <v>256</v>
      </c>
      <c r="C1636">
        <v>1.5919000000000001E-5</v>
      </c>
    </row>
    <row r="1637" spans="1:3" x14ac:dyDescent="0.15">
      <c r="A1637" t="s">
        <v>808</v>
      </c>
      <c r="B1637">
        <v>362.03870000000001</v>
      </c>
      <c r="C1637">
        <v>2.9700000000000003E-7</v>
      </c>
    </row>
    <row r="1638" spans="1:3" x14ac:dyDescent="0.15">
      <c r="A1638" t="s">
        <v>808</v>
      </c>
      <c r="B1638">
        <v>512</v>
      </c>
      <c r="C1638">
        <v>0</v>
      </c>
    </row>
    <row r="1639" spans="1:3" x14ac:dyDescent="0.15">
      <c r="A1639" t="s">
        <v>808</v>
      </c>
      <c r="B1639">
        <v>724.07730000000004</v>
      </c>
      <c r="C1639">
        <v>0</v>
      </c>
    </row>
    <row r="1640" spans="1:3" x14ac:dyDescent="0.15">
      <c r="A1640" t="s">
        <v>809</v>
      </c>
      <c r="B1640">
        <v>2</v>
      </c>
      <c r="C1640">
        <v>6.46793E-4</v>
      </c>
    </row>
    <row r="1641" spans="1:3" x14ac:dyDescent="0.15">
      <c r="A1641" t="s">
        <v>809</v>
      </c>
      <c r="B1641">
        <v>2.8283999999999998</v>
      </c>
      <c r="C1641">
        <v>7.1538500000000002E-4</v>
      </c>
    </row>
    <row r="1642" spans="1:3" x14ac:dyDescent="0.15">
      <c r="A1642" t="s">
        <v>809</v>
      </c>
      <c r="B1642">
        <v>4</v>
      </c>
      <c r="C1642">
        <v>8.2697000000000001E-4</v>
      </c>
    </row>
    <row r="1643" spans="1:3" x14ac:dyDescent="0.15">
      <c r="A1643" t="s">
        <v>809</v>
      </c>
      <c r="B1643">
        <v>5.6569000000000003</v>
      </c>
      <c r="C1643">
        <v>8.9648799999999997E-4</v>
      </c>
    </row>
    <row r="1644" spans="1:3" x14ac:dyDescent="0.15">
      <c r="A1644" t="s">
        <v>809</v>
      </c>
      <c r="B1644">
        <v>8</v>
      </c>
      <c r="C1644">
        <v>8.8062999999999998E-4</v>
      </c>
    </row>
    <row r="1645" spans="1:3" x14ac:dyDescent="0.15">
      <c r="A1645" t="s">
        <v>809</v>
      </c>
      <c r="B1645">
        <v>11.313700000000001</v>
      </c>
      <c r="C1645">
        <v>8.3707400000000004E-4</v>
      </c>
    </row>
    <row r="1646" spans="1:3" x14ac:dyDescent="0.15">
      <c r="A1646" t="s">
        <v>809</v>
      </c>
      <c r="B1646">
        <v>16</v>
      </c>
      <c r="C1646">
        <v>7.4961299999999999E-4</v>
      </c>
    </row>
    <row r="1647" spans="1:3" x14ac:dyDescent="0.15">
      <c r="A1647" t="s">
        <v>809</v>
      </c>
      <c r="B1647">
        <v>22.627400000000002</v>
      </c>
      <c r="C1647">
        <v>5.8092500000000004E-4</v>
      </c>
    </row>
    <row r="1648" spans="1:3" x14ac:dyDescent="0.15">
      <c r="A1648" t="s">
        <v>809</v>
      </c>
      <c r="B1648">
        <v>32</v>
      </c>
      <c r="C1648">
        <v>3.9534200000000002E-4</v>
      </c>
    </row>
    <row r="1649" spans="1:3" x14ac:dyDescent="0.15">
      <c r="A1649" t="s">
        <v>809</v>
      </c>
      <c r="B1649">
        <v>45.254800000000003</v>
      </c>
      <c r="C1649">
        <v>2.6061299999999998E-4</v>
      </c>
    </row>
    <row r="1650" spans="1:3" x14ac:dyDescent="0.15">
      <c r="A1650" t="s">
        <v>809</v>
      </c>
      <c r="B1650">
        <v>64</v>
      </c>
      <c r="C1650">
        <v>2.0519099999999999E-4</v>
      </c>
    </row>
    <row r="1651" spans="1:3" x14ac:dyDescent="0.15">
      <c r="A1651" t="s">
        <v>809</v>
      </c>
      <c r="B1651">
        <v>90.509699999999995</v>
      </c>
      <c r="C1651">
        <v>2.15804E-4</v>
      </c>
    </row>
    <row r="1652" spans="1:3" x14ac:dyDescent="0.15">
      <c r="A1652" t="s">
        <v>809</v>
      </c>
      <c r="B1652">
        <v>128</v>
      </c>
      <c r="C1652">
        <v>2.0609099999999999E-4</v>
      </c>
    </row>
    <row r="1653" spans="1:3" x14ac:dyDescent="0.15">
      <c r="A1653" t="s">
        <v>809</v>
      </c>
      <c r="B1653">
        <v>181.01929999999999</v>
      </c>
      <c r="C1653">
        <v>1.04566E-4</v>
      </c>
    </row>
    <row r="1654" spans="1:3" x14ac:dyDescent="0.15">
      <c r="A1654" t="s">
        <v>809</v>
      </c>
      <c r="B1654">
        <v>256</v>
      </c>
      <c r="C1654">
        <v>1.6121999999999999E-5</v>
      </c>
    </row>
    <row r="1655" spans="1:3" x14ac:dyDescent="0.15">
      <c r="A1655" t="s">
        <v>809</v>
      </c>
      <c r="B1655">
        <v>362.03870000000001</v>
      </c>
      <c r="C1655">
        <v>3.0100000000000001E-7</v>
      </c>
    </row>
    <row r="1656" spans="1:3" x14ac:dyDescent="0.15">
      <c r="A1656" t="s">
        <v>809</v>
      </c>
      <c r="B1656">
        <v>512</v>
      </c>
      <c r="C1656">
        <v>0</v>
      </c>
    </row>
    <row r="1657" spans="1:3" x14ac:dyDescent="0.15">
      <c r="A1657" t="s">
        <v>809</v>
      </c>
      <c r="B1657">
        <v>724.07730000000004</v>
      </c>
      <c r="C1657">
        <v>0</v>
      </c>
    </row>
    <row r="1658" spans="1:3" x14ac:dyDescent="0.15">
      <c r="A1658" t="s">
        <v>810</v>
      </c>
      <c r="B1658">
        <v>2</v>
      </c>
      <c r="C1658">
        <v>1.0928890000000001E-3</v>
      </c>
    </row>
    <row r="1659" spans="1:3" x14ac:dyDescent="0.15">
      <c r="A1659" t="s">
        <v>810</v>
      </c>
      <c r="B1659">
        <v>2.8283999999999998</v>
      </c>
      <c r="C1659">
        <v>1.2372329999999999E-3</v>
      </c>
    </row>
    <row r="1660" spans="1:3" x14ac:dyDescent="0.15">
      <c r="A1660" t="s">
        <v>810</v>
      </c>
      <c r="B1660">
        <v>4</v>
      </c>
      <c r="C1660">
        <v>1.320182E-3</v>
      </c>
    </row>
    <row r="1661" spans="1:3" x14ac:dyDescent="0.15">
      <c r="A1661" t="s">
        <v>810</v>
      </c>
      <c r="B1661">
        <v>5.6569000000000003</v>
      </c>
      <c r="C1661">
        <v>1.30981E-3</v>
      </c>
    </row>
    <row r="1662" spans="1:3" x14ac:dyDescent="0.15">
      <c r="A1662" t="s">
        <v>810</v>
      </c>
      <c r="B1662">
        <v>8</v>
      </c>
      <c r="C1662">
        <v>1.2918960000000001E-3</v>
      </c>
    </row>
    <row r="1663" spans="1:3" x14ac:dyDescent="0.15">
      <c r="A1663" t="s">
        <v>810</v>
      </c>
      <c r="B1663">
        <v>11.313700000000001</v>
      </c>
      <c r="C1663">
        <v>1.2268229999999999E-3</v>
      </c>
    </row>
    <row r="1664" spans="1:3" x14ac:dyDescent="0.15">
      <c r="A1664" t="s">
        <v>810</v>
      </c>
      <c r="B1664">
        <v>16</v>
      </c>
      <c r="C1664">
        <v>1.0611730000000001E-3</v>
      </c>
    </row>
    <row r="1665" spans="1:3" x14ac:dyDescent="0.15">
      <c r="A1665" t="s">
        <v>810</v>
      </c>
      <c r="B1665">
        <v>22.627400000000002</v>
      </c>
      <c r="C1665">
        <v>8.9513500000000003E-4</v>
      </c>
    </row>
    <row r="1666" spans="1:3" x14ac:dyDescent="0.15">
      <c r="A1666" t="s">
        <v>810</v>
      </c>
      <c r="B1666">
        <v>32</v>
      </c>
      <c r="C1666">
        <v>7.1155999999999997E-4</v>
      </c>
    </row>
    <row r="1667" spans="1:3" x14ac:dyDescent="0.15">
      <c r="A1667" t="s">
        <v>810</v>
      </c>
      <c r="B1667">
        <v>45.254800000000003</v>
      </c>
      <c r="C1667">
        <v>3.8839099999999997E-4</v>
      </c>
    </row>
    <row r="1668" spans="1:3" x14ac:dyDescent="0.15">
      <c r="A1668" t="s">
        <v>810</v>
      </c>
      <c r="B1668">
        <v>64</v>
      </c>
      <c r="C1668">
        <v>1.45406E-4</v>
      </c>
    </row>
    <row r="1669" spans="1:3" x14ac:dyDescent="0.15">
      <c r="A1669" t="s">
        <v>810</v>
      </c>
      <c r="B1669">
        <v>90.509699999999995</v>
      </c>
      <c r="C1669">
        <v>5.1965999999999997E-5</v>
      </c>
    </row>
    <row r="1670" spans="1:3" x14ac:dyDescent="0.15">
      <c r="A1670" t="s">
        <v>810</v>
      </c>
      <c r="B1670">
        <v>128</v>
      </c>
      <c r="C1670">
        <v>7.3470000000000001E-6</v>
      </c>
    </row>
    <row r="1671" spans="1:3" x14ac:dyDescent="0.15">
      <c r="A1671" t="s">
        <v>810</v>
      </c>
      <c r="B1671">
        <v>181.01929999999999</v>
      </c>
      <c r="C1671">
        <v>1.35E-7</v>
      </c>
    </row>
    <row r="1672" spans="1:3" x14ac:dyDescent="0.15">
      <c r="A1672" t="s">
        <v>810</v>
      </c>
      <c r="B1672">
        <v>256</v>
      </c>
      <c r="C1672">
        <v>0</v>
      </c>
    </row>
    <row r="1673" spans="1:3" x14ac:dyDescent="0.15">
      <c r="A1673" t="s">
        <v>810</v>
      </c>
      <c r="B1673">
        <v>362.03870000000001</v>
      </c>
      <c r="C1673">
        <v>0</v>
      </c>
    </row>
    <row r="1674" spans="1:3" x14ac:dyDescent="0.15">
      <c r="A1674" t="s">
        <v>810</v>
      </c>
      <c r="B1674">
        <v>512</v>
      </c>
      <c r="C1674">
        <v>0</v>
      </c>
    </row>
    <row r="1675" spans="1:3" x14ac:dyDescent="0.15">
      <c r="A1675" t="s">
        <v>810</v>
      </c>
      <c r="B1675">
        <v>724.07730000000004</v>
      </c>
      <c r="C1675">
        <v>0</v>
      </c>
    </row>
    <row r="1676" spans="1:3" x14ac:dyDescent="0.15">
      <c r="A1676" t="s">
        <v>811</v>
      </c>
      <c r="B1676">
        <v>2</v>
      </c>
      <c r="C1676">
        <v>1.257719E-3</v>
      </c>
    </row>
    <row r="1677" spans="1:3" x14ac:dyDescent="0.15">
      <c r="A1677" t="s">
        <v>811</v>
      </c>
      <c r="B1677">
        <v>2.8283999999999998</v>
      </c>
      <c r="C1677">
        <v>1.6844189999999999E-3</v>
      </c>
    </row>
    <row r="1678" spans="1:3" x14ac:dyDescent="0.15">
      <c r="A1678" t="s">
        <v>811</v>
      </c>
      <c r="B1678">
        <v>4</v>
      </c>
      <c r="C1678">
        <v>2.0123049999999998E-3</v>
      </c>
    </row>
    <row r="1679" spans="1:3" x14ac:dyDescent="0.15">
      <c r="A1679" t="s">
        <v>811</v>
      </c>
      <c r="B1679">
        <v>5.6569000000000003</v>
      </c>
      <c r="C1679">
        <v>1.9920530000000001E-3</v>
      </c>
    </row>
    <row r="1680" spans="1:3" x14ac:dyDescent="0.15">
      <c r="A1680" t="s">
        <v>811</v>
      </c>
      <c r="B1680">
        <v>8</v>
      </c>
      <c r="C1680">
        <v>1.7924130000000001E-3</v>
      </c>
    </row>
    <row r="1681" spans="1:3" x14ac:dyDescent="0.15">
      <c r="A1681" t="s">
        <v>811</v>
      </c>
      <c r="B1681">
        <v>11.313700000000001</v>
      </c>
      <c r="C1681">
        <v>1.444493E-3</v>
      </c>
    </row>
    <row r="1682" spans="1:3" x14ac:dyDescent="0.15">
      <c r="A1682" t="s">
        <v>811</v>
      </c>
      <c r="B1682">
        <v>16</v>
      </c>
      <c r="C1682">
        <v>9.4069900000000003E-4</v>
      </c>
    </row>
    <row r="1683" spans="1:3" x14ac:dyDescent="0.15">
      <c r="A1683" t="s">
        <v>811</v>
      </c>
      <c r="B1683">
        <v>22.627400000000002</v>
      </c>
      <c r="C1683">
        <v>9.6848799999999999E-4</v>
      </c>
    </row>
    <row r="1684" spans="1:3" x14ac:dyDescent="0.15">
      <c r="A1684" t="s">
        <v>811</v>
      </c>
      <c r="B1684">
        <v>32</v>
      </c>
      <c r="C1684">
        <v>1.4484789999999999E-3</v>
      </c>
    </row>
    <row r="1685" spans="1:3" x14ac:dyDescent="0.15">
      <c r="A1685" t="s">
        <v>811</v>
      </c>
      <c r="B1685">
        <v>45.254800000000003</v>
      </c>
      <c r="C1685">
        <v>1.84486E-3</v>
      </c>
    </row>
    <row r="1686" spans="1:3" x14ac:dyDescent="0.15">
      <c r="A1686" t="s">
        <v>811</v>
      </c>
      <c r="B1686">
        <v>64</v>
      </c>
      <c r="C1686">
        <v>1.602572E-3</v>
      </c>
    </row>
    <row r="1687" spans="1:3" x14ac:dyDescent="0.15">
      <c r="A1687" t="s">
        <v>811</v>
      </c>
      <c r="B1687">
        <v>90.509699999999995</v>
      </c>
      <c r="C1687">
        <v>6.8071899999999999E-4</v>
      </c>
    </row>
    <row r="1688" spans="1:3" x14ac:dyDescent="0.15">
      <c r="A1688" t="s">
        <v>811</v>
      </c>
      <c r="B1688">
        <v>128</v>
      </c>
      <c r="C1688">
        <v>1.74007E-4</v>
      </c>
    </row>
    <row r="1689" spans="1:3" x14ac:dyDescent="0.15">
      <c r="A1689" t="s">
        <v>811</v>
      </c>
      <c r="B1689">
        <v>181.01929999999999</v>
      </c>
      <c r="C1689">
        <v>1.15084E-4</v>
      </c>
    </row>
    <row r="1690" spans="1:3" x14ac:dyDescent="0.15">
      <c r="A1690" t="s">
        <v>811</v>
      </c>
      <c r="B1690">
        <v>256</v>
      </c>
      <c r="C1690">
        <v>1.8074999999999999E-5</v>
      </c>
    </row>
    <row r="1691" spans="1:3" x14ac:dyDescent="0.15">
      <c r="A1691" t="s">
        <v>811</v>
      </c>
      <c r="B1691">
        <v>362.03870000000001</v>
      </c>
      <c r="C1691">
        <v>3.3799999999999998E-7</v>
      </c>
    </row>
    <row r="1692" spans="1:3" x14ac:dyDescent="0.15">
      <c r="A1692" t="s">
        <v>811</v>
      </c>
      <c r="B1692">
        <v>512</v>
      </c>
      <c r="C1692">
        <v>0</v>
      </c>
    </row>
    <row r="1693" spans="1:3" x14ac:dyDescent="0.15">
      <c r="A1693" t="s">
        <v>811</v>
      </c>
      <c r="B1693">
        <v>724.07730000000004</v>
      </c>
      <c r="C1693">
        <v>0</v>
      </c>
    </row>
    <row r="1694" spans="1:3" x14ac:dyDescent="0.15">
      <c r="A1694" t="s">
        <v>812</v>
      </c>
      <c r="B1694">
        <v>2</v>
      </c>
      <c r="C1694">
        <v>1.086353E-3</v>
      </c>
    </row>
    <row r="1695" spans="1:3" x14ac:dyDescent="0.15">
      <c r="A1695" t="s">
        <v>812</v>
      </c>
      <c r="B1695">
        <v>2.8283999999999998</v>
      </c>
      <c r="C1695">
        <v>1.40007E-3</v>
      </c>
    </row>
    <row r="1696" spans="1:3" x14ac:dyDescent="0.15">
      <c r="A1696" t="s">
        <v>812</v>
      </c>
      <c r="B1696">
        <v>4</v>
      </c>
      <c r="C1696">
        <v>1.7266639999999999E-3</v>
      </c>
    </row>
    <row r="1697" spans="1:3" x14ac:dyDescent="0.15">
      <c r="A1697" t="s">
        <v>812</v>
      </c>
      <c r="B1697">
        <v>5.6569000000000003</v>
      </c>
      <c r="C1697">
        <v>1.7171230000000001E-3</v>
      </c>
    </row>
    <row r="1698" spans="1:3" x14ac:dyDescent="0.15">
      <c r="A1698" t="s">
        <v>812</v>
      </c>
      <c r="B1698">
        <v>8</v>
      </c>
      <c r="C1698">
        <v>1.4247050000000001E-3</v>
      </c>
    </row>
    <row r="1699" spans="1:3" x14ac:dyDescent="0.15">
      <c r="A1699" t="s">
        <v>812</v>
      </c>
      <c r="B1699">
        <v>11.313700000000001</v>
      </c>
      <c r="C1699">
        <v>1.3169499999999999E-3</v>
      </c>
    </row>
    <row r="1700" spans="1:3" x14ac:dyDescent="0.15">
      <c r="A1700" t="s">
        <v>812</v>
      </c>
      <c r="B1700">
        <v>16</v>
      </c>
      <c r="C1700">
        <v>1.243664E-3</v>
      </c>
    </row>
    <row r="1701" spans="1:3" x14ac:dyDescent="0.15">
      <c r="A1701" t="s">
        <v>812</v>
      </c>
      <c r="B1701">
        <v>22.627400000000002</v>
      </c>
      <c r="C1701">
        <v>9.3082799999999997E-4</v>
      </c>
    </row>
    <row r="1702" spans="1:3" x14ac:dyDescent="0.15">
      <c r="A1702" t="s">
        <v>812</v>
      </c>
      <c r="B1702">
        <v>32</v>
      </c>
      <c r="C1702">
        <v>7.6267100000000003E-4</v>
      </c>
    </row>
    <row r="1703" spans="1:3" x14ac:dyDescent="0.15">
      <c r="A1703" t="s">
        <v>812</v>
      </c>
      <c r="B1703">
        <v>45.254800000000003</v>
      </c>
      <c r="C1703">
        <v>7.7702800000000003E-4</v>
      </c>
    </row>
    <row r="1704" spans="1:3" x14ac:dyDescent="0.15">
      <c r="A1704" t="s">
        <v>812</v>
      </c>
      <c r="B1704">
        <v>64</v>
      </c>
      <c r="C1704">
        <v>9.7820900000000007E-4</v>
      </c>
    </row>
    <row r="1705" spans="1:3" x14ac:dyDescent="0.15">
      <c r="A1705" t="s">
        <v>812</v>
      </c>
      <c r="B1705">
        <v>90.509699999999995</v>
      </c>
      <c r="C1705">
        <v>1.1746860000000001E-3</v>
      </c>
    </row>
    <row r="1706" spans="1:3" x14ac:dyDescent="0.15">
      <c r="A1706" t="s">
        <v>812</v>
      </c>
      <c r="B1706">
        <v>128</v>
      </c>
      <c r="C1706">
        <v>1.135282E-3</v>
      </c>
    </row>
    <row r="1707" spans="1:3" x14ac:dyDescent="0.15">
      <c r="A1707" t="s">
        <v>812</v>
      </c>
      <c r="B1707">
        <v>181.01929999999999</v>
      </c>
      <c r="C1707">
        <v>5.7415700000000005E-4</v>
      </c>
    </row>
    <row r="1708" spans="1:3" x14ac:dyDescent="0.15">
      <c r="A1708" t="s">
        <v>812</v>
      </c>
      <c r="B1708">
        <v>256</v>
      </c>
      <c r="C1708">
        <v>8.8239999999999995E-5</v>
      </c>
    </row>
    <row r="1709" spans="1:3" x14ac:dyDescent="0.15">
      <c r="A1709" t="s">
        <v>812</v>
      </c>
      <c r="B1709">
        <v>362.03870000000001</v>
      </c>
      <c r="C1709">
        <v>1.6449999999999999E-6</v>
      </c>
    </row>
    <row r="1710" spans="1:3" x14ac:dyDescent="0.15">
      <c r="A1710" t="s">
        <v>812</v>
      </c>
      <c r="B1710">
        <v>512</v>
      </c>
      <c r="C1710">
        <v>0</v>
      </c>
    </row>
    <row r="1711" spans="1:3" x14ac:dyDescent="0.15">
      <c r="A1711" t="s">
        <v>812</v>
      </c>
      <c r="B1711">
        <v>724.07730000000004</v>
      </c>
      <c r="C1711">
        <v>0</v>
      </c>
    </row>
    <row r="1712" spans="1:3" x14ac:dyDescent="0.15">
      <c r="A1712" t="s">
        <v>813</v>
      </c>
      <c r="B1712">
        <v>2</v>
      </c>
      <c r="C1712">
        <v>1.1130560000000001E-3</v>
      </c>
    </row>
    <row r="1713" spans="1:3" x14ac:dyDescent="0.15">
      <c r="A1713" t="s">
        <v>813</v>
      </c>
      <c r="B1713">
        <v>2.8283999999999998</v>
      </c>
      <c r="C1713">
        <v>1.3705060000000001E-3</v>
      </c>
    </row>
    <row r="1714" spans="1:3" x14ac:dyDescent="0.15">
      <c r="A1714" t="s">
        <v>813</v>
      </c>
      <c r="B1714">
        <v>4</v>
      </c>
      <c r="C1714">
        <v>1.59859E-3</v>
      </c>
    </row>
    <row r="1715" spans="1:3" x14ac:dyDescent="0.15">
      <c r="A1715" t="s">
        <v>813</v>
      </c>
      <c r="B1715">
        <v>5.6569000000000003</v>
      </c>
      <c r="C1715">
        <v>1.729033E-3</v>
      </c>
    </row>
    <row r="1716" spans="1:3" x14ac:dyDescent="0.15">
      <c r="A1716" t="s">
        <v>813</v>
      </c>
      <c r="B1716">
        <v>8</v>
      </c>
      <c r="C1716">
        <v>1.7790379999999999E-3</v>
      </c>
    </row>
    <row r="1717" spans="1:3" x14ac:dyDescent="0.15">
      <c r="A1717" t="s">
        <v>813</v>
      </c>
      <c r="B1717">
        <v>11.313700000000001</v>
      </c>
      <c r="C1717">
        <v>1.735491E-3</v>
      </c>
    </row>
    <row r="1718" spans="1:3" x14ac:dyDescent="0.15">
      <c r="A1718" t="s">
        <v>813</v>
      </c>
      <c r="B1718">
        <v>16</v>
      </c>
      <c r="C1718">
        <v>1.4682639999999999E-3</v>
      </c>
    </row>
    <row r="1719" spans="1:3" x14ac:dyDescent="0.15">
      <c r="A1719" t="s">
        <v>813</v>
      </c>
      <c r="B1719">
        <v>22.627400000000002</v>
      </c>
      <c r="C1719">
        <v>1.1340020000000001E-3</v>
      </c>
    </row>
    <row r="1720" spans="1:3" x14ac:dyDescent="0.15">
      <c r="A1720" t="s">
        <v>813</v>
      </c>
      <c r="B1720">
        <v>32</v>
      </c>
      <c r="C1720">
        <v>1.061747E-3</v>
      </c>
    </row>
    <row r="1721" spans="1:3" x14ac:dyDescent="0.15">
      <c r="A1721" t="s">
        <v>813</v>
      </c>
      <c r="B1721">
        <v>45.254800000000003</v>
      </c>
      <c r="C1721">
        <v>8.4586399999999999E-4</v>
      </c>
    </row>
    <row r="1722" spans="1:3" x14ac:dyDescent="0.15">
      <c r="A1722" t="s">
        <v>813</v>
      </c>
      <c r="B1722">
        <v>64</v>
      </c>
      <c r="C1722">
        <v>5.4486599999999997E-4</v>
      </c>
    </row>
    <row r="1723" spans="1:3" x14ac:dyDescent="0.15">
      <c r="A1723" t="s">
        <v>813</v>
      </c>
      <c r="B1723">
        <v>90.509699999999995</v>
      </c>
      <c r="C1723">
        <v>2.5224500000000001E-4</v>
      </c>
    </row>
    <row r="1724" spans="1:3" x14ac:dyDescent="0.15">
      <c r="A1724" t="s">
        <v>813</v>
      </c>
      <c r="B1724">
        <v>128</v>
      </c>
      <c r="C1724">
        <v>3.8707000000000001E-5</v>
      </c>
    </row>
    <row r="1725" spans="1:3" x14ac:dyDescent="0.15">
      <c r="A1725" t="s">
        <v>813</v>
      </c>
      <c r="B1725">
        <v>181.01929999999999</v>
      </c>
      <c r="C1725">
        <v>7.2200000000000003E-7</v>
      </c>
    </row>
    <row r="1726" spans="1:3" x14ac:dyDescent="0.15">
      <c r="A1726" t="s">
        <v>813</v>
      </c>
      <c r="B1726">
        <v>256</v>
      </c>
      <c r="C1726">
        <v>0</v>
      </c>
    </row>
    <row r="1727" spans="1:3" x14ac:dyDescent="0.15">
      <c r="A1727" t="s">
        <v>813</v>
      </c>
      <c r="B1727">
        <v>362.03870000000001</v>
      </c>
      <c r="C1727">
        <v>0</v>
      </c>
    </row>
    <row r="1728" spans="1:3" x14ac:dyDescent="0.15">
      <c r="A1728" t="s">
        <v>813</v>
      </c>
      <c r="B1728">
        <v>512</v>
      </c>
      <c r="C1728">
        <v>0</v>
      </c>
    </row>
    <row r="1729" spans="1:3" x14ac:dyDescent="0.15">
      <c r="A1729" t="s">
        <v>813</v>
      </c>
      <c r="B1729">
        <v>724.07730000000004</v>
      </c>
      <c r="C1729">
        <v>0</v>
      </c>
    </row>
    <row r="1730" spans="1:3" x14ac:dyDescent="0.15">
      <c r="A1730" t="s">
        <v>814</v>
      </c>
      <c r="B1730">
        <v>2</v>
      </c>
      <c r="C1730">
        <v>7.9967999999999999E-4</v>
      </c>
    </row>
    <row r="1731" spans="1:3" x14ac:dyDescent="0.15">
      <c r="A1731" t="s">
        <v>814</v>
      </c>
      <c r="B1731">
        <v>2.8283999999999998</v>
      </c>
      <c r="C1731">
        <v>8.7447899999999995E-4</v>
      </c>
    </row>
    <row r="1732" spans="1:3" x14ac:dyDescent="0.15">
      <c r="A1732" t="s">
        <v>814</v>
      </c>
      <c r="B1732">
        <v>4</v>
      </c>
      <c r="C1732">
        <v>9.5860599999999998E-4</v>
      </c>
    </row>
    <row r="1733" spans="1:3" x14ac:dyDescent="0.15">
      <c r="A1733" t="s">
        <v>814</v>
      </c>
      <c r="B1733">
        <v>5.6569000000000003</v>
      </c>
      <c r="C1733">
        <v>9.4142800000000001E-4</v>
      </c>
    </row>
    <row r="1734" spans="1:3" x14ac:dyDescent="0.15">
      <c r="A1734" t="s">
        <v>814</v>
      </c>
      <c r="B1734">
        <v>8</v>
      </c>
      <c r="C1734">
        <v>8.3785299999999995E-4</v>
      </c>
    </row>
    <row r="1735" spans="1:3" x14ac:dyDescent="0.15">
      <c r="A1735" t="s">
        <v>814</v>
      </c>
      <c r="B1735">
        <v>11.313700000000001</v>
      </c>
      <c r="C1735">
        <v>7.4898499999999997E-4</v>
      </c>
    </row>
    <row r="1736" spans="1:3" x14ac:dyDescent="0.15">
      <c r="A1736" t="s">
        <v>814</v>
      </c>
      <c r="B1736">
        <v>16</v>
      </c>
      <c r="C1736">
        <v>6.98802E-4</v>
      </c>
    </row>
    <row r="1737" spans="1:3" x14ac:dyDescent="0.15">
      <c r="A1737" t="s">
        <v>814</v>
      </c>
      <c r="B1737">
        <v>22.627400000000002</v>
      </c>
      <c r="C1737">
        <v>6.3623399999999995E-4</v>
      </c>
    </row>
    <row r="1738" spans="1:3" x14ac:dyDescent="0.15">
      <c r="A1738" t="s">
        <v>814</v>
      </c>
      <c r="B1738">
        <v>32</v>
      </c>
      <c r="C1738">
        <v>5.2961999999999996E-4</v>
      </c>
    </row>
    <row r="1739" spans="1:3" x14ac:dyDescent="0.15">
      <c r="A1739" t="s">
        <v>814</v>
      </c>
      <c r="B1739">
        <v>45.254800000000003</v>
      </c>
      <c r="C1739">
        <v>3.7809600000000002E-4</v>
      </c>
    </row>
    <row r="1740" spans="1:3" x14ac:dyDescent="0.15">
      <c r="A1740" t="s">
        <v>814</v>
      </c>
      <c r="B1740">
        <v>64</v>
      </c>
      <c r="C1740">
        <v>2.4674199999999999E-4</v>
      </c>
    </row>
    <row r="1741" spans="1:3" x14ac:dyDescent="0.15">
      <c r="A1741" t="s">
        <v>814</v>
      </c>
      <c r="B1741">
        <v>90.509699999999995</v>
      </c>
      <c r="C1741">
        <v>1.4442599999999999E-4</v>
      </c>
    </row>
    <row r="1742" spans="1:3" x14ac:dyDescent="0.15">
      <c r="A1742" t="s">
        <v>814</v>
      </c>
      <c r="B1742">
        <v>128</v>
      </c>
      <c r="C1742">
        <v>1.09135E-4</v>
      </c>
    </row>
    <row r="1743" spans="1:3" x14ac:dyDescent="0.15">
      <c r="A1743" t="s">
        <v>814</v>
      </c>
      <c r="B1743">
        <v>181.01929999999999</v>
      </c>
      <c r="C1743">
        <v>5.5004999999999999E-5</v>
      </c>
    </row>
    <row r="1744" spans="1:3" x14ac:dyDescent="0.15">
      <c r="A1744" t="s">
        <v>814</v>
      </c>
      <c r="B1744">
        <v>256</v>
      </c>
      <c r="C1744">
        <v>8.4789999999999996E-6</v>
      </c>
    </row>
    <row r="1745" spans="1:3" x14ac:dyDescent="0.15">
      <c r="A1745" t="s">
        <v>814</v>
      </c>
      <c r="B1745">
        <v>362.03870000000001</v>
      </c>
      <c r="C1745">
        <v>1.5800000000000001E-7</v>
      </c>
    </row>
    <row r="1746" spans="1:3" x14ac:dyDescent="0.15">
      <c r="A1746" t="s">
        <v>814</v>
      </c>
      <c r="B1746">
        <v>512</v>
      </c>
      <c r="C1746">
        <v>0</v>
      </c>
    </row>
    <row r="1747" spans="1:3" x14ac:dyDescent="0.15">
      <c r="A1747" t="s">
        <v>814</v>
      </c>
      <c r="B1747">
        <v>724.07730000000004</v>
      </c>
      <c r="C1747">
        <v>0</v>
      </c>
    </row>
    <row r="1748" spans="1:3" x14ac:dyDescent="0.15">
      <c r="A1748" t="s">
        <v>815</v>
      </c>
      <c r="B1748">
        <v>2</v>
      </c>
      <c r="C1748">
        <v>7.0474199999999996E-4</v>
      </c>
    </row>
    <row r="1749" spans="1:3" x14ac:dyDescent="0.15">
      <c r="A1749" t="s">
        <v>815</v>
      </c>
      <c r="B1749">
        <v>2.8283999999999998</v>
      </c>
      <c r="C1749">
        <v>7.6351700000000002E-4</v>
      </c>
    </row>
    <row r="1750" spans="1:3" x14ac:dyDescent="0.15">
      <c r="A1750" t="s">
        <v>815</v>
      </c>
      <c r="B1750">
        <v>4</v>
      </c>
      <c r="C1750">
        <v>8.3261800000000003E-4</v>
      </c>
    </row>
    <row r="1751" spans="1:3" x14ac:dyDescent="0.15">
      <c r="A1751" t="s">
        <v>815</v>
      </c>
      <c r="B1751">
        <v>5.6569000000000003</v>
      </c>
      <c r="C1751">
        <v>8.44315E-4</v>
      </c>
    </row>
    <row r="1752" spans="1:3" x14ac:dyDescent="0.15">
      <c r="A1752" t="s">
        <v>815</v>
      </c>
      <c r="B1752">
        <v>8</v>
      </c>
      <c r="C1752">
        <v>7.9804699999999997E-4</v>
      </c>
    </row>
    <row r="1753" spans="1:3" x14ac:dyDescent="0.15">
      <c r="A1753" t="s">
        <v>815</v>
      </c>
      <c r="B1753">
        <v>11.313700000000001</v>
      </c>
      <c r="C1753">
        <v>7.5152900000000002E-4</v>
      </c>
    </row>
    <row r="1754" spans="1:3" x14ac:dyDescent="0.15">
      <c r="A1754" t="s">
        <v>815</v>
      </c>
      <c r="B1754">
        <v>16</v>
      </c>
      <c r="C1754">
        <v>6.8930300000000005E-4</v>
      </c>
    </row>
    <row r="1755" spans="1:3" x14ac:dyDescent="0.15">
      <c r="A1755" t="s">
        <v>815</v>
      </c>
      <c r="B1755">
        <v>22.627400000000002</v>
      </c>
      <c r="C1755">
        <v>6.3235299999999999E-4</v>
      </c>
    </row>
    <row r="1756" spans="1:3" x14ac:dyDescent="0.15">
      <c r="A1756" t="s">
        <v>815</v>
      </c>
      <c r="B1756">
        <v>32</v>
      </c>
      <c r="C1756">
        <v>5.8581699999999998E-4</v>
      </c>
    </row>
    <row r="1757" spans="1:3" x14ac:dyDescent="0.15">
      <c r="A1757" t="s">
        <v>815</v>
      </c>
      <c r="B1757">
        <v>45.254800000000003</v>
      </c>
      <c r="C1757">
        <v>4.8256500000000001E-4</v>
      </c>
    </row>
    <row r="1758" spans="1:3" x14ac:dyDescent="0.15">
      <c r="A1758" t="s">
        <v>815</v>
      </c>
      <c r="B1758">
        <v>64</v>
      </c>
      <c r="C1758">
        <v>2.4326299999999999E-4</v>
      </c>
    </row>
    <row r="1759" spans="1:3" x14ac:dyDescent="0.15">
      <c r="A1759" t="s">
        <v>815</v>
      </c>
      <c r="B1759">
        <v>90.509699999999995</v>
      </c>
      <c r="C1759">
        <v>4.7998999999999999E-5</v>
      </c>
    </row>
    <row r="1760" spans="1:3" x14ac:dyDescent="0.15">
      <c r="A1760" t="s">
        <v>815</v>
      </c>
      <c r="B1760">
        <v>128</v>
      </c>
      <c r="C1760">
        <v>1.0134E-5</v>
      </c>
    </row>
    <row r="1761" spans="1:3" x14ac:dyDescent="0.15">
      <c r="A1761" t="s">
        <v>815</v>
      </c>
      <c r="B1761">
        <v>181.01929999999999</v>
      </c>
      <c r="C1761">
        <v>8.5750000000000001E-6</v>
      </c>
    </row>
    <row r="1762" spans="1:3" x14ac:dyDescent="0.15">
      <c r="A1762" t="s">
        <v>815</v>
      </c>
      <c r="B1762">
        <v>256</v>
      </c>
      <c r="C1762">
        <v>1.339E-6</v>
      </c>
    </row>
    <row r="1763" spans="1:3" x14ac:dyDescent="0.15">
      <c r="A1763" t="s">
        <v>815</v>
      </c>
      <c r="B1763">
        <v>362.03870000000001</v>
      </c>
      <c r="C1763">
        <v>2.4999999999999999E-8</v>
      </c>
    </row>
    <row r="1764" spans="1:3" x14ac:dyDescent="0.15">
      <c r="A1764" t="s">
        <v>815</v>
      </c>
      <c r="B1764">
        <v>512</v>
      </c>
      <c r="C1764">
        <v>0</v>
      </c>
    </row>
    <row r="1765" spans="1:3" x14ac:dyDescent="0.15">
      <c r="A1765" t="s">
        <v>815</v>
      </c>
      <c r="B1765">
        <v>724.07730000000004</v>
      </c>
      <c r="C1765">
        <v>0</v>
      </c>
    </row>
    <row r="1766" spans="1:3" x14ac:dyDescent="0.15">
      <c r="A1766" t="s">
        <v>816</v>
      </c>
      <c r="B1766">
        <v>2</v>
      </c>
      <c r="C1766">
        <v>1.3194579999999999E-3</v>
      </c>
    </row>
    <row r="1767" spans="1:3" x14ac:dyDescent="0.15">
      <c r="A1767" t="s">
        <v>816</v>
      </c>
      <c r="B1767">
        <v>2.8283999999999998</v>
      </c>
      <c r="C1767">
        <v>1.562665E-3</v>
      </c>
    </row>
    <row r="1768" spans="1:3" x14ac:dyDescent="0.15">
      <c r="A1768" t="s">
        <v>816</v>
      </c>
      <c r="B1768">
        <v>4</v>
      </c>
      <c r="C1768">
        <v>1.6841740000000001E-3</v>
      </c>
    </row>
    <row r="1769" spans="1:3" x14ac:dyDescent="0.15">
      <c r="A1769" t="s">
        <v>816</v>
      </c>
      <c r="B1769">
        <v>5.6569000000000003</v>
      </c>
      <c r="C1769">
        <v>1.627968E-3</v>
      </c>
    </row>
    <row r="1770" spans="1:3" x14ac:dyDescent="0.15">
      <c r="A1770" t="s">
        <v>816</v>
      </c>
      <c r="B1770">
        <v>8</v>
      </c>
      <c r="C1770">
        <v>1.4641000000000001E-3</v>
      </c>
    </row>
    <row r="1771" spans="1:3" x14ac:dyDescent="0.15">
      <c r="A1771" t="s">
        <v>816</v>
      </c>
      <c r="B1771">
        <v>11.313700000000001</v>
      </c>
      <c r="C1771">
        <v>1.292753E-3</v>
      </c>
    </row>
    <row r="1772" spans="1:3" x14ac:dyDescent="0.15">
      <c r="A1772" t="s">
        <v>816</v>
      </c>
      <c r="B1772">
        <v>16</v>
      </c>
      <c r="C1772">
        <v>1.0544899999999999E-3</v>
      </c>
    </row>
    <row r="1773" spans="1:3" x14ac:dyDescent="0.15">
      <c r="A1773" t="s">
        <v>816</v>
      </c>
      <c r="B1773">
        <v>22.627400000000002</v>
      </c>
      <c r="C1773">
        <v>1.034075E-3</v>
      </c>
    </row>
    <row r="1774" spans="1:3" x14ac:dyDescent="0.15">
      <c r="A1774" t="s">
        <v>816</v>
      </c>
      <c r="B1774">
        <v>32</v>
      </c>
      <c r="C1774">
        <v>1.068933E-3</v>
      </c>
    </row>
    <row r="1775" spans="1:3" x14ac:dyDescent="0.15">
      <c r="A1775" t="s">
        <v>816</v>
      </c>
      <c r="B1775">
        <v>45.254800000000003</v>
      </c>
      <c r="C1775">
        <v>8.0620699999999997E-4</v>
      </c>
    </row>
    <row r="1776" spans="1:3" x14ac:dyDescent="0.15">
      <c r="A1776" t="s">
        <v>816</v>
      </c>
      <c r="B1776">
        <v>64</v>
      </c>
      <c r="C1776">
        <v>5.15417E-4</v>
      </c>
    </row>
    <row r="1777" spans="1:3" x14ac:dyDescent="0.15">
      <c r="A1777" t="s">
        <v>816</v>
      </c>
      <c r="B1777">
        <v>90.509699999999995</v>
      </c>
      <c r="C1777">
        <v>2.3803799999999999E-4</v>
      </c>
    </row>
    <row r="1778" spans="1:3" x14ac:dyDescent="0.15">
      <c r="A1778" t="s">
        <v>816</v>
      </c>
      <c r="B1778">
        <v>128</v>
      </c>
      <c r="C1778">
        <v>3.6384999999999998E-5</v>
      </c>
    </row>
    <row r="1779" spans="1:3" x14ac:dyDescent="0.15">
      <c r="A1779" t="s">
        <v>816</v>
      </c>
      <c r="B1779">
        <v>181.01929999999999</v>
      </c>
      <c r="C1779">
        <v>6.7899999999999998E-7</v>
      </c>
    </row>
    <row r="1780" spans="1:3" x14ac:dyDescent="0.15">
      <c r="A1780" t="s">
        <v>816</v>
      </c>
      <c r="B1780">
        <v>256</v>
      </c>
      <c r="C1780">
        <v>1.0000000000000001E-9</v>
      </c>
    </row>
    <row r="1781" spans="1:3" x14ac:dyDescent="0.15">
      <c r="A1781" t="s">
        <v>816</v>
      </c>
      <c r="B1781">
        <v>362.03870000000001</v>
      </c>
      <c r="C1781">
        <v>0</v>
      </c>
    </row>
    <row r="1782" spans="1:3" x14ac:dyDescent="0.15">
      <c r="A1782" t="s">
        <v>816</v>
      </c>
      <c r="B1782">
        <v>512</v>
      </c>
      <c r="C1782">
        <v>0</v>
      </c>
    </row>
    <row r="1783" spans="1:3" x14ac:dyDescent="0.15">
      <c r="A1783" t="s">
        <v>816</v>
      </c>
      <c r="B1783">
        <v>724.07730000000004</v>
      </c>
      <c r="C1783">
        <v>0</v>
      </c>
    </row>
    <row r="1784" spans="1:3" x14ac:dyDescent="0.15">
      <c r="A1784" t="s">
        <v>817</v>
      </c>
      <c r="B1784">
        <v>2</v>
      </c>
      <c r="C1784">
        <v>5.2594700000000002E-4</v>
      </c>
    </row>
    <row r="1785" spans="1:3" x14ac:dyDescent="0.15">
      <c r="A1785" t="s">
        <v>817</v>
      </c>
      <c r="B1785">
        <v>2.8283999999999998</v>
      </c>
      <c r="C1785">
        <v>6.7289100000000001E-4</v>
      </c>
    </row>
    <row r="1786" spans="1:3" x14ac:dyDescent="0.15">
      <c r="A1786" t="s">
        <v>817</v>
      </c>
      <c r="B1786">
        <v>4</v>
      </c>
      <c r="C1786">
        <v>8.2894900000000005E-4</v>
      </c>
    </row>
    <row r="1787" spans="1:3" x14ac:dyDescent="0.15">
      <c r="A1787" t="s">
        <v>817</v>
      </c>
      <c r="B1787">
        <v>5.6569000000000003</v>
      </c>
      <c r="C1787">
        <v>9.2076699999999996E-4</v>
      </c>
    </row>
    <row r="1788" spans="1:3" x14ac:dyDescent="0.15">
      <c r="A1788" t="s">
        <v>817</v>
      </c>
      <c r="B1788">
        <v>8</v>
      </c>
      <c r="C1788">
        <v>9.0181599999999995E-4</v>
      </c>
    </row>
    <row r="1789" spans="1:3" x14ac:dyDescent="0.15">
      <c r="A1789" t="s">
        <v>817</v>
      </c>
      <c r="B1789">
        <v>11.313700000000001</v>
      </c>
      <c r="C1789">
        <v>8.0577800000000005E-4</v>
      </c>
    </row>
    <row r="1790" spans="1:3" x14ac:dyDescent="0.15">
      <c r="A1790" t="s">
        <v>817</v>
      </c>
      <c r="B1790">
        <v>16</v>
      </c>
      <c r="C1790">
        <v>7.2719699999999996E-4</v>
      </c>
    </row>
    <row r="1791" spans="1:3" x14ac:dyDescent="0.15">
      <c r="A1791" t="s">
        <v>817</v>
      </c>
      <c r="B1791">
        <v>22.627400000000002</v>
      </c>
      <c r="C1791">
        <v>5.7438200000000002E-4</v>
      </c>
    </row>
    <row r="1792" spans="1:3" x14ac:dyDescent="0.15">
      <c r="A1792" t="s">
        <v>817</v>
      </c>
      <c r="B1792">
        <v>32</v>
      </c>
      <c r="C1792">
        <v>4.2695100000000001E-4</v>
      </c>
    </row>
    <row r="1793" spans="1:3" x14ac:dyDescent="0.15">
      <c r="A1793" t="s">
        <v>817</v>
      </c>
      <c r="B1793">
        <v>45.254800000000003</v>
      </c>
      <c r="C1793">
        <v>4.4798800000000002E-4</v>
      </c>
    </row>
    <row r="1794" spans="1:3" x14ac:dyDescent="0.15">
      <c r="A1794" t="s">
        <v>817</v>
      </c>
      <c r="B1794">
        <v>64</v>
      </c>
      <c r="C1794">
        <v>5.1568899999999995E-4</v>
      </c>
    </row>
    <row r="1795" spans="1:3" x14ac:dyDescent="0.15">
      <c r="A1795" t="s">
        <v>817</v>
      </c>
      <c r="B1795">
        <v>90.509699999999995</v>
      </c>
      <c r="C1795">
        <v>7.0251500000000002E-4</v>
      </c>
    </row>
    <row r="1796" spans="1:3" x14ac:dyDescent="0.15">
      <c r="A1796" t="s">
        <v>817</v>
      </c>
      <c r="B1796">
        <v>128</v>
      </c>
      <c r="C1796">
        <v>7.4289600000000005E-4</v>
      </c>
    </row>
    <row r="1797" spans="1:3" x14ac:dyDescent="0.15">
      <c r="A1797" t="s">
        <v>817</v>
      </c>
      <c r="B1797">
        <v>181.01929999999999</v>
      </c>
      <c r="C1797">
        <v>3.7936600000000001E-4</v>
      </c>
    </row>
    <row r="1798" spans="1:3" x14ac:dyDescent="0.15">
      <c r="A1798" t="s">
        <v>817</v>
      </c>
      <c r="B1798">
        <v>256</v>
      </c>
      <c r="C1798">
        <v>5.8236999999999998E-5</v>
      </c>
    </row>
    <row r="1799" spans="1:3" x14ac:dyDescent="0.15">
      <c r="A1799" t="s">
        <v>817</v>
      </c>
      <c r="B1799">
        <v>362.03870000000001</v>
      </c>
      <c r="C1799">
        <v>1.0860000000000001E-6</v>
      </c>
    </row>
    <row r="1800" spans="1:3" x14ac:dyDescent="0.15">
      <c r="A1800" t="s">
        <v>817</v>
      </c>
      <c r="B1800">
        <v>512</v>
      </c>
      <c r="C1800">
        <v>1.0000000000000001E-9</v>
      </c>
    </row>
    <row r="1801" spans="1:3" x14ac:dyDescent="0.15">
      <c r="A1801" t="s">
        <v>817</v>
      </c>
      <c r="B1801">
        <v>724.07730000000004</v>
      </c>
      <c r="C1801">
        <v>0</v>
      </c>
    </row>
    <row r="1802" spans="1:3" x14ac:dyDescent="0.15">
      <c r="A1802" t="s">
        <v>818</v>
      </c>
      <c r="B1802">
        <v>2</v>
      </c>
      <c r="C1802">
        <v>1.041417E-3</v>
      </c>
    </row>
    <row r="1803" spans="1:3" x14ac:dyDescent="0.15">
      <c r="A1803" t="s">
        <v>818</v>
      </c>
      <c r="B1803">
        <v>2.8283999999999998</v>
      </c>
      <c r="C1803">
        <v>1.0441599999999999E-3</v>
      </c>
    </row>
    <row r="1804" spans="1:3" x14ac:dyDescent="0.15">
      <c r="A1804" t="s">
        <v>818</v>
      </c>
      <c r="B1804">
        <v>4</v>
      </c>
      <c r="C1804">
        <v>9.0198700000000004E-4</v>
      </c>
    </row>
    <row r="1805" spans="1:3" x14ac:dyDescent="0.15">
      <c r="A1805" t="s">
        <v>818</v>
      </c>
      <c r="B1805">
        <v>5.6569000000000003</v>
      </c>
      <c r="C1805">
        <v>7.7970199999999996E-4</v>
      </c>
    </row>
    <row r="1806" spans="1:3" x14ac:dyDescent="0.15">
      <c r="A1806" t="s">
        <v>818</v>
      </c>
      <c r="B1806">
        <v>8</v>
      </c>
      <c r="C1806">
        <v>7.1444499999999997E-4</v>
      </c>
    </row>
    <row r="1807" spans="1:3" x14ac:dyDescent="0.15">
      <c r="A1807" t="s">
        <v>818</v>
      </c>
      <c r="B1807">
        <v>11.313700000000001</v>
      </c>
      <c r="C1807">
        <v>6.8173500000000004E-4</v>
      </c>
    </row>
    <row r="1808" spans="1:3" x14ac:dyDescent="0.15">
      <c r="A1808" t="s">
        <v>818</v>
      </c>
      <c r="B1808">
        <v>16</v>
      </c>
      <c r="C1808">
        <v>6.8499499999999998E-4</v>
      </c>
    </row>
    <row r="1809" spans="1:3" x14ac:dyDescent="0.15">
      <c r="A1809" t="s">
        <v>818</v>
      </c>
      <c r="B1809">
        <v>22.627400000000002</v>
      </c>
      <c r="C1809">
        <v>6.7304099999999998E-4</v>
      </c>
    </row>
    <row r="1810" spans="1:3" x14ac:dyDescent="0.15">
      <c r="A1810" t="s">
        <v>818</v>
      </c>
      <c r="B1810">
        <v>32</v>
      </c>
      <c r="C1810">
        <v>5.2886899999999995E-4</v>
      </c>
    </row>
    <row r="1811" spans="1:3" x14ac:dyDescent="0.15">
      <c r="A1811" t="s">
        <v>818</v>
      </c>
      <c r="B1811">
        <v>45.254800000000003</v>
      </c>
      <c r="C1811">
        <v>3.40274E-4</v>
      </c>
    </row>
    <row r="1812" spans="1:3" x14ac:dyDescent="0.15">
      <c r="A1812" t="s">
        <v>818</v>
      </c>
      <c r="B1812">
        <v>64</v>
      </c>
      <c r="C1812">
        <v>3.3098699999999998E-4</v>
      </c>
    </row>
    <row r="1813" spans="1:3" x14ac:dyDescent="0.15">
      <c r="A1813" t="s">
        <v>818</v>
      </c>
      <c r="B1813">
        <v>90.509699999999995</v>
      </c>
      <c r="C1813">
        <v>4.0633999999999999E-4</v>
      </c>
    </row>
    <row r="1814" spans="1:3" x14ac:dyDescent="0.15">
      <c r="A1814" t="s">
        <v>818</v>
      </c>
      <c r="B1814">
        <v>128</v>
      </c>
      <c r="C1814">
        <v>4.0206299999999998E-4</v>
      </c>
    </row>
    <row r="1815" spans="1:3" x14ac:dyDescent="0.15">
      <c r="A1815" t="s">
        <v>818</v>
      </c>
      <c r="B1815">
        <v>181.01929999999999</v>
      </c>
      <c r="C1815">
        <v>2.0382700000000001E-4</v>
      </c>
    </row>
    <row r="1816" spans="1:3" x14ac:dyDescent="0.15">
      <c r="A1816" t="s">
        <v>818</v>
      </c>
      <c r="B1816">
        <v>256</v>
      </c>
      <c r="C1816">
        <v>3.1322000000000003E-5</v>
      </c>
    </row>
    <row r="1817" spans="1:3" x14ac:dyDescent="0.15">
      <c r="A1817" t="s">
        <v>818</v>
      </c>
      <c r="B1817">
        <v>362.03870000000001</v>
      </c>
      <c r="C1817">
        <v>5.8400000000000004E-7</v>
      </c>
    </row>
    <row r="1818" spans="1:3" x14ac:dyDescent="0.15">
      <c r="A1818" t="s">
        <v>818</v>
      </c>
      <c r="B1818">
        <v>512</v>
      </c>
      <c r="C1818">
        <v>1.0000000000000001E-9</v>
      </c>
    </row>
    <row r="1819" spans="1:3" x14ac:dyDescent="0.15">
      <c r="A1819" t="s">
        <v>818</v>
      </c>
      <c r="B1819">
        <v>724.07730000000004</v>
      </c>
      <c r="C1819">
        <v>0</v>
      </c>
    </row>
    <row r="1820" spans="1:3" x14ac:dyDescent="0.15">
      <c r="A1820" t="s">
        <v>819</v>
      </c>
      <c r="B1820">
        <v>2</v>
      </c>
      <c r="C1820">
        <v>1.154747E-3</v>
      </c>
    </row>
    <row r="1821" spans="1:3" x14ac:dyDescent="0.15">
      <c r="A1821" t="s">
        <v>819</v>
      </c>
      <c r="B1821">
        <v>2.8283999999999998</v>
      </c>
      <c r="C1821">
        <v>1.281173E-3</v>
      </c>
    </row>
    <row r="1822" spans="1:3" x14ac:dyDescent="0.15">
      <c r="A1822" t="s">
        <v>819</v>
      </c>
      <c r="B1822">
        <v>4</v>
      </c>
      <c r="C1822">
        <v>1.3273919999999999E-3</v>
      </c>
    </row>
    <row r="1823" spans="1:3" x14ac:dyDescent="0.15">
      <c r="A1823" t="s">
        <v>819</v>
      </c>
      <c r="B1823">
        <v>5.6569000000000003</v>
      </c>
      <c r="C1823">
        <v>1.348321E-3</v>
      </c>
    </row>
    <row r="1824" spans="1:3" x14ac:dyDescent="0.15">
      <c r="A1824" t="s">
        <v>819</v>
      </c>
      <c r="B1824">
        <v>8</v>
      </c>
      <c r="C1824">
        <v>1.338442E-3</v>
      </c>
    </row>
    <row r="1825" spans="1:3" x14ac:dyDescent="0.15">
      <c r="A1825" t="s">
        <v>819</v>
      </c>
      <c r="B1825">
        <v>11.313700000000001</v>
      </c>
      <c r="C1825">
        <v>1.281333E-3</v>
      </c>
    </row>
    <row r="1826" spans="1:3" x14ac:dyDescent="0.15">
      <c r="A1826" t="s">
        <v>819</v>
      </c>
      <c r="B1826">
        <v>16</v>
      </c>
      <c r="C1826">
        <v>1.060592E-3</v>
      </c>
    </row>
    <row r="1827" spans="1:3" x14ac:dyDescent="0.15">
      <c r="A1827" t="s">
        <v>819</v>
      </c>
      <c r="B1827">
        <v>22.627400000000002</v>
      </c>
      <c r="C1827">
        <v>8.7404400000000004E-4</v>
      </c>
    </row>
    <row r="1828" spans="1:3" x14ac:dyDescent="0.15">
      <c r="A1828" t="s">
        <v>819</v>
      </c>
      <c r="B1828">
        <v>32</v>
      </c>
      <c r="C1828">
        <v>9.19089E-4</v>
      </c>
    </row>
    <row r="1829" spans="1:3" x14ac:dyDescent="0.15">
      <c r="A1829" t="s">
        <v>819</v>
      </c>
      <c r="B1829">
        <v>45.254800000000003</v>
      </c>
      <c r="C1829">
        <v>9.4159400000000002E-4</v>
      </c>
    </row>
    <row r="1830" spans="1:3" x14ac:dyDescent="0.15">
      <c r="A1830" t="s">
        <v>819</v>
      </c>
      <c r="B1830">
        <v>64</v>
      </c>
      <c r="C1830">
        <v>9.7004700000000003E-4</v>
      </c>
    </row>
    <row r="1831" spans="1:3" x14ac:dyDescent="0.15">
      <c r="A1831" t="s">
        <v>819</v>
      </c>
      <c r="B1831">
        <v>90.509699999999995</v>
      </c>
      <c r="C1831">
        <v>7.1477900000000002E-4</v>
      </c>
    </row>
    <row r="1832" spans="1:3" x14ac:dyDescent="0.15">
      <c r="A1832" t="s">
        <v>819</v>
      </c>
      <c r="B1832">
        <v>128</v>
      </c>
      <c r="C1832">
        <v>4.2028200000000001E-4</v>
      </c>
    </row>
    <row r="1833" spans="1:3" x14ac:dyDescent="0.15">
      <c r="A1833" t="s">
        <v>819</v>
      </c>
      <c r="B1833">
        <v>181.01929999999999</v>
      </c>
      <c r="C1833">
        <v>1.92499E-4</v>
      </c>
    </row>
    <row r="1834" spans="1:3" x14ac:dyDescent="0.15">
      <c r="A1834" t="s">
        <v>819</v>
      </c>
      <c r="B1834">
        <v>256</v>
      </c>
      <c r="C1834">
        <v>2.9314000000000001E-5</v>
      </c>
    </row>
    <row r="1835" spans="1:3" x14ac:dyDescent="0.15">
      <c r="A1835" t="s">
        <v>819</v>
      </c>
      <c r="B1835">
        <v>362.03870000000001</v>
      </c>
      <c r="C1835">
        <v>5.4600000000000005E-7</v>
      </c>
    </row>
    <row r="1836" spans="1:3" x14ac:dyDescent="0.15">
      <c r="A1836" t="s">
        <v>819</v>
      </c>
      <c r="B1836">
        <v>512</v>
      </c>
      <c r="C1836">
        <v>0</v>
      </c>
    </row>
    <row r="1837" spans="1:3" x14ac:dyDescent="0.15">
      <c r="A1837" t="s">
        <v>819</v>
      </c>
      <c r="B1837">
        <v>724.07730000000004</v>
      </c>
      <c r="C1837">
        <v>0</v>
      </c>
    </row>
    <row r="1838" spans="1:3" x14ac:dyDescent="0.15">
      <c r="A1838" t="s">
        <v>820</v>
      </c>
      <c r="B1838">
        <v>2</v>
      </c>
      <c r="C1838">
        <v>8.5801300000000003E-4</v>
      </c>
    </row>
    <row r="1839" spans="1:3" x14ac:dyDescent="0.15">
      <c r="A1839" t="s">
        <v>820</v>
      </c>
      <c r="B1839">
        <v>2.8283999999999998</v>
      </c>
      <c r="C1839">
        <v>1.044278E-3</v>
      </c>
    </row>
    <row r="1840" spans="1:3" x14ac:dyDescent="0.15">
      <c r="A1840" t="s">
        <v>820</v>
      </c>
      <c r="B1840">
        <v>4</v>
      </c>
      <c r="C1840">
        <v>1.298481E-3</v>
      </c>
    </row>
    <row r="1841" spans="1:3" x14ac:dyDescent="0.15">
      <c r="A1841" t="s">
        <v>820</v>
      </c>
      <c r="B1841">
        <v>5.6569000000000003</v>
      </c>
      <c r="C1841">
        <v>1.488708E-3</v>
      </c>
    </row>
    <row r="1842" spans="1:3" x14ac:dyDescent="0.15">
      <c r="A1842" t="s">
        <v>820</v>
      </c>
      <c r="B1842">
        <v>8</v>
      </c>
      <c r="C1842">
        <v>1.538649E-3</v>
      </c>
    </row>
    <row r="1843" spans="1:3" x14ac:dyDescent="0.15">
      <c r="A1843" t="s">
        <v>820</v>
      </c>
      <c r="B1843">
        <v>11.313700000000001</v>
      </c>
      <c r="C1843">
        <v>1.2472480000000001E-3</v>
      </c>
    </row>
    <row r="1844" spans="1:3" x14ac:dyDescent="0.15">
      <c r="A1844" t="s">
        <v>820</v>
      </c>
      <c r="B1844">
        <v>16</v>
      </c>
      <c r="C1844">
        <v>6.7224199999999998E-4</v>
      </c>
    </row>
    <row r="1845" spans="1:3" x14ac:dyDescent="0.15">
      <c r="A1845" t="s">
        <v>820</v>
      </c>
      <c r="B1845">
        <v>22.627400000000002</v>
      </c>
      <c r="C1845">
        <v>5.2566899999999998E-4</v>
      </c>
    </row>
    <row r="1846" spans="1:3" x14ac:dyDescent="0.15">
      <c r="A1846" t="s">
        <v>820</v>
      </c>
      <c r="B1846">
        <v>32</v>
      </c>
      <c r="C1846">
        <v>6.06435E-4</v>
      </c>
    </row>
    <row r="1847" spans="1:3" x14ac:dyDescent="0.15">
      <c r="A1847" t="s">
        <v>820</v>
      </c>
      <c r="B1847">
        <v>45.254800000000003</v>
      </c>
      <c r="C1847">
        <v>8.36865E-4</v>
      </c>
    </row>
    <row r="1848" spans="1:3" x14ac:dyDescent="0.15">
      <c r="A1848" t="s">
        <v>820</v>
      </c>
      <c r="B1848">
        <v>64</v>
      </c>
      <c r="C1848">
        <v>1.322759E-3</v>
      </c>
    </row>
    <row r="1849" spans="1:3" x14ac:dyDescent="0.15">
      <c r="A1849" t="s">
        <v>820</v>
      </c>
      <c r="B1849">
        <v>90.509699999999995</v>
      </c>
      <c r="C1849">
        <v>1.9067369999999999E-3</v>
      </c>
    </row>
    <row r="1850" spans="1:3" x14ac:dyDescent="0.15">
      <c r="A1850" t="s">
        <v>820</v>
      </c>
      <c r="B1850">
        <v>128</v>
      </c>
      <c r="C1850">
        <v>1.9048520000000001E-3</v>
      </c>
    </row>
    <row r="1851" spans="1:3" x14ac:dyDescent="0.15">
      <c r="A1851" t="s">
        <v>820</v>
      </c>
      <c r="B1851">
        <v>181.01929999999999</v>
      </c>
      <c r="C1851">
        <v>9.6126200000000005E-4</v>
      </c>
    </row>
    <row r="1852" spans="1:3" x14ac:dyDescent="0.15">
      <c r="A1852" t="s">
        <v>820</v>
      </c>
      <c r="B1852">
        <v>256</v>
      </c>
      <c r="C1852">
        <v>1.4759300000000001E-4</v>
      </c>
    </row>
    <row r="1853" spans="1:3" x14ac:dyDescent="0.15">
      <c r="A1853" t="s">
        <v>820</v>
      </c>
      <c r="B1853">
        <v>362.03870000000001</v>
      </c>
      <c r="C1853">
        <v>2.7520000000000001E-6</v>
      </c>
    </row>
    <row r="1854" spans="1:3" x14ac:dyDescent="0.15">
      <c r="A1854" t="s">
        <v>820</v>
      </c>
      <c r="B1854">
        <v>512</v>
      </c>
      <c r="C1854">
        <v>2.0000000000000001E-9</v>
      </c>
    </row>
    <row r="1855" spans="1:3" x14ac:dyDescent="0.15">
      <c r="A1855" t="s">
        <v>820</v>
      </c>
      <c r="B1855">
        <v>724.07730000000004</v>
      </c>
      <c r="C1855">
        <v>0</v>
      </c>
    </row>
    <row r="1856" spans="1:3" x14ac:dyDescent="0.15">
      <c r="A1856" t="s">
        <v>471</v>
      </c>
      <c r="B1856">
        <v>2</v>
      </c>
      <c r="C1856">
        <v>1.715521E-3</v>
      </c>
    </row>
    <row r="1857" spans="1:3" x14ac:dyDescent="0.15">
      <c r="A1857" t="s">
        <v>471</v>
      </c>
      <c r="B1857">
        <v>2.8283999999999998</v>
      </c>
      <c r="C1857">
        <v>1.792517E-3</v>
      </c>
    </row>
    <row r="1858" spans="1:3" x14ac:dyDescent="0.15">
      <c r="A1858" t="s">
        <v>471</v>
      </c>
      <c r="B1858">
        <v>4</v>
      </c>
      <c r="C1858">
        <v>1.809869E-3</v>
      </c>
    </row>
    <row r="1859" spans="1:3" x14ac:dyDescent="0.15">
      <c r="A1859" t="s">
        <v>471</v>
      </c>
      <c r="B1859">
        <v>5.6569000000000003</v>
      </c>
      <c r="C1859">
        <v>1.707821E-3</v>
      </c>
    </row>
    <row r="1860" spans="1:3" x14ac:dyDescent="0.15">
      <c r="A1860" t="s">
        <v>471</v>
      </c>
      <c r="B1860">
        <v>8</v>
      </c>
      <c r="C1860">
        <v>1.4605340000000001E-3</v>
      </c>
    </row>
    <row r="1861" spans="1:3" x14ac:dyDescent="0.15">
      <c r="A1861" t="s">
        <v>471</v>
      </c>
      <c r="B1861">
        <v>11.313700000000001</v>
      </c>
      <c r="C1861">
        <v>1.1068930000000001E-3</v>
      </c>
    </row>
    <row r="1862" spans="1:3" x14ac:dyDescent="0.15">
      <c r="A1862" t="s">
        <v>471</v>
      </c>
      <c r="B1862">
        <v>16</v>
      </c>
      <c r="C1862">
        <v>8.6577799999999999E-4</v>
      </c>
    </row>
    <row r="1863" spans="1:3" x14ac:dyDescent="0.15">
      <c r="A1863" t="s">
        <v>471</v>
      </c>
      <c r="B1863">
        <v>22.627400000000002</v>
      </c>
      <c r="C1863">
        <v>6.2258799999999998E-4</v>
      </c>
    </row>
    <row r="1864" spans="1:3" x14ac:dyDescent="0.15">
      <c r="A1864" t="s">
        <v>471</v>
      </c>
      <c r="B1864">
        <v>32</v>
      </c>
      <c r="C1864">
        <v>5.50294E-4</v>
      </c>
    </row>
    <row r="1865" spans="1:3" x14ac:dyDescent="0.15">
      <c r="A1865" t="s">
        <v>471</v>
      </c>
      <c r="B1865">
        <v>45.254800000000003</v>
      </c>
      <c r="C1865">
        <v>7.4002900000000001E-4</v>
      </c>
    </row>
    <row r="1866" spans="1:3" x14ac:dyDescent="0.15">
      <c r="A1866" t="s">
        <v>471</v>
      </c>
      <c r="B1866">
        <v>64</v>
      </c>
      <c r="C1866">
        <v>9.03217E-4</v>
      </c>
    </row>
    <row r="1867" spans="1:3" x14ac:dyDescent="0.15">
      <c r="A1867" t="s">
        <v>471</v>
      </c>
      <c r="B1867">
        <v>90.509699999999995</v>
      </c>
      <c r="C1867">
        <v>7.4308399999999998E-4</v>
      </c>
    </row>
    <row r="1868" spans="1:3" x14ac:dyDescent="0.15">
      <c r="A1868" t="s">
        <v>471</v>
      </c>
      <c r="B1868">
        <v>128</v>
      </c>
      <c r="C1868">
        <v>4.7593100000000002E-4</v>
      </c>
    </row>
    <row r="1869" spans="1:3" x14ac:dyDescent="0.15">
      <c r="A1869" t="s">
        <v>471</v>
      </c>
      <c r="B1869">
        <v>181.01929999999999</v>
      </c>
      <c r="C1869">
        <v>2.19309E-4</v>
      </c>
    </row>
    <row r="1870" spans="1:3" x14ac:dyDescent="0.15">
      <c r="A1870" t="s">
        <v>471</v>
      </c>
      <c r="B1870">
        <v>256</v>
      </c>
      <c r="C1870">
        <v>3.3552E-5</v>
      </c>
    </row>
    <row r="1871" spans="1:3" x14ac:dyDescent="0.15">
      <c r="A1871" t="s">
        <v>471</v>
      </c>
      <c r="B1871">
        <v>362.03870000000001</v>
      </c>
      <c r="C1871">
        <v>6.2600000000000002E-7</v>
      </c>
    </row>
    <row r="1872" spans="1:3" x14ac:dyDescent="0.15">
      <c r="A1872" t="s">
        <v>471</v>
      </c>
      <c r="B1872">
        <v>512</v>
      </c>
      <c r="C1872">
        <v>1.0000000000000001E-9</v>
      </c>
    </row>
    <row r="1873" spans="1:3" x14ac:dyDescent="0.15">
      <c r="A1873" t="s">
        <v>471</v>
      </c>
      <c r="B1873">
        <v>724.07730000000004</v>
      </c>
      <c r="C1873">
        <v>0</v>
      </c>
    </row>
    <row r="1874" spans="1:3" x14ac:dyDescent="0.15">
      <c r="A1874" t="s">
        <v>821</v>
      </c>
      <c r="B1874">
        <v>2</v>
      </c>
      <c r="C1874">
        <v>1.3561160000000001E-3</v>
      </c>
    </row>
    <row r="1875" spans="1:3" x14ac:dyDescent="0.15">
      <c r="A1875" t="s">
        <v>821</v>
      </c>
      <c r="B1875">
        <v>2.8283999999999998</v>
      </c>
      <c r="C1875">
        <v>1.606098E-3</v>
      </c>
    </row>
    <row r="1876" spans="1:3" x14ac:dyDescent="0.15">
      <c r="A1876" t="s">
        <v>821</v>
      </c>
      <c r="B1876">
        <v>4</v>
      </c>
      <c r="C1876">
        <v>1.6199319999999999E-3</v>
      </c>
    </row>
    <row r="1877" spans="1:3" x14ac:dyDescent="0.15">
      <c r="A1877" t="s">
        <v>821</v>
      </c>
      <c r="B1877">
        <v>5.6569000000000003</v>
      </c>
      <c r="C1877">
        <v>1.4414790000000001E-3</v>
      </c>
    </row>
    <row r="1878" spans="1:3" x14ac:dyDescent="0.15">
      <c r="A1878" t="s">
        <v>821</v>
      </c>
      <c r="B1878">
        <v>8</v>
      </c>
      <c r="C1878">
        <v>1.279692E-3</v>
      </c>
    </row>
    <row r="1879" spans="1:3" x14ac:dyDescent="0.15">
      <c r="A1879" t="s">
        <v>821</v>
      </c>
      <c r="B1879">
        <v>11.313700000000001</v>
      </c>
      <c r="C1879">
        <v>1.2043819999999999E-3</v>
      </c>
    </row>
    <row r="1880" spans="1:3" x14ac:dyDescent="0.15">
      <c r="A1880" t="s">
        <v>821</v>
      </c>
      <c r="B1880">
        <v>16</v>
      </c>
      <c r="C1880">
        <v>1.1158990000000001E-3</v>
      </c>
    </row>
    <row r="1881" spans="1:3" x14ac:dyDescent="0.15">
      <c r="A1881" t="s">
        <v>821</v>
      </c>
      <c r="B1881">
        <v>22.627400000000002</v>
      </c>
      <c r="C1881">
        <v>9.8182099999999991E-4</v>
      </c>
    </row>
    <row r="1882" spans="1:3" x14ac:dyDescent="0.15">
      <c r="A1882" t="s">
        <v>821</v>
      </c>
      <c r="B1882">
        <v>32</v>
      </c>
      <c r="C1882">
        <v>8.7913599999999998E-4</v>
      </c>
    </row>
    <row r="1883" spans="1:3" x14ac:dyDescent="0.15">
      <c r="A1883" t="s">
        <v>821</v>
      </c>
      <c r="B1883">
        <v>45.254800000000003</v>
      </c>
      <c r="C1883">
        <v>5.7706299999999995E-4</v>
      </c>
    </row>
    <row r="1884" spans="1:3" x14ac:dyDescent="0.15">
      <c r="A1884" t="s">
        <v>821</v>
      </c>
      <c r="B1884">
        <v>64</v>
      </c>
      <c r="C1884">
        <v>2.8654599999999999E-4</v>
      </c>
    </row>
    <row r="1885" spans="1:3" x14ac:dyDescent="0.15">
      <c r="A1885" t="s">
        <v>821</v>
      </c>
      <c r="B1885">
        <v>90.509699999999995</v>
      </c>
      <c r="C1885">
        <v>3.6524600000000001E-4</v>
      </c>
    </row>
    <row r="1886" spans="1:3" x14ac:dyDescent="0.15">
      <c r="A1886" t="s">
        <v>821</v>
      </c>
      <c r="B1886">
        <v>128</v>
      </c>
      <c r="C1886">
        <v>3.9602700000000002E-4</v>
      </c>
    </row>
    <row r="1887" spans="1:3" x14ac:dyDescent="0.15">
      <c r="A1887" t="s">
        <v>821</v>
      </c>
      <c r="B1887">
        <v>181.01929999999999</v>
      </c>
      <c r="C1887">
        <v>2.0368200000000001E-4</v>
      </c>
    </row>
    <row r="1888" spans="1:3" x14ac:dyDescent="0.15">
      <c r="A1888" t="s">
        <v>821</v>
      </c>
      <c r="B1888">
        <v>256</v>
      </c>
      <c r="C1888">
        <v>3.1293E-5</v>
      </c>
    </row>
    <row r="1889" spans="1:3" x14ac:dyDescent="0.15">
      <c r="A1889" t="s">
        <v>821</v>
      </c>
      <c r="B1889">
        <v>362.03870000000001</v>
      </c>
      <c r="C1889">
        <v>5.8400000000000004E-7</v>
      </c>
    </row>
    <row r="1890" spans="1:3" x14ac:dyDescent="0.15">
      <c r="A1890" t="s">
        <v>821</v>
      </c>
      <c r="B1890">
        <v>512</v>
      </c>
      <c r="C1890">
        <v>0</v>
      </c>
    </row>
    <row r="1891" spans="1:3" x14ac:dyDescent="0.15">
      <c r="A1891" t="s">
        <v>821</v>
      </c>
      <c r="B1891">
        <v>724.07730000000004</v>
      </c>
      <c r="C1891">
        <v>0</v>
      </c>
    </row>
    <row r="1892" spans="1:3" x14ac:dyDescent="0.15">
      <c r="A1892" t="s">
        <v>822</v>
      </c>
      <c r="B1892">
        <v>2</v>
      </c>
      <c r="C1892">
        <v>4.03662E-4</v>
      </c>
    </row>
    <row r="1893" spans="1:3" x14ac:dyDescent="0.15">
      <c r="A1893" t="s">
        <v>822</v>
      </c>
      <c r="B1893">
        <v>2.8283999999999998</v>
      </c>
      <c r="C1893">
        <v>4.50011E-4</v>
      </c>
    </row>
    <row r="1894" spans="1:3" x14ac:dyDescent="0.15">
      <c r="A1894" t="s">
        <v>822</v>
      </c>
      <c r="B1894">
        <v>4</v>
      </c>
      <c r="C1894">
        <v>4.9783300000000004E-4</v>
      </c>
    </row>
    <row r="1895" spans="1:3" x14ac:dyDescent="0.15">
      <c r="A1895" t="s">
        <v>822</v>
      </c>
      <c r="B1895">
        <v>5.6569000000000003</v>
      </c>
      <c r="C1895">
        <v>5.3002500000000005E-4</v>
      </c>
    </row>
    <row r="1896" spans="1:3" x14ac:dyDescent="0.15">
      <c r="A1896" t="s">
        <v>822</v>
      </c>
      <c r="B1896">
        <v>8</v>
      </c>
      <c r="C1896">
        <v>5.2581700000000004E-4</v>
      </c>
    </row>
    <row r="1897" spans="1:3" x14ac:dyDescent="0.15">
      <c r="A1897" t="s">
        <v>822</v>
      </c>
      <c r="B1897">
        <v>11.313700000000001</v>
      </c>
      <c r="C1897">
        <v>4.5496099999999998E-4</v>
      </c>
    </row>
    <row r="1898" spans="1:3" x14ac:dyDescent="0.15">
      <c r="A1898" t="s">
        <v>822</v>
      </c>
      <c r="B1898">
        <v>16</v>
      </c>
      <c r="C1898">
        <v>3.4219300000000002E-4</v>
      </c>
    </row>
    <row r="1899" spans="1:3" x14ac:dyDescent="0.15">
      <c r="A1899" t="s">
        <v>822</v>
      </c>
      <c r="B1899">
        <v>22.627400000000002</v>
      </c>
      <c r="C1899">
        <v>2.2189599999999999E-4</v>
      </c>
    </row>
    <row r="1900" spans="1:3" x14ac:dyDescent="0.15">
      <c r="A1900" t="s">
        <v>822</v>
      </c>
      <c r="B1900">
        <v>32</v>
      </c>
      <c r="C1900">
        <v>1.20191E-4</v>
      </c>
    </row>
    <row r="1901" spans="1:3" x14ac:dyDescent="0.15">
      <c r="A1901" t="s">
        <v>822</v>
      </c>
      <c r="B1901">
        <v>45.254800000000003</v>
      </c>
      <c r="C1901">
        <v>7.3530999999999998E-5</v>
      </c>
    </row>
    <row r="1902" spans="1:3" x14ac:dyDescent="0.15">
      <c r="A1902" t="s">
        <v>822</v>
      </c>
      <c r="B1902">
        <v>64</v>
      </c>
      <c r="C1902">
        <v>6.0718999999999999E-5</v>
      </c>
    </row>
    <row r="1903" spans="1:3" x14ac:dyDescent="0.15">
      <c r="A1903" t="s">
        <v>822</v>
      </c>
      <c r="B1903">
        <v>90.509699999999995</v>
      </c>
      <c r="C1903">
        <v>5.9137E-5</v>
      </c>
    </row>
    <row r="1904" spans="1:3" x14ac:dyDescent="0.15">
      <c r="A1904" t="s">
        <v>822</v>
      </c>
      <c r="B1904">
        <v>128</v>
      </c>
      <c r="C1904">
        <v>5.0846000000000001E-5</v>
      </c>
    </row>
    <row r="1905" spans="1:3" x14ac:dyDescent="0.15">
      <c r="A1905" t="s">
        <v>822</v>
      </c>
      <c r="B1905">
        <v>181.01929999999999</v>
      </c>
      <c r="C1905">
        <v>2.6145000000000001E-5</v>
      </c>
    </row>
    <row r="1906" spans="1:3" x14ac:dyDescent="0.15">
      <c r="A1906" t="s">
        <v>822</v>
      </c>
      <c r="B1906">
        <v>256</v>
      </c>
      <c r="C1906">
        <v>4.0999999999999997E-6</v>
      </c>
    </row>
    <row r="1907" spans="1:3" x14ac:dyDescent="0.15">
      <c r="A1907" t="s">
        <v>822</v>
      </c>
      <c r="B1907">
        <v>362.03870000000001</v>
      </c>
      <c r="C1907">
        <v>7.7000000000000001E-8</v>
      </c>
    </row>
    <row r="1908" spans="1:3" x14ac:dyDescent="0.15">
      <c r="A1908" t="s">
        <v>822</v>
      </c>
      <c r="B1908">
        <v>512</v>
      </c>
      <c r="C1908">
        <v>0</v>
      </c>
    </row>
    <row r="1909" spans="1:3" x14ac:dyDescent="0.15">
      <c r="A1909" t="s">
        <v>822</v>
      </c>
      <c r="B1909">
        <v>724.07730000000004</v>
      </c>
      <c r="C1909">
        <v>0</v>
      </c>
    </row>
    <row r="1910" spans="1:3" x14ac:dyDescent="0.15">
      <c r="A1910" t="s">
        <v>836</v>
      </c>
      <c r="B1910">
        <v>2</v>
      </c>
      <c r="C1910">
        <v>5.9324200000000001E-4</v>
      </c>
    </row>
    <row r="1911" spans="1:3" x14ac:dyDescent="0.15">
      <c r="A1911" t="s">
        <v>836</v>
      </c>
      <c r="B1911">
        <v>2.8283999999999998</v>
      </c>
      <c r="C1911">
        <v>7.6888300000000004E-4</v>
      </c>
    </row>
    <row r="1912" spans="1:3" x14ac:dyDescent="0.15">
      <c r="A1912" t="s">
        <v>836</v>
      </c>
      <c r="B1912">
        <v>4</v>
      </c>
      <c r="C1912">
        <v>9.4761400000000005E-4</v>
      </c>
    </row>
    <row r="1913" spans="1:3" x14ac:dyDescent="0.15">
      <c r="A1913" t="s">
        <v>836</v>
      </c>
      <c r="B1913">
        <v>5.6569000000000003</v>
      </c>
      <c r="C1913">
        <v>9.6335400000000003E-4</v>
      </c>
    </row>
    <row r="1914" spans="1:3" x14ac:dyDescent="0.15">
      <c r="A1914" t="s">
        <v>836</v>
      </c>
      <c r="B1914">
        <v>8</v>
      </c>
      <c r="C1914">
        <v>8.16751E-4</v>
      </c>
    </row>
    <row r="1915" spans="1:3" x14ac:dyDescent="0.15">
      <c r="A1915" t="s">
        <v>836</v>
      </c>
      <c r="B1915">
        <v>11.313700000000001</v>
      </c>
      <c r="C1915">
        <v>7.0142499999999999E-4</v>
      </c>
    </row>
    <row r="1916" spans="1:3" x14ac:dyDescent="0.15">
      <c r="A1916" t="s">
        <v>836</v>
      </c>
      <c r="B1916">
        <v>16</v>
      </c>
      <c r="C1916">
        <v>6.7748299999999999E-4</v>
      </c>
    </row>
    <row r="1917" spans="1:3" x14ac:dyDescent="0.15">
      <c r="A1917" t="s">
        <v>836</v>
      </c>
      <c r="B1917">
        <v>22.627400000000002</v>
      </c>
      <c r="C1917">
        <v>6.55201E-4</v>
      </c>
    </row>
    <row r="1918" spans="1:3" x14ac:dyDescent="0.15">
      <c r="A1918" t="s">
        <v>836</v>
      </c>
      <c r="B1918">
        <v>32</v>
      </c>
      <c r="C1918">
        <v>5.6805699999999996E-4</v>
      </c>
    </row>
    <row r="1919" spans="1:3" x14ac:dyDescent="0.15">
      <c r="A1919" t="s">
        <v>836</v>
      </c>
      <c r="B1919">
        <v>45.254800000000003</v>
      </c>
      <c r="C1919">
        <v>4.1052800000000001E-4</v>
      </c>
    </row>
    <row r="1920" spans="1:3" x14ac:dyDescent="0.15">
      <c r="A1920" t="s">
        <v>836</v>
      </c>
      <c r="B1920">
        <v>64</v>
      </c>
      <c r="C1920">
        <v>3.2086000000000001E-4</v>
      </c>
    </row>
    <row r="1921" spans="1:3" x14ac:dyDescent="0.15">
      <c r="A1921" t="s">
        <v>836</v>
      </c>
      <c r="B1921">
        <v>90.509699999999995</v>
      </c>
      <c r="C1921">
        <v>2.7859400000000001E-4</v>
      </c>
    </row>
    <row r="1922" spans="1:3" x14ac:dyDescent="0.15">
      <c r="A1922" t="s">
        <v>836</v>
      </c>
      <c r="B1922">
        <v>128</v>
      </c>
      <c r="C1922">
        <v>2.4717000000000001E-4</v>
      </c>
    </row>
    <row r="1923" spans="1:3" x14ac:dyDescent="0.15">
      <c r="A1923" t="s">
        <v>836</v>
      </c>
      <c r="B1923">
        <v>181.01929999999999</v>
      </c>
      <c r="C1923">
        <v>1.25446E-4</v>
      </c>
    </row>
    <row r="1924" spans="1:3" x14ac:dyDescent="0.15">
      <c r="A1924" t="s">
        <v>836</v>
      </c>
      <c r="B1924">
        <v>256</v>
      </c>
      <c r="C1924">
        <v>1.9335999999999999E-5</v>
      </c>
    </row>
    <row r="1925" spans="1:3" x14ac:dyDescent="0.15">
      <c r="A1925" t="s">
        <v>836</v>
      </c>
      <c r="B1925">
        <v>362.03870000000001</v>
      </c>
      <c r="C1925">
        <v>3.6100000000000002E-7</v>
      </c>
    </row>
    <row r="1926" spans="1:3" x14ac:dyDescent="0.15">
      <c r="A1926" t="s">
        <v>836</v>
      </c>
      <c r="B1926">
        <v>512</v>
      </c>
      <c r="C1926">
        <v>0</v>
      </c>
    </row>
    <row r="1927" spans="1:3" x14ac:dyDescent="0.15">
      <c r="A1927" t="s">
        <v>836</v>
      </c>
      <c r="B1927">
        <v>724.07730000000004</v>
      </c>
      <c r="C1927">
        <v>0</v>
      </c>
    </row>
    <row r="1928" spans="1:3" x14ac:dyDescent="0.15">
      <c r="A1928" t="s">
        <v>823</v>
      </c>
      <c r="B1928">
        <v>2</v>
      </c>
      <c r="C1928">
        <v>1.4546889999999999E-3</v>
      </c>
    </row>
    <row r="1929" spans="1:3" x14ac:dyDescent="0.15">
      <c r="A1929" t="s">
        <v>823</v>
      </c>
      <c r="B1929">
        <v>2.8283999999999998</v>
      </c>
      <c r="C1929">
        <v>1.639943E-3</v>
      </c>
    </row>
    <row r="1930" spans="1:3" x14ac:dyDescent="0.15">
      <c r="A1930" t="s">
        <v>823</v>
      </c>
      <c r="B1930">
        <v>4</v>
      </c>
      <c r="C1930">
        <v>1.650196E-3</v>
      </c>
    </row>
    <row r="1931" spans="1:3" x14ac:dyDescent="0.15">
      <c r="A1931" t="s">
        <v>823</v>
      </c>
      <c r="B1931">
        <v>5.6569000000000003</v>
      </c>
      <c r="C1931">
        <v>1.4543259999999999E-3</v>
      </c>
    </row>
    <row r="1932" spans="1:3" x14ac:dyDescent="0.15">
      <c r="A1932" t="s">
        <v>823</v>
      </c>
      <c r="B1932">
        <v>8</v>
      </c>
      <c r="C1932">
        <v>1.1137289999999999E-3</v>
      </c>
    </row>
    <row r="1933" spans="1:3" x14ac:dyDescent="0.15">
      <c r="A1933" t="s">
        <v>823</v>
      </c>
      <c r="B1933">
        <v>11.313700000000001</v>
      </c>
      <c r="C1933">
        <v>8.2070400000000001E-4</v>
      </c>
    </row>
    <row r="1934" spans="1:3" x14ac:dyDescent="0.15">
      <c r="A1934" t="s">
        <v>823</v>
      </c>
      <c r="B1934">
        <v>16</v>
      </c>
      <c r="C1934">
        <v>5.8418599999999999E-4</v>
      </c>
    </row>
    <row r="1935" spans="1:3" x14ac:dyDescent="0.15">
      <c r="A1935" t="s">
        <v>823</v>
      </c>
      <c r="B1935">
        <v>22.627400000000002</v>
      </c>
      <c r="C1935">
        <v>3.59451E-4</v>
      </c>
    </row>
    <row r="1936" spans="1:3" x14ac:dyDescent="0.15">
      <c r="A1936" t="s">
        <v>823</v>
      </c>
      <c r="B1936">
        <v>32</v>
      </c>
      <c r="C1936">
        <v>4.0887600000000002E-4</v>
      </c>
    </row>
    <row r="1937" spans="1:3" x14ac:dyDescent="0.15">
      <c r="A1937" t="s">
        <v>823</v>
      </c>
      <c r="B1937">
        <v>45.254800000000003</v>
      </c>
      <c r="C1937">
        <v>5.9020800000000005E-4</v>
      </c>
    </row>
    <row r="1938" spans="1:3" x14ac:dyDescent="0.15">
      <c r="A1938" t="s">
        <v>823</v>
      </c>
      <c r="B1938">
        <v>64</v>
      </c>
      <c r="C1938">
        <v>7.2735599999999997E-4</v>
      </c>
    </row>
    <row r="1939" spans="1:3" x14ac:dyDescent="0.15">
      <c r="A1939" t="s">
        <v>823</v>
      </c>
      <c r="B1939">
        <v>90.509699999999995</v>
      </c>
      <c r="C1939">
        <v>7.4614899999999999E-4</v>
      </c>
    </row>
    <row r="1940" spans="1:3" x14ac:dyDescent="0.15">
      <c r="A1940" t="s">
        <v>823</v>
      </c>
      <c r="B1940">
        <v>128</v>
      </c>
      <c r="C1940">
        <v>6.2339600000000002E-4</v>
      </c>
    </row>
    <row r="1941" spans="1:3" x14ac:dyDescent="0.15">
      <c r="A1941" t="s">
        <v>823</v>
      </c>
      <c r="B1941">
        <v>181.01929999999999</v>
      </c>
      <c r="C1941">
        <v>3.0654400000000001E-4</v>
      </c>
    </row>
    <row r="1942" spans="1:3" x14ac:dyDescent="0.15">
      <c r="A1942" t="s">
        <v>823</v>
      </c>
      <c r="B1942">
        <v>256</v>
      </c>
      <c r="C1942">
        <v>4.7169000000000002E-5</v>
      </c>
    </row>
    <row r="1943" spans="1:3" x14ac:dyDescent="0.15">
      <c r="A1943" t="s">
        <v>823</v>
      </c>
      <c r="B1943">
        <v>362.03870000000001</v>
      </c>
      <c r="C1943">
        <v>8.8000000000000004E-7</v>
      </c>
    </row>
    <row r="1944" spans="1:3" x14ac:dyDescent="0.15">
      <c r="A1944" t="s">
        <v>823</v>
      </c>
      <c r="B1944">
        <v>512</v>
      </c>
      <c r="C1944">
        <v>0</v>
      </c>
    </row>
    <row r="1945" spans="1:3" x14ac:dyDescent="0.15">
      <c r="A1945" t="s">
        <v>823</v>
      </c>
      <c r="B1945">
        <v>724.07730000000004</v>
      </c>
      <c r="C1945">
        <v>0</v>
      </c>
    </row>
    <row r="1946" spans="1:3" x14ac:dyDescent="0.15">
      <c r="A1946" t="s">
        <v>824</v>
      </c>
      <c r="B1946">
        <v>2</v>
      </c>
      <c r="C1946">
        <v>1.559579E-3</v>
      </c>
    </row>
    <row r="1947" spans="1:3" x14ac:dyDescent="0.15">
      <c r="A1947" t="s">
        <v>824</v>
      </c>
      <c r="B1947">
        <v>2.8283999999999998</v>
      </c>
      <c r="C1947">
        <v>1.7230780000000001E-3</v>
      </c>
    </row>
    <row r="1948" spans="1:3" x14ac:dyDescent="0.15">
      <c r="A1948" t="s">
        <v>824</v>
      </c>
      <c r="B1948">
        <v>4</v>
      </c>
      <c r="C1948">
        <v>1.6660819999999999E-3</v>
      </c>
    </row>
    <row r="1949" spans="1:3" x14ac:dyDescent="0.15">
      <c r="A1949" t="s">
        <v>824</v>
      </c>
      <c r="B1949">
        <v>5.6569000000000003</v>
      </c>
      <c r="C1949">
        <v>1.4022220000000001E-3</v>
      </c>
    </row>
    <row r="1950" spans="1:3" x14ac:dyDescent="0.15">
      <c r="A1950" t="s">
        <v>824</v>
      </c>
      <c r="B1950">
        <v>8</v>
      </c>
      <c r="C1950">
        <v>1.0022500000000001E-3</v>
      </c>
    </row>
    <row r="1951" spans="1:3" x14ac:dyDescent="0.15">
      <c r="A1951" t="s">
        <v>824</v>
      </c>
      <c r="B1951">
        <v>11.313700000000001</v>
      </c>
      <c r="C1951">
        <v>7.0128499999999995E-4</v>
      </c>
    </row>
    <row r="1952" spans="1:3" x14ac:dyDescent="0.15">
      <c r="A1952" t="s">
        <v>824</v>
      </c>
      <c r="B1952">
        <v>16</v>
      </c>
      <c r="C1952">
        <v>5.3258099999999996E-4</v>
      </c>
    </row>
    <row r="1953" spans="1:3" x14ac:dyDescent="0.15">
      <c r="A1953" t="s">
        <v>824</v>
      </c>
      <c r="B1953">
        <v>22.627400000000002</v>
      </c>
      <c r="C1953">
        <v>4.0567400000000002E-4</v>
      </c>
    </row>
    <row r="1954" spans="1:3" x14ac:dyDescent="0.15">
      <c r="A1954" t="s">
        <v>824</v>
      </c>
      <c r="B1954">
        <v>32</v>
      </c>
      <c r="C1954">
        <v>4.3266600000000001E-4</v>
      </c>
    </row>
    <row r="1955" spans="1:3" x14ac:dyDescent="0.15">
      <c r="A1955" t="s">
        <v>824</v>
      </c>
      <c r="B1955">
        <v>45.254800000000003</v>
      </c>
      <c r="C1955">
        <v>4.5936499999999999E-4</v>
      </c>
    </row>
    <row r="1956" spans="1:3" x14ac:dyDescent="0.15">
      <c r="A1956" t="s">
        <v>824</v>
      </c>
      <c r="B1956">
        <v>64</v>
      </c>
      <c r="C1956">
        <v>5.2117999999999999E-4</v>
      </c>
    </row>
    <row r="1957" spans="1:3" x14ac:dyDescent="0.15">
      <c r="A1957" t="s">
        <v>824</v>
      </c>
      <c r="B1957">
        <v>90.509699999999995</v>
      </c>
      <c r="C1957">
        <v>7.7104199999999999E-4</v>
      </c>
    </row>
    <row r="1958" spans="1:3" x14ac:dyDescent="0.15">
      <c r="A1958" t="s">
        <v>824</v>
      </c>
      <c r="B1958">
        <v>128</v>
      </c>
      <c r="C1958">
        <v>8.2393099999999997E-4</v>
      </c>
    </row>
    <row r="1959" spans="1:3" x14ac:dyDescent="0.15">
      <c r="A1959" t="s">
        <v>824</v>
      </c>
      <c r="B1959">
        <v>181.01929999999999</v>
      </c>
      <c r="C1959">
        <v>4.2124600000000001E-4</v>
      </c>
    </row>
    <row r="1960" spans="1:3" x14ac:dyDescent="0.15">
      <c r="A1960" t="s">
        <v>824</v>
      </c>
      <c r="B1960">
        <v>256</v>
      </c>
      <c r="C1960">
        <v>6.4702000000000005E-5</v>
      </c>
    </row>
    <row r="1961" spans="1:3" x14ac:dyDescent="0.15">
      <c r="A1961" t="s">
        <v>824</v>
      </c>
      <c r="B1961">
        <v>362.03870000000001</v>
      </c>
      <c r="C1961">
        <v>1.207E-6</v>
      </c>
    </row>
    <row r="1962" spans="1:3" x14ac:dyDescent="0.15">
      <c r="A1962" t="s">
        <v>824</v>
      </c>
      <c r="B1962">
        <v>512</v>
      </c>
      <c r="C1962">
        <v>1.0000000000000001E-9</v>
      </c>
    </row>
    <row r="1963" spans="1:3" x14ac:dyDescent="0.15">
      <c r="A1963" t="s">
        <v>824</v>
      </c>
      <c r="B1963">
        <v>724.07730000000004</v>
      </c>
      <c r="C1963">
        <v>0</v>
      </c>
    </row>
    <row r="1964" spans="1:3" x14ac:dyDescent="0.15">
      <c r="A1964" t="s">
        <v>825</v>
      </c>
      <c r="B1964">
        <v>2</v>
      </c>
      <c r="C1964">
        <v>1.437161E-3</v>
      </c>
    </row>
    <row r="1965" spans="1:3" x14ac:dyDescent="0.15">
      <c r="A1965" t="s">
        <v>825</v>
      </c>
      <c r="B1965">
        <v>2.8283999999999998</v>
      </c>
      <c r="C1965">
        <v>1.861014E-3</v>
      </c>
    </row>
    <row r="1966" spans="1:3" x14ac:dyDescent="0.15">
      <c r="A1966" t="s">
        <v>825</v>
      </c>
      <c r="B1966">
        <v>4</v>
      </c>
      <c r="C1966">
        <v>2.1137249999999999E-3</v>
      </c>
    </row>
    <row r="1967" spans="1:3" x14ac:dyDescent="0.15">
      <c r="A1967" t="s">
        <v>825</v>
      </c>
      <c r="B1967">
        <v>5.6569000000000003</v>
      </c>
      <c r="C1967">
        <v>2.0992599999999999E-3</v>
      </c>
    </row>
    <row r="1968" spans="1:3" x14ac:dyDescent="0.15">
      <c r="A1968" t="s">
        <v>825</v>
      </c>
      <c r="B1968">
        <v>8</v>
      </c>
      <c r="C1968">
        <v>1.7776599999999999E-3</v>
      </c>
    </row>
    <row r="1969" spans="1:3" x14ac:dyDescent="0.15">
      <c r="A1969" t="s">
        <v>825</v>
      </c>
      <c r="B1969">
        <v>11.313700000000001</v>
      </c>
      <c r="C1969">
        <v>1.1977909999999999E-3</v>
      </c>
    </row>
    <row r="1970" spans="1:3" x14ac:dyDescent="0.15">
      <c r="A1970" t="s">
        <v>825</v>
      </c>
      <c r="B1970">
        <v>16</v>
      </c>
      <c r="C1970">
        <v>7.9112300000000002E-4</v>
      </c>
    </row>
    <row r="1971" spans="1:3" x14ac:dyDescent="0.15">
      <c r="A1971" t="s">
        <v>825</v>
      </c>
      <c r="B1971">
        <v>22.627400000000002</v>
      </c>
      <c r="C1971">
        <v>5.5869700000000003E-4</v>
      </c>
    </row>
    <row r="1972" spans="1:3" x14ac:dyDescent="0.15">
      <c r="A1972" t="s">
        <v>825</v>
      </c>
      <c r="B1972">
        <v>32</v>
      </c>
      <c r="C1972">
        <v>5.3804999999999999E-4</v>
      </c>
    </row>
    <row r="1973" spans="1:3" x14ac:dyDescent="0.15">
      <c r="A1973" t="s">
        <v>825</v>
      </c>
      <c r="B1973">
        <v>45.254800000000003</v>
      </c>
      <c r="C1973">
        <v>6.1422099999999997E-4</v>
      </c>
    </row>
    <row r="1974" spans="1:3" x14ac:dyDescent="0.15">
      <c r="A1974" t="s">
        <v>825</v>
      </c>
      <c r="B1974">
        <v>64</v>
      </c>
      <c r="C1974">
        <v>9.0536100000000003E-4</v>
      </c>
    </row>
    <row r="1975" spans="1:3" x14ac:dyDescent="0.15">
      <c r="A1975" t="s">
        <v>825</v>
      </c>
      <c r="B1975">
        <v>90.509699999999995</v>
      </c>
      <c r="C1975">
        <v>1.3259319999999999E-3</v>
      </c>
    </row>
    <row r="1976" spans="1:3" x14ac:dyDescent="0.15">
      <c r="A1976" t="s">
        <v>825</v>
      </c>
      <c r="B1976">
        <v>128</v>
      </c>
      <c r="C1976">
        <v>1.3632430000000001E-3</v>
      </c>
    </row>
    <row r="1977" spans="1:3" x14ac:dyDescent="0.15">
      <c r="A1977" t="s">
        <v>825</v>
      </c>
      <c r="B1977">
        <v>181.01929999999999</v>
      </c>
      <c r="C1977">
        <v>6.9262100000000004E-4</v>
      </c>
    </row>
    <row r="1978" spans="1:3" x14ac:dyDescent="0.15">
      <c r="A1978" t="s">
        <v>825</v>
      </c>
      <c r="B1978">
        <v>256</v>
      </c>
      <c r="C1978">
        <v>1.06362E-4</v>
      </c>
    </row>
    <row r="1979" spans="1:3" x14ac:dyDescent="0.15">
      <c r="A1979" t="s">
        <v>825</v>
      </c>
      <c r="B1979">
        <v>362.03870000000001</v>
      </c>
      <c r="C1979">
        <v>1.984E-6</v>
      </c>
    </row>
    <row r="1980" spans="1:3" x14ac:dyDescent="0.15">
      <c r="A1980" t="s">
        <v>825</v>
      </c>
      <c r="B1980">
        <v>512</v>
      </c>
      <c r="C1980">
        <v>2.0000000000000001E-9</v>
      </c>
    </row>
    <row r="1981" spans="1:3" x14ac:dyDescent="0.15">
      <c r="A1981" t="s">
        <v>825</v>
      </c>
      <c r="B1981">
        <v>724.07730000000004</v>
      </c>
      <c r="C1981">
        <v>0</v>
      </c>
    </row>
    <row r="1982" spans="1:3" x14ac:dyDescent="0.15">
      <c r="A1982" t="s">
        <v>826</v>
      </c>
      <c r="B1982">
        <v>2</v>
      </c>
      <c r="C1982">
        <v>5.6942600000000005E-4</v>
      </c>
    </row>
    <row r="1983" spans="1:3" x14ac:dyDescent="0.15">
      <c r="A1983" t="s">
        <v>826</v>
      </c>
      <c r="B1983">
        <v>2.8283999999999998</v>
      </c>
      <c r="C1983">
        <v>7.0830299999999997E-4</v>
      </c>
    </row>
    <row r="1984" spans="1:3" x14ac:dyDescent="0.15">
      <c r="A1984" t="s">
        <v>826</v>
      </c>
      <c r="B1984">
        <v>4</v>
      </c>
      <c r="C1984">
        <v>8.3393599999999997E-4</v>
      </c>
    </row>
    <row r="1985" spans="1:3" x14ac:dyDescent="0.15">
      <c r="A1985" t="s">
        <v>826</v>
      </c>
      <c r="B1985">
        <v>5.6569000000000003</v>
      </c>
      <c r="C1985">
        <v>8.3595800000000004E-4</v>
      </c>
    </row>
    <row r="1986" spans="1:3" x14ac:dyDescent="0.15">
      <c r="A1986" t="s">
        <v>826</v>
      </c>
      <c r="B1986">
        <v>8</v>
      </c>
      <c r="C1986">
        <v>7.0831799999999999E-4</v>
      </c>
    </row>
    <row r="1987" spans="1:3" x14ac:dyDescent="0.15">
      <c r="A1987" t="s">
        <v>826</v>
      </c>
      <c r="B1987">
        <v>11.313700000000001</v>
      </c>
      <c r="C1987">
        <v>5.6379200000000003E-4</v>
      </c>
    </row>
    <row r="1988" spans="1:3" x14ac:dyDescent="0.15">
      <c r="A1988" t="s">
        <v>826</v>
      </c>
      <c r="B1988">
        <v>16</v>
      </c>
      <c r="C1988">
        <v>4.8658700000000002E-4</v>
      </c>
    </row>
    <row r="1989" spans="1:3" x14ac:dyDescent="0.15">
      <c r="A1989" t="s">
        <v>826</v>
      </c>
      <c r="B1989">
        <v>22.627400000000002</v>
      </c>
      <c r="C1989">
        <v>3.9648100000000001E-4</v>
      </c>
    </row>
    <row r="1990" spans="1:3" x14ac:dyDescent="0.15">
      <c r="A1990" t="s">
        <v>826</v>
      </c>
      <c r="B1990">
        <v>32</v>
      </c>
      <c r="C1990">
        <v>3.07683E-4</v>
      </c>
    </row>
    <row r="1991" spans="1:3" x14ac:dyDescent="0.15">
      <c r="A1991" t="s">
        <v>826</v>
      </c>
      <c r="B1991">
        <v>45.254800000000003</v>
      </c>
      <c r="C1991">
        <v>3.10847E-4</v>
      </c>
    </row>
    <row r="1992" spans="1:3" x14ac:dyDescent="0.15">
      <c r="A1992" t="s">
        <v>826</v>
      </c>
      <c r="B1992">
        <v>64</v>
      </c>
      <c r="C1992">
        <v>3.0965399999999997E-4</v>
      </c>
    </row>
    <row r="1993" spans="1:3" x14ac:dyDescent="0.15">
      <c r="A1993" t="s">
        <v>826</v>
      </c>
      <c r="B1993">
        <v>90.509699999999995</v>
      </c>
      <c r="C1993">
        <v>1.74298E-4</v>
      </c>
    </row>
    <row r="1994" spans="1:3" x14ac:dyDescent="0.15">
      <c r="A1994" t="s">
        <v>826</v>
      </c>
      <c r="B1994">
        <v>128</v>
      </c>
      <c r="C1994">
        <v>4.5735999999999997E-5</v>
      </c>
    </row>
    <row r="1995" spans="1:3" x14ac:dyDescent="0.15">
      <c r="A1995" t="s">
        <v>826</v>
      </c>
      <c r="B1995">
        <v>181.01929999999999</v>
      </c>
      <c r="C1995">
        <v>1.2405999999999999E-5</v>
      </c>
    </row>
    <row r="1996" spans="1:3" x14ac:dyDescent="0.15">
      <c r="A1996" t="s">
        <v>826</v>
      </c>
      <c r="B1996">
        <v>256</v>
      </c>
      <c r="C1996">
        <v>1.807E-6</v>
      </c>
    </row>
    <row r="1997" spans="1:3" x14ac:dyDescent="0.15">
      <c r="A1997" t="s">
        <v>826</v>
      </c>
      <c r="B1997">
        <v>362.03870000000001</v>
      </c>
      <c r="C1997">
        <v>3.4E-8</v>
      </c>
    </row>
    <row r="1998" spans="1:3" x14ac:dyDescent="0.15">
      <c r="A1998" t="s">
        <v>826</v>
      </c>
      <c r="B1998">
        <v>512</v>
      </c>
      <c r="C1998">
        <v>0</v>
      </c>
    </row>
    <row r="1999" spans="1:3" x14ac:dyDescent="0.15">
      <c r="A1999" t="s">
        <v>826</v>
      </c>
      <c r="B1999">
        <v>724.07730000000004</v>
      </c>
      <c r="C1999">
        <v>0</v>
      </c>
    </row>
    <row r="2000" spans="1:3" x14ac:dyDescent="0.15">
      <c r="A2000" t="s">
        <v>827</v>
      </c>
      <c r="B2000">
        <v>2</v>
      </c>
      <c r="C2000">
        <v>1.1920100000000001E-3</v>
      </c>
    </row>
    <row r="2001" spans="1:3" x14ac:dyDescent="0.15">
      <c r="A2001" t="s">
        <v>827</v>
      </c>
      <c r="B2001">
        <v>2.8283999999999998</v>
      </c>
      <c r="C2001">
        <v>1.25527E-3</v>
      </c>
    </row>
    <row r="2002" spans="1:3" x14ac:dyDescent="0.15">
      <c r="A2002" t="s">
        <v>827</v>
      </c>
      <c r="B2002">
        <v>4</v>
      </c>
      <c r="C2002">
        <v>1.187727E-3</v>
      </c>
    </row>
    <row r="2003" spans="1:3" x14ac:dyDescent="0.15">
      <c r="A2003" t="s">
        <v>827</v>
      </c>
      <c r="B2003">
        <v>5.6569000000000003</v>
      </c>
      <c r="C2003">
        <v>1.054321E-3</v>
      </c>
    </row>
    <row r="2004" spans="1:3" x14ac:dyDescent="0.15">
      <c r="A2004" t="s">
        <v>827</v>
      </c>
      <c r="B2004">
        <v>8</v>
      </c>
      <c r="C2004">
        <v>9.7653400000000004E-4</v>
      </c>
    </row>
    <row r="2005" spans="1:3" x14ac:dyDescent="0.15">
      <c r="A2005" t="s">
        <v>827</v>
      </c>
      <c r="B2005">
        <v>11.313700000000001</v>
      </c>
      <c r="C2005">
        <v>8.6489300000000004E-4</v>
      </c>
    </row>
    <row r="2006" spans="1:3" x14ac:dyDescent="0.15">
      <c r="A2006" t="s">
        <v>827</v>
      </c>
      <c r="B2006">
        <v>16</v>
      </c>
      <c r="C2006">
        <v>6.6721100000000002E-4</v>
      </c>
    </row>
    <row r="2007" spans="1:3" x14ac:dyDescent="0.15">
      <c r="A2007" t="s">
        <v>827</v>
      </c>
      <c r="B2007">
        <v>22.627400000000002</v>
      </c>
      <c r="C2007">
        <v>6.6136799999999996E-4</v>
      </c>
    </row>
    <row r="2008" spans="1:3" x14ac:dyDescent="0.15">
      <c r="A2008" t="s">
        <v>827</v>
      </c>
      <c r="B2008">
        <v>32</v>
      </c>
      <c r="C2008">
        <v>7.5061500000000005E-4</v>
      </c>
    </row>
    <row r="2009" spans="1:3" x14ac:dyDescent="0.15">
      <c r="A2009" t="s">
        <v>827</v>
      </c>
      <c r="B2009">
        <v>45.254800000000003</v>
      </c>
      <c r="C2009">
        <v>6.4895800000000004E-4</v>
      </c>
    </row>
    <row r="2010" spans="1:3" x14ac:dyDescent="0.15">
      <c r="A2010" t="s">
        <v>827</v>
      </c>
      <c r="B2010">
        <v>64</v>
      </c>
      <c r="C2010">
        <v>4.4754199999999999E-4</v>
      </c>
    </row>
    <row r="2011" spans="1:3" x14ac:dyDescent="0.15">
      <c r="A2011" t="s">
        <v>827</v>
      </c>
      <c r="B2011">
        <v>90.509699999999995</v>
      </c>
      <c r="C2011">
        <v>2.0679199999999999E-4</v>
      </c>
    </row>
    <row r="2012" spans="1:3" x14ac:dyDescent="0.15">
      <c r="A2012" t="s">
        <v>827</v>
      </c>
      <c r="B2012">
        <v>128</v>
      </c>
      <c r="C2012">
        <v>3.1436999999999997E-5</v>
      </c>
    </row>
    <row r="2013" spans="1:3" x14ac:dyDescent="0.15">
      <c r="A2013" t="s">
        <v>827</v>
      </c>
      <c r="B2013">
        <v>181.01929999999999</v>
      </c>
      <c r="C2013">
        <v>5.8599999999999998E-7</v>
      </c>
    </row>
    <row r="2014" spans="1:3" x14ac:dyDescent="0.15">
      <c r="A2014" t="s">
        <v>827</v>
      </c>
      <c r="B2014">
        <v>256</v>
      </c>
      <c r="C2014">
        <v>0</v>
      </c>
    </row>
    <row r="2015" spans="1:3" x14ac:dyDescent="0.15">
      <c r="A2015" t="s">
        <v>827</v>
      </c>
      <c r="B2015">
        <v>362.03870000000001</v>
      </c>
      <c r="C2015">
        <v>0</v>
      </c>
    </row>
    <row r="2016" spans="1:3" x14ac:dyDescent="0.15">
      <c r="A2016" t="s">
        <v>827</v>
      </c>
      <c r="B2016">
        <v>512</v>
      </c>
      <c r="C2016">
        <v>0</v>
      </c>
    </row>
    <row r="2017" spans="1:3" x14ac:dyDescent="0.15">
      <c r="A2017" t="s">
        <v>827</v>
      </c>
      <c r="B2017">
        <v>724.07730000000004</v>
      </c>
      <c r="C2017">
        <v>0</v>
      </c>
    </row>
    <row r="2018" spans="1:3" x14ac:dyDescent="0.15">
      <c r="A2018" t="s">
        <v>828</v>
      </c>
      <c r="B2018">
        <v>2</v>
      </c>
      <c r="C2018">
        <v>1.3640029999999999E-3</v>
      </c>
    </row>
    <row r="2019" spans="1:3" x14ac:dyDescent="0.15">
      <c r="A2019" t="s">
        <v>828</v>
      </c>
      <c r="B2019">
        <v>2.8283999999999998</v>
      </c>
      <c r="C2019">
        <v>1.415169E-3</v>
      </c>
    </row>
    <row r="2020" spans="1:3" x14ac:dyDescent="0.15">
      <c r="A2020" t="s">
        <v>828</v>
      </c>
      <c r="B2020">
        <v>4</v>
      </c>
      <c r="C2020">
        <v>1.3399270000000001E-3</v>
      </c>
    </row>
    <row r="2021" spans="1:3" x14ac:dyDescent="0.15">
      <c r="A2021" t="s">
        <v>828</v>
      </c>
      <c r="B2021">
        <v>5.6569000000000003</v>
      </c>
      <c r="C2021">
        <v>1.227374E-3</v>
      </c>
    </row>
    <row r="2022" spans="1:3" x14ac:dyDescent="0.15">
      <c r="A2022" t="s">
        <v>828</v>
      </c>
      <c r="B2022">
        <v>8</v>
      </c>
      <c r="C2022">
        <v>1.1748150000000001E-3</v>
      </c>
    </row>
    <row r="2023" spans="1:3" x14ac:dyDescent="0.15">
      <c r="A2023" t="s">
        <v>828</v>
      </c>
      <c r="B2023">
        <v>11.313700000000001</v>
      </c>
      <c r="C2023">
        <v>1.1221670000000001E-3</v>
      </c>
    </row>
    <row r="2024" spans="1:3" x14ac:dyDescent="0.15">
      <c r="A2024" t="s">
        <v>828</v>
      </c>
      <c r="B2024">
        <v>16</v>
      </c>
      <c r="C2024">
        <v>9.2974400000000003E-4</v>
      </c>
    </row>
    <row r="2025" spans="1:3" x14ac:dyDescent="0.15">
      <c r="A2025" t="s">
        <v>828</v>
      </c>
      <c r="B2025">
        <v>22.627400000000002</v>
      </c>
      <c r="C2025">
        <v>7.3947200000000002E-4</v>
      </c>
    </row>
    <row r="2026" spans="1:3" x14ac:dyDescent="0.15">
      <c r="A2026" t="s">
        <v>828</v>
      </c>
      <c r="B2026">
        <v>32</v>
      </c>
      <c r="C2026">
        <v>7.0137699999999999E-4</v>
      </c>
    </row>
    <row r="2027" spans="1:3" x14ac:dyDescent="0.15">
      <c r="A2027" t="s">
        <v>828</v>
      </c>
      <c r="B2027">
        <v>45.254800000000003</v>
      </c>
      <c r="C2027">
        <v>5.8443600000000003E-4</v>
      </c>
    </row>
    <row r="2028" spans="1:3" x14ac:dyDescent="0.15">
      <c r="A2028" t="s">
        <v>828</v>
      </c>
      <c r="B2028">
        <v>64</v>
      </c>
      <c r="C2028">
        <v>4.3002099999999999E-4</v>
      </c>
    </row>
    <row r="2029" spans="1:3" x14ac:dyDescent="0.15">
      <c r="A2029" t="s">
        <v>828</v>
      </c>
      <c r="B2029">
        <v>90.509699999999995</v>
      </c>
      <c r="C2029">
        <v>2.0542800000000001E-4</v>
      </c>
    </row>
    <row r="2030" spans="1:3" x14ac:dyDescent="0.15">
      <c r="A2030" t="s">
        <v>828</v>
      </c>
      <c r="B2030">
        <v>128</v>
      </c>
      <c r="C2030">
        <v>3.1396000000000002E-5</v>
      </c>
    </row>
    <row r="2031" spans="1:3" x14ac:dyDescent="0.15">
      <c r="A2031" t="s">
        <v>828</v>
      </c>
      <c r="B2031">
        <v>181.01929999999999</v>
      </c>
      <c r="C2031">
        <v>5.8500000000000001E-7</v>
      </c>
    </row>
    <row r="2032" spans="1:3" x14ac:dyDescent="0.15">
      <c r="A2032" t="s">
        <v>828</v>
      </c>
      <c r="B2032">
        <v>256</v>
      </c>
      <c r="C2032">
        <v>1.0000000000000001E-9</v>
      </c>
    </row>
    <row r="2033" spans="1:3" x14ac:dyDescent="0.15">
      <c r="A2033" t="s">
        <v>828</v>
      </c>
      <c r="B2033">
        <v>362.03870000000001</v>
      </c>
      <c r="C2033">
        <v>0</v>
      </c>
    </row>
    <row r="2034" spans="1:3" x14ac:dyDescent="0.15">
      <c r="A2034" t="s">
        <v>828</v>
      </c>
      <c r="B2034">
        <v>512</v>
      </c>
      <c r="C2034">
        <v>0</v>
      </c>
    </row>
    <row r="2035" spans="1:3" x14ac:dyDescent="0.15">
      <c r="A2035" t="s">
        <v>828</v>
      </c>
      <c r="B2035">
        <v>724.07730000000004</v>
      </c>
      <c r="C2035">
        <v>0</v>
      </c>
    </row>
    <row r="2036" spans="1:3" x14ac:dyDescent="0.15">
      <c r="A2036" t="s">
        <v>829</v>
      </c>
      <c r="B2036">
        <v>2</v>
      </c>
      <c r="C2036">
        <v>5.4709599999999995E-4</v>
      </c>
    </row>
    <row r="2037" spans="1:3" x14ac:dyDescent="0.15">
      <c r="A2037" t="s">
        <v>829</v>
      </c>
      <c r="B2037">
        <v>2.8283999999999998</v>
      </c>
      <c r="C2037">
        <v>6.5322299999999998E-4</v>
      </c>
    </row>
    <row r="2038" spans="1:3" x14ac:dyDescent="0.15">
      <c r="A2038" t="s">
        <v>829</v>
      </c>
      <c r="B2038">
        <v>4</v>
      </c>
      <c r="C2038">
        <v>7.8863100000000003E-4</v>
      </c>
    </row>
    <row r="2039" spans="1:3" x14ac:dyDescent="0.15">
      <c r="A2039" t="s">
        <v>829</v>
      </c>
      <c r="B2039">
        <v>5.6569000000000003</v>
      </c>
      <c r="C2039">
        <v>8.6574099999999995E-4</v>
      </c>
    </row>
    <row r="2040" spans="1:3" x14ac:dyDescent="0.15">
      <c r="A2040" t="s">
        <v>829</v>
      </c>
      <c r="B2040">
        <v>8</v>
      </c>
      <c r="C2040">
        <v>8.1209999999999995E-4</v>
      </c>
    </row>
    <row r="2041" spans="1:3" x14ac:dyDescent="0.15">
      <c r="A2041" t="s">
        <v>829</v>
      </c>
      <c r="B2041">
        <v>11.313700000000001</v>
      </c>
      <c r="C2041">
        <v>6.8513600000000003E-4</v>
      </c>
    </row>
    <row r="2042" spans="1:3" x14ac:dyDescent="0.15">
      <c r="A2042" t="s">
        <v>829</v>
      </c>
      <c r="B2042">
        <v>16</v>
      </c>
      <c r="C2042">
        <v>6.0905699999999998E-4</v>
      </c>
    </row>
    <row r="2043" spans="1:3" x14ac:dyDescent="0.15">
      <c r="A2043" t="s">
        <v>829</v>
      </c>
      <c r="B2043">
        <v>22.627400000000002</v>
      </c>
      <c r="C2043">
        <v>5.29189E-4</v>
      </c>
    </row>
    <row r="2044" spans="1:3" x14ac:dyDescent="0.15">
      <c r="A2044" t="s">
        <v>829</v>
      </c>
      <c r="B2044">
        <v>32</v>
      </c>
      <c r="C2044">
        <v>3.6852E-4</v>
      </c>
    </row>
    <row r="2045" spans="1:3" x14ac:dyDescent="0.15">
      <c r="A2045" t="s">
        <v>829</v>
      </c>
      <c r="B2045">
        <v>45.254800000000003</v>
      </c>
      <c r="C2045">
        <v>2.4163599999999999E-4</v>
      </c>
    </row>
    <row r="2046" spans="1:3" x14ac:dyDescent="0.15">
      <c r="A2046" t="s">
        <v>829</v>
      </c>
      <c r="B2046">
        <v>64</v>
      </c>
      <c r="C2046">
        <v>2.95853E-4</v>
      </c>
    </row>
    <row r="2047" spans="1:3" x14ac:dyDescent="0.15">
      <c r="A2047" t="s">
        <v>829</v>
      </c>
      <c r="B2047">
        <v>90.509699999999995</v>
      </c>
      <c r="C2047">
        <v>4.3001399999999999E-4</v>
      </c>
    </row>
    <row r="2048" spans="1:3" x14ac:dyDescent="0.15">
      <c r="A2048" t="s">
        <v>829</v>
      </c>
      <c r="B2048">
        <v>128</v>
      </c>
      <c r="C2048">
        <v>4.3419599999999997E-4</v>
      </c>
    </row>
    <row r="2049" spans="1:3" x14ac:dyDescent="0.15">
      <c r="A2049" t="s">
        <v>829</v>
      </c>
      <c r="B2049">
        <v>181.01929999999999</v>
      </c>
      <c r="C2049">
        <v>2.21626E-4</v>
      </c>
    </row>
    <row r="2050" spans="1:3" x14ac:dyDescent="0.15">
      <c r="A2050" t="s">
        <v>829</v>
      </c>
      <c r="B2050">
        <v>256</v>
      </c>
      <c r="C2050">
        <v>3.4178999999999999E-5</v>
      </c>
    </row>
    <row r="2051" spans="1:3" x14ac:dyDescent="0.15">
      <c r="A2051" t="s">
        <v>829</v>
      </c>
      <c r="B2051">
        <v>362.03870000000001</v>
      </c>
      <c r="C2051">
        <v>6.37E-7</v>
      </c>
    </row>
    <row r="2052" spans="1:3" x14ac:dyDescent="0.15">
      <c r="A2052" t="s">
        <v>829</v>
      </c>
      <c r="B2052">
        <v>512</v>
      </c>
      <c r="C2052">
        <v>0</v>
      </c>
    </row>
    <row r="2053" spans="1:3" x14ac:dyDescent="0.15">
      <c r="A2053" t="s">
        <v>829</v>
      </c>
      <c r="B2053">
        <v>724.07730000000004</v>
      </c>
      <c r="C2053">
        <v>0</v>
      </c>
    </row>
    <row r="2054" spans="1:3" x14ac:dyDescent="0.15">
      <c r="A2054" t="s">
        <v>830</v>
      </c>
      <c r="B2054">
        <v>2</v>
      </c>
      <c r="C2054">
        <v>1.248725E-3</v>
      </c>
    </row>
    <row r="2055" spans="1:3" x14ac:dyDescent="0.15">
      <c r="A2055" t="s">
        <v>830</v>
      </c>
      <c r="B2055">
        <v>2.8283999999999998</v>
      </c>
      <c r="C2055">
        <v>1.3982039999999999E-3</v>
      </c>
    </row>
    <row r="2056" spans="1:3" x14ac:dyDescent="0.15">
      <c r="A2056" t="s">
        <v>830</v>
      </c>
      <c r="B2056">
        <v>4</v>
      </c>
      <c r="C2056">
        <v>1.5457909999999999E-3</v>
      </c>
    </row>
    <row r="2057" spans="1:3" x14ac:dyDescent="0.15">
      <c r="A2057" t="s">
        <v>830</v>
      </c>
      <c r="B2057">
        <v>5.6569000000000003</v>
      </c>
      <c r="C2057">
        <v>1.5983880000000001E-3</v>
      </c>
    </row>
    <row r="2058" spans="1:3" x14ac:dyDescent="0.15">
      <c r="A2058" t="s">
        <v>830</v>
      </c>
      <c r="B2058">
        <v>8</v>
      </c>
      <c r="C2058">
        <v>1.4936769999999999E-3</v>
      </c>
    </row>
    <row r="2059" spans="1:3" x14ac:dyDescent="0.15">
      <c r="A2059" t="s">
        <v>830</v>
      </c>
      <c r="B2059">
        <v>11.313700000000001</v>
      </c>
      <c r="C2059">
        <v>1.2740340000000001E-3</v>
      </c>
    </row>
    <row r="2060" spans="1:3" x14ac:dyDescent="0.15">
      <c r="A2060" t="s">
        <v>830</v>
      </c>
      <c r="B2060">
        <v>16</v>
      </c>
      <c r="C2060">
        <v>1.0382939999999999E-3</v>
      </c>
    </row>
    <row r="2061" spans="1:3" x14ac:dyDescent="0.15">
      <c r="A2061" t="s">
        <v>830</v>
      </c>
      <c r="B2061">
        <v>22.627400000000002</v>
      </c>
      <c r="C2061">
        <v>8.9839800000000001E-4</v>
      </c>
    </row>
    <row r="2062" spans="1:3" x14ac:dyDescent="0.15">
      <c r="A2062" t="s">
        <v>830</v>
      </c>
      <c r="B2062">
        <v>32</v>
      </c>
      <c r="C2062">
        <v>8.2890399999999999E-4</v>
      </c>
    </row>
    <row r="2063" spans="1:3" x14ac:dyDescent="0.15">
      <c r="A2063" t="s">
        <v>830</v>
      </c>
      <c r="B2063">
        <v>45.254800000000003</v>
      </c>
      <c r="C2063">
        <v>6.5152799999999996E-4</v>
      </c>
    </row>
    <row r="2064" spans="1:3" x14ac:dyDescent="0.15">
      <c r="A2064" t="s">
        <v>830</v>
      </c>
      <c r="B2064">
        <v>64</v>
      </c>
      <c r="C2064">
        <v>3.6136399999999998E-4</v>
      </c>
    </row>
    <row r="2065" spans="1:3" x14ac:dyDescent="0.15">
      <c r="A2065" t="s">
        <v>830</v>
      </c>
      <c r="B2065">
        <v>90.509699999999995</v>
      </c>
      <c r="C2065">
        <v>1.9645400000000001E-4</v>
      </c>
    </row>
    <row r="2066" spans="1:3" x14ac:dyDescent="0.15">
      <c r="A2066" t="s">
        <v>830</v>
      </c>
      <c r="B2066">
        <v>128</v>
      </c>
      <c r="C2066">
        <v>1.6144999999999999E-4</v>
      </c>
    </row>
    <row r="2067" spans="1:3" x14ac:dyDescent="0.15">
      <c r="A2067" t="s">
        <v>830</v>
      </c>
      <c r="B2067">
        <v>181.01929999999999</v>
      </c>
      <c r="C2067">
        <v>8.0562999999999994E-5</v>
      </c>
    </row>
    <row r="2068" spans="1:3" x14ac:dyDescent="0.15">
      <c r="A2068" t="s">
        <v>830</v>
      </c>
      <c r="B2068">
        <v>256</v>
      </c>
      <c r="C2068">
        <v>1.2328E-5</v>
      </c>
    </row>
    <row r="2069" spans="1:3" x14ac:dyDescent="0.15">
      <c r="A2069" t="s">
        <v>830</v>
      </c>
      <c r="B2069">
        <v>362.03870000000001</v>
      </c>
      <c r="C2069">
        <v>2.2999999999999999E-7</v>
      </c>
    </row>
    <row r="2070" spans="1:3" x14ac:dyDescent="0.15">
      <c r="A2070" t="s">
        <v>830</v>
      </c>
      <c r="B2070">
        <v>512</v>
      </c>
      <c r="C2070">
        <v>0</v>
      </c>
    </row>
    <row r="2071" spans="1:3" x14ac:dyDescent="0.15">
      <c r="A2071" t="s">
        <v>830</v>
      </c>
      <c r="B2071">
        <v>724.07730000000004</v>
      </c>
      <c r="C2071">
        <v>0</v>
      </c>
    </row>
    <row r="2072" spans="1:3" x14ac:dyDescent="0.15">
      <c r="A2072" t="s">
        <v>831</v>
      </c>
      <c r="B2072">
        <v>2</v>
      </c>
      <c r="C2072">
        <v>8.3566800000000002E-4</v>
      </c>
    </row>
    <row r="2073" spans="1:3" x14ac:dyDescent="0.15">
      <c r="A2073" t="s">
        <v>831</v>
      </c>
      <c r="B2073">
        <v>2.8283999999999998</v>
      </c>
      <c r="C2073">
        <v>9.3715300000000003E-4</v>
      </c>
    </row>
    <row r="2074" spans="1:3" x14ac:dyDescent="0.15">
      <c r="A2074" t="s">
        <v>831</v>
      </c>
      <c r="B2074">
        <v>4</v>
      </c>
      <c r="C2074">
        <v>8.1043599999999999E-4</v>
      </c>
    </row>
    <row r="2075" spans="1:3" x14ac:dyDescent="0.15">
      <c r="A2075" t="s">
        <v>831</v>
      </c>
      <c r="B2075">
        <v>5.6569000000000003</v>
      </c>
      <c r="C2075">
        <v>6.67182E-4</v>
      </c>
    </row>
    <row r="2076" spans="1:3" x14ac:dyDescent="0.15">
      <c r="A2076" t="s">
        <v>831</v>
      </c>
      <c r="B2076">
        <v>8</v>
      </c>
      <c r="C2076">
        <v>6.9570799999999996E-4</v>
      </c>
    </row>
    <row r="2077" spans="1:3" x14ac:dyDescent="0.15">
      <c r="A2077" t="s">
        <v>831</v>
      </c>
      <c r="B2077">
        <v>11.313700000000001</v>
      </c>
      <c r="C2077">
        <v>7.4188699999999999E-4</v>
      </c>
    </row>
    <row r="2078" spans="1:3" x14ac:dyDescent="0.15">
      <c r="A2078" t="s">
        <v>831</v>
      </c>
      <c r="B2078">
        <v>16</v>
      </c>
      <c r="C2078">
        <v>7.7006700000000004E-4</v>
      </c>
    </row>
    <row r="2079" spans="1:3" x14ac:dyDescent="0.15">
      <c r="A2079" t="s">
        <v>831</v>
      </c>
      <c r="B2079">
        <v>22.627400000000002</v>
      </c>
      <c r="C2079">
        <v>7.1779400000000001E-4</v>
      </c>
    </row>
    <row r="2080" spans="1:3" x14ac:dyDescent="0.15">
      <c r="A2080" t="s">
        <v>831</v>
      </c>
      <c r="B2080">
        <v>32</v>
      </c>
      <c r="C2080">
        <v>5.86975E-4</v>
      </c>
    </row>
    <row r="2081" spans="1:3" x14ac:dyDescent="0.15">
      <c r="A2081" t="s">
        <v>831</v>
      </c>
      <c r="B2081">
        <v>45.254800000000003</v>
      </c>
      <c r="C2081">
        <v>4.9022900000000001E-4</v>
      </c>
    </row>
    <row r="2082" spans="1:3" x14ac:dyDescent="0.15">
      <c r="A2082" t="s">
        <v>831</v>
      </c>
      <c r="B2082">
        <v>64</v>
      </c>
      <c r="C2082">
        <v>6.0008700000000002E-4</v>
      </c>
    </row>
    <row r="2083" spans="1:3" x14ac:dyDescent="0.15">
      <c r="A2083" t="s">
        <v>831</v>
      </c>
      <c r="B2083">
        <v>90.509699999999995</v>
      </c>
      <c r="C2083">
        <v>7.38162E-4</v>
      </c>
    </row>
    <row r="2084" spans="1:3" x14ac:dyDescent="0.15">
      <c r="A2084" t="s">
        <v>831</v>
      </c>
      <c r="B2084">
        <v>128</v>
      </c>
      <c r="C2084">
        <v>7.0005499999999999E-4</v>
      </c>
    </row>
    <row r="2085" spans="1:3" x14ac:dyDescent="0.15">
      <c r="A2085" t="s">
        <v>831</v>
      </c>
      <c r="B2085">
        <v>181.01929999999999</v>
      </c>
      <c r="C2085">
        <v>3.5288300000000002E-4</v>
      </c>
    </row>
    <row r="2086" spans="1:3" x14ac:dyDescent="0.15">
      <c r="A2086" t="s">
        <v>831</v>
      </c>
      <c r="B2086">
        <v>256</v>
      </c>
      <c r="C2086">
        <v>5.4336999999999998E-5</v>
      </c>
    </row>
    <row r="2087" spans="1:3" x14ac:dyDescent="0.15">
      <c r="A2087" t="s">
        <v>831</v>
      </c>
      <c r="B2087">
        <v>362.03870000000001</v>
      </c>
      <c r="C2087">
        <v>1.0139999999999999E-6</v>
      </c>
    </row>
    <row r="2088" spans="1:3" x14ac:dyDescent="0.15">
      <c r="A2088" t="s">
        <v>831</v>
      </c>
      <c r="B2088">
        <v>512</v>
      </c>
      <c r="C2088">
        <v>0</v>
      </c>
    </row>
    <row r="2089" spans="1:3" x14ac:dyDescent="0.15">
      <c r="A2089" t="s">
        <v>831</v>
      </c>
      <c r="B2089">
        <v>724.07730000000004</v>
      </c>
      <c r="C2089">
        <v>0</v>
      </c>
    </row>
    <row r="2090" spans="1:3" x14ac:dyDescent="0.15">
      <c r="A2090" t="s">
        <v>832</v>
      </c>
      <c r="B2090">
        <v>2</v>
      </c>
      <c r="C2090">
        <v>1.406994E-3</v>
      </c>
    </row>
    <row r="2091" spans="1:3" x14ac:dyDescent="0.15">
      <c r="A2091" t="s">
        <v>832</v>
      </c>
      <c r="B2091">
        <v>2.8283999999999998</v>
      </c>
      <c r="C2091">
        <v>1.7769019999999999E-3</v>
      </c>
    </row>
    <row r="2092" spans="1:3" x14ac:dyDescent="0.15">
      <c r="A2092" t="s">
        <v>832</v>
      </c>
      <c r="B2092">
        <v>4</v>
      </c>
      <c r="C2092">
        <v>2.0192470000000001E-3</v>
      </c>
    </row>
    <row r="2093" spans="1:3" x14ac:dyDescent="0.15">
      <c r="A2093" t="s">
        <v>832</v>
      </c>
      <c r="B2093">
        <v>5.6569000000000003</v>
      </c>
      <c r="C2093">
        <v>1.9626510000000002E-3</v>
      </c>
    </row>
    <row r="2094" spans="1:3" x14ac:dyDescent="0.15">
      <c r="A2094" t="s">
        <v>832</v>
      </c>
      <c r="B2094">
        <v>8</v>
      </c>
      <c r="C2094">
        <v>1.7565879999999999E-3</v>
      </c>
    </row>
    <row r="2095" spans="1:3" x14ac:dyDescent="0.15">
      <c r="A2095" t="s">
        <v>832</v>
      </c>
      <c r="B2095">
        <v>11.313700000000001</v>
      </c>
      <c r="C2095">
        <v>1.606714E-3</v>
      </c>
    </row>
    <row r="2096" spans="1:3" x14ac:dyDescent="0.15">
      <c r="A2096" t="s">
        <v>832</v>
      </c>
      <c r="B2096">
        <v>16</v>
      </c>
      <c r="C2096">
        <v>1.553144E-3</v>
      </c>
    </row>
    <row r="2097" spans="1:3" x14ac:dyDescent="0.15">
      <c r="A2097" t="s">
        <v>832</v>
      </c>
      <c r="B2097">
        <v>22.627400000000002</v>
      </c>
      <c r="C2097">
        <v>1.514664E-3</v>
      </c>
    </row>
    <row r="2098" spans="1:3" x14ac:dyDescent="0.15">
      <c r="A2098" t="s">
        <v>832</v>
      </c>
      <c r="B2098">
        <v>32</v>
      </c>
      <c r="C2098">
        <v>1.442165E-3</v>
      </c>
    </row>
    <row r="2099" spans="1:3" x14ac:dyDescent="0.15">
      <c r="A2099" t="s">
        <v>832</v>
      </c>
      <c r="B2099">
        <v>45.254800000000003</v>
      </c>
      <c r="C2099">
        <v>1.208782E-3</v>
      </c>
    </row>
    <row r="2100" spans="1:3" x14ac:dyDescent="0.15">
      <c r="A2100" t="s">
        <v>832</v>
      </c>
      <c r="B2100">
        <v>64</v>
      </c>
      <c r="C2100">
        <v>6.1925900000000004E-4</v>
      </c>
    </row>
    <row r="2101" spans="1:3" x14ac:dyDescent="0.15">
      <c r="A2101" t="s">
        <v>832</v>
      </c>
      <c r="B2101">
        <v>90.509699999999995</v>
      </c>
      <c r="C2101">
        <v>1.9671700000000001E-4</v>
      </c>
    </row>
    <row r="2102" spans="1:3" x14ac:dyDescent="0.15">
      <c r="A2102" t="s">
        <v>832</v>
      </c>
      <c r="B2102">
        <v>128</v>
      </c>
      <c r="C2102">
        <v>1.08525E-4</v>
      </c>
    </row>
    <row r="2103" spans="1:3" x14ac:dyDescent="0.15">
      <c r="A2103" t="s">
        <v>832</v>
      </c>
      <c r="B2103">
        <v>181.01929999999999</v>
      </c>
      <c r="C2103">
        <v>4.8539999999999999E-5</v>
      </c>
    </row>
    <row r="2104" spans="1:3" x14ac:dyDescent="0.15">
      <c r="A2104" t="s">
        <v>832</v>
      </c>
      <c r="B2104">
        <v>256</v>
      </c>
      <c r="C2104">
        <v>7.2729999999999997E-6</v>
      </c>
    </row>
    <row r="2105" spans="1:3" x14ac:dyDescent="0.15">
      <c r="A2105" t="s">
        <v>832</v>
      </c>
      <c r="B2105">
        <v>362.03870000000001</v>
      </c>
      <c r="C2105">
        <v>1.35E-7</v>
      </c>
    </row>
    <row r="2106" spans="1:3" x14ac:dyDescent="0.15">
      <c r="A2106" t="s">
        <v>832</v>
      </c>
      <c r="B2106">
        <v>512</v>
      </c>
      <c r="C2106">
        <v>0</v>
      </c>
    </row>
    <row r="2107" spans="1:3" x14ac:dyDescent="0.15">
      <c r="A2107" t="s">
        <v>832</v>
      </c>
      <c r="B2107">
        <v>724.07730000000004</v>
      </c>
      <c r="C2107">
        <v>0</v>
      </c>
    </row>
    <row r="2108" spans="1:3" x14ac:dyDescent="0.15">
      <c r="A2108" t="s">
        <v>833</v>
      </c>
      <c r="B2108">
        <v>2</v>
      </c>
      <c r="C2108">
        <v>3.1181569999999999E-3</v>
      </c>
    </row>
    <row r="2109" spans="1:3" x14ac:dyDescent="0.15">
      <c r="A2109" t="s">
        <v>833</v>
      </c>
      <c r="B2109">
        <v>2.8283999999999998</v>
      </c>
      <c r="C2109">
        <v>3.0421319999999999E-3</v>
      </c>
    </row>
    <row r="2110" spans="1:3" x14ac:dyDescent="0.15">
      <c r="A2110" t="s">
        <v>833</v>
      </c>
      <c r="B2110">
        <v>4</v>
      </c>
      <c r="C2110">
        <v>2.9224059999999998E-3</v>
      </c>
    </row>
    <row r="2111" spans="1:3" x14ac:dyDescent="0.15">
      <c r="A2111" t="s">
        <v>833</v>
      </c>
      <c r="B2111">
        <v>5.6569000000000003</v>
      </c>
      <c r="C2111">
        <v>2.663276E-3</v>
      </c>
    </row>
    <row r="2112" spans="1:3" x14ac:dyDescent="0.15">
      <c r="A2112" t="s">
        <v>833</v>
      </c>
      <c r="B2112">
        <v>8</v>
      </c>
      <c r="C2112">
        <v>2.2714409999999999E-3</v>
      </c>
    </row>
    <row r="2113" spans="1:3" x14ac:dyDescent="0.15">
      <c r="A2113" t="s">
        <v>833</v>
      </c>
      <c r="B2113">
        <v>11.313700000000001</v>
      </c>
      <c r="C2113">
        <v>1.830501E-3</v>
      </c>
    </row>
    <row r="2114" spans="1:3" x14ac:dyDescent="0.15">
      <c r="A2114" t="s">
        <v>833</v>
      </c>
      <c r="B2114">
        <v>16</v>
      </c>
      <c r="C2114">
        <v>1.5068830000000001E-3</v>
      </c>
    </row>
    <row r="2115" spans="1:3" x14ac:dyDescent="0.15">
      <c r="A2115" t="s">
        <v>833</v>
      </c>
      <c r="B2115">
        <v>22.627400000000002</v>
      </c>
      <c r="C2115">
        <v>1.326278E-3</v>
      </c>
    </row>
    <row r="2116" spans="1:3" x14ac:dyDescent="0.15">
      <c r="A2116" t="s">
        <v>833</v>
      </c>
      <c r="B2116">
        <v>32</v>
      </c>
      <c r="C2116">
        <v>1.019126E-3</v>
      </c>
    </row>
    <row r="2117" spans="1:3" x14ac:dyDescent="0.15">
      <c r="A2117" t="s">
        <v>833</v>
      </c>
      <c r="B2117">
        <v>45.254800000000003</v>
      </c>
      <c r="C2117">
        <v>5.9832899999999998E-4</v>
      </c>
    </row>
    <row r="2118" spans="1:3" x14ac:dyDescent="0.15">
      <c r="A2118" t="s">
        <v>833</v>
      </c>
      <c r="B2118">
        <v>64</v>
      </c>
      <c r="C2118">
        <v>5.5722499999999995E-4</v>
      </c>
    </row>
    <row r="2119" spans="1:3" x14ac:dyDescent="0.15">
      <c r="A2119" t="s">
        <v>833</v>
      </c>
      <c r="B2119">
        <v>90.509699999999995</v>
      </c>
      <c r="C2119">
        <v>7.3476699999999999E-4</v>
      </c>
    </row>
    <row r="2120" spans="1:3" x14ac:dyDescent="0.15">
      <c r="A2120" t="s">
        <v>833</v>
      </c>
      <c r="B2120">
        <v>128</v>
      </c>
      <c r="C2120">
        <v>7.0081199999999998E-4</v>
      </c>
    </row>
    <row r="2121" spans="1:3" x14ac:dyDescent="0.15">
      <c r="A2121" t="s">
        <v>833</v>
      </c>
      <c r="B2121">
        <v>181.01929999999999</v>
      </c>
      <c r="C2121">
        <v>3.5116100000000001E-4</v>
      </c>
    </row>
    <row r="2122" spans="1:3" x14ac:dyDescent="0.15">
      <c r="A2122" t="s">
        <v>833</v>
      </c>
      <c r="B2122">
        <v>256</v>
      </c>
      <c r="C2122">
        <v>5.3955000000000001E-5</v>
      </c>
    </row>
    <row r="2123" spans="1:3" x14ac:dyDescent="0.15">
      <c r="A2123" t="s">
        <v>833</v>
      </c>
      <c r="B2123">
        <v>362.03870000000001</v>
      </c>
      <c r="C2123">
        <v>1.006E-6</v>
      </c>
    </row>
    <row r="2124" spans="1:3" x14ac:dyDescent="0.15">
      <c r="A2124" t="s">
        <v>833</v>
      </c>
      <c r="B2124">
        <v>512</v>
      </c>
      <c r="C2124">
        <v>1.0000000000000001E-9</v>
      </c>
    </row>
    <row r="2125" spans="1:3" x14ac:dyDescent="0.15">
      <c r="A2125" t="s">
        <v>833</v>
      </c>
      <c r="B2125">
        <v>724.07730000000004</v>
      </c>
      <c r="C2125">
        <v>0</v>
      </c>
    </row>
    <row r="2126" spans="1:3" x14ac:dyDescent="0.15">
      <c r="A2126" t="s">
        <v>480</v>
      </c>
      <c r="B2126">
        <v>2</v>
      </c>
      <c r="C2126">
        <v>1.172352E-3</v>
      </c>
    </row>
    <row r="2127" spans="1:3" x14ac:dyDescent="0.15">
      <c r="A2127" t="s">
        <v>480</v>
      </c>
      <c r="B2127">
        <v>2.8283999999999998</v>
      </c>
      <c r="C2127">
        <v>1.272804E-3</v>
      </c>
    </row>
    <row r="2128" spans="1:3" x14ac:dyDescent="0.15">
      <c r="A2128" t="s">
        <v>480</v>
      </c>
      <c r="B2128">
        <v>4</v>
      </c>
      <c r="C2128">
        <v>1.3902299999999999E-3</v>
      </c>
    </row>
    <row r="2129" spans="1:3" x14ac:dyDescent="0.15">
      <c r="A2129" t="s">
        <v>480</v>
      </c>
      <c r="B2129">
        <v>5.6569000000000003</v>
      </c>
      <c r="C2129">
        <v>1.387894E-3</v>
      </c>
    </row>
    <row r="2130" spans="1:3" x14ac:dyDescent="0.15">
      <c r="A2130" t="s">
        <v>480</v>
      </c>
      <c r="B2130">
        <v>8</v>
      </c>
      <c r="C2130">
        <v>1.300194E-3</v>
      </c>
    </row>
    <row r="2131" spans="1:3" x14ac:dyDescent="0.15">
      <c r="A2131" t="s">
        <v>480</v>
      </c>
      <c r="B2131">
        <v>11.313700000000001</v>
      </c>
      <c r="C2131">
        <v>1.1617859999999999E-3</v>
      </c>
    </row>
    <row r="2132" spans="1:3" x14ac:dyDescent="0.15">
      <c r="A2132" t="s">
        <v>480</v>
      </c>
      <c r="B2132">
        <v>16</v>
      </c>
      <c r="C2132">
        <v>8.3192800000000001E-4</v>
      </c>
    </row>
    <row r="2133" spans="1:3" x14ac:dyDescent="0.15">
      <c r="A2133" t="s">
        <v>480</v>
      </c>
      <c r="B2133">
        <v>22.627400000000002</v>
      </c>
      <c r="C2133">
        <v>5.4291599999999995E-4</v>
      </c>
    </row>
    <row r="2134" spans="1:3" x14ac:dyDescent="0.15">
      <c r="A2134" t="s">
        <v>480</v>
      </c>
      <c r="B2134">
        <v>32</v>
      </c>
      <c r="C2134">
        <v>6.3268099999999996E-4</v>
      </c>
    </row>
    <row r="2135" spans="1:3" x14ac:dyDescent="0.15">
      <c r="A2135" t="s">
        <v>480</v>
      </c>
      <c r="B2135">
        <v>45.254800000000003</v>
      </c>
      <c r="C2135">
        <v>7.9376700000000002E-4</v>
      </c>
    </row>
    <row r="2136" spans="1:3" x14ac:dyDescent="0.15">
      <c r="A2136" t="s">
        <v>480</v>
      </c>
      <c r="B2136">
        <v>64</v>
      </c>
      <c r="C2136">
        <v>7.1687499999999996E-4</v>
      </c>
    </row>
    <row r="2137" spans="1:3" x14ac:dyDescent="0.15">
      <c r="A2137" t="s">
        <v>480</v>
      </c>
      <c r="B2137">
        <v>90.509699999999995</v>
      </c>
      <c r="C2137">
        <v>4.4341299999999998E-4</v>
      </c>
    </row>
    <row r="2138" spans="1:3" x14ac:dyDescent="0.15">
      <c r="A2138" t="s">
        <v>480</v>
      </c>
      <c r="B2138">
        <v>128</v>
      </c>
      <c r="C2138">
        <v>3.8148499999999998E-4</v>
      </c>
    </row>
    <row r="2139" spans="1:3" x14ac:dyDescent="0.15">
      <c r="A2139" t="s">
        <v>480</v>
      </c>
      <c r="B2139">
        <v>181.01929999999999</v>
      </c>
      <c r="C2139">
        <v>2.01101E-4</v>
      </c>
    </row>
    <row r="2140" spans="1:3" x14ac:dyDescent="0.15">
      <c r="A2140" t="s">
        <v>480</v>
      </c>
      <c r="B2140">
        <v>256</v>
      </c>
      <c r="C2140">
        <v>3.1040000000000001E-5</v>
      </c>
    </row>
    <row r="2141" spans="1:3" x14ac:dyDescent="0.15">
      <c r="A2141" t="s">
        <v>480</v>
      </c>
      <c r="B2141">
        <v>362.03870000000001</v>
      </c>
      <c r="C2141">
        <v>5.7899999999999998E-7</v>
      </c>
    </row>
    <row r="2142" spans="1:3" x14ac:dyDescent="0.15">
      <c r="A2142" t="s">
        <v>480</v>
      </c>
      <c r="B2142">
        <v>512</v>
      </c>
      <c r="C2142">
        <v>0</v>
      </c>
    </row>
    <row r="2143" spans="1:3" x14ac:dyDescent="0.15">
      <c r="A2143" t="s">
        <v>480</v>
      </c>
      <c r="B2143">
        <v>724.07730000000004</v>
      </c>
      <c r="C2143">
        <v>0</v>
      </c>
    </row>
    <row r="2144" spans="1:3" x14ac:dyDescent="0.15">
      <c r="A2144" t="s">
        <v>834</v>
      </c>
      <c r="B2144">
        <v>2</v>
      </c>
      <c r="C2144">
        <v>2.7966779999999999E-3</v>
      </c>
    </row>
    <row r="2145" spans="1:3" x14ac:dyDescent="0.15">
      <c r="A2145" t="s">
        <v>834</v>
      </c>
      <c r="B2145">
        <v>2.8283999999999998</v>
      </c>
      <c r="C2145">
        <v>2.9055589999999998E-3</v>
      </c>
    </row>
    <row r="2146" spans="1:3" x14ac:dyDescent="0.15">
      <c r="A2146" t="s">
        <v>834</v>
      </c>
      <c r="B2146">
        <v>4</v>
      </c>
      <c r="C2146">
        <v>3.001629E-3</v>
      </c>
    </row>
    <row r="2147" spans="1:3" x14ac:dyDescent="0.15">
      <c r="A2147" t="s">
        <v>834</v>
      </c>
      <c r="B2147">
        <v>5.6569000000000003</v>
      </c>
      <c r="C2147">
        <v>3.0409310000000002E-3</v>
      </c>
    </row>
    <row r="2148" spans="1:3" x14ac:dyDescent="0.15">
      <c r="A2148" t="s">
        <v>834</v>
      </c>
      <c r="B2148">
        <v>8</v>
      </c>
      <c r="C2148">
        <v>2.8555070000000002E-3</v>
      </c>
    </row>
    <row r="2149" spans="1:3" x14ac:dyDescent="0.15">
      <c r="A2149" t="s">
        <v>834</v>
      </c>
      <c r="B2149">
        <v>11.313700000000001</v>
      </c>
      <c r="C2149">
        <v>2.464117E-3</v>
      </c>
    </row>
    <row r="2150" spans="1:3" x14ac:dyDescent="0.15">
      <c r="A2150" t="s">
        <v>834</v>
      </c>
      <c r="B2150">
        <v>16</v>
      </c>
      <c r="C2150">
        <v>1.996753E-3</v>
      </c>
    </row>
    <row r="2151" spans="1:3" x14ac:dyDescent="0.15">
      <c r="A2151" t="s">
        <v>834</v>
      </c>
      <c r="B2151">
        <v>22.627400000000002</v>
      </c>
      <c r="C2151">
        <v>1.559146E-3</v>
      </c>
    </row>
    <row r="2152" spans="1:3" x14ac:dyDescent="0.15">
      <c r="A2152" t="s">
        <v>834</v>
      </c>
      <c r="B2152">
        <v>32</v>
      </c>
      <c r="C2152">
        <v>1.282179E-3</v>
      </c>
    </row>
    <row r="2153" spans="1:3" x14ac:dyDescent="0.15">
      <c r="A2153" t="s">
        <v>834</v>
      </c>
      <c r="B2153">
        <v>45.254800000000003</v>
      </c>
      <c r="C2153">
        <v>1.142033E-3</v>
      </c>
    </row>
    <row r="2154" spans="1:3" x14ac:dyDescent="0.15">
      <c r="A2154" t="s">
        <v>834</v>
      </c>
      <c r="B2154">
        <v>64</v>
      </c>
      <c r="C2154">
        <v>8.4895900000000004E-4</v>
      </c>
    </row>
    <row r="2155" spans="1:3" x14ac:dyDescent="0.15">
      <c r="A2155" t="s">
        <v>834</v>
      </c>
      <c r="B2155">
        <v>90.509699999999995</v>
      </c>
      <c r="C2155">
        <v>5.1355300000000003E-4</v>
      </c>
    </row>
    <row r="2156" spans="1:3" x14ac:dyDescent="0.15">
      <c r="A2156" t="s">
        <v>834</v>
      </c>
      <c r="B2156">
        <v>128</v>
      </c>
      <c r="C2156">
        <v>3.4729500000000001E-4</v>
      </c>
    </row>
    <row r="2157" spans="1:3" x14ac:dyDescent="0.15">
      <c r="A2157" t="s">
        <v>834</v>
      </c>
      <c r="B2157">
        <v>181.01929999999999</v>
      </c>
      <c r="C2157">
        <v>1.6741799999999999E-4</v>
      </c>
    </row>
    <row r="2158" spans="1:3" x14ac:dyDescent="0.15">
      <c r="A2158" t="s">
        <v>834</v>
      </c>
      <c r="B2158">
        <v>256</v>
      </c>
      <c r="C2158">
        <v>2.5675999999999999E-5</v>
      </c>
    </row>
    <row r="2159" spans="1:3" x14ac:dyDescent="0.15">
      <c r="A2159" t="s">
        <v>834</v>
      </c>
      <c r="B2159">
        <v>362.03870000000001</v>
      </c>
      <c r="C2159">
        <v>4.7899999999999999E-7</v>
      </c>
    </row>
    <row r="2160" spans="1:3" x14ac:dyDescent="0.15">
      <c r="A2160" t="s">
        <v>834</v>
      </c>
      <c r="B2160">
        <v>512</v>
      </c>
      <c r="C2160">
        <v>0</v>
      </c>
    </row>
    <row r="2161" spans="1:3" x14ac:dyDescent="0.15">
      <c r="A2161" t="s">
        <v>834</v>
      </c>
      <c r="B2161">
        <v>724.07730000000004</v>
      </c>
      <c r="C2161">
        <v>0</v>
      </c>
    </row>
    <row r="2162" spans="1:3" x14ac:dyDescent="0.15">
      <c r="A2162" t="s">
        <v>835</v>
      </c>
      <c r="B2162">
        <v>2</v>
      </c>
      <c r="C2162">
        <v>5.88841E-4</v>
      </c>
    </row>
    <row r="2163" spans="1:3" x14ac:dyDescent="0.15">
      <c r="A2163" t="s">
        <v>835</v>
      </c>
      <c r="B2163">
        <v>2.8283999999999998</v>
      </c>
      <c r="C2163">
        <v>7.5207099999999999E-4</v>
      </c>
    </row>
    <row r="2164" spans="1:3" x14ac:dyDescent="0.15">
      <c r="A2164" t="s">
        <v>835</v>
      </c>
      <c r="B2164">
        <v>4</v>
      </c>
      <c r="C2164">
        <v>9.5196500000000004E-4</v>
      </c>
    </row>
    <row r="2165" spans="1:3" x14ac:dyDescent="0.15">
      <c r="A2165" t="s">
        <v>835</v>
      </c>
      <c r="B2165">
        <v>5.6569000000000003</v>
      </c>
      <c r="C2165">
        <v>1.0235909999999999E-3</v>
      </c>
    </row>
    <row r="2166" spans="1:3" x14ac:dyDescent="0.15">
      <c r="A2166" t="s">
        <v>835</v>
      </c>
      <c r="B2166">
        <v>8</v>
      </c>
      <c r="C2166">
        <v>8.9563800000000003E-4</v>
      </c>
    </row>
    <row r="2167" spans="1:3" x14ac:dyDescent="0.15">
      <c r="A2167" t="s">
        <v>835</v>
      </c>
      <c r="B2167">
        <v>11.313700000000001</v>
      </c>
      <c r="C2167">
        <v>7.06019E-4</v>
      </c>
    </row>
    <row r="2168" spans="1:3" x14ac:dyDescent="0.15">
      <c r="A2168" t="s">
        <v>835</v>
      </c>
      <c r="B2168">
        <v>16</v>
      </c>
      <c r="C2168">
        <v>6.08046E-4</v>
      </c>
    </row>
    <row r="2169" spans="1:3" x14ac:dyDescent="0.15">
      <c r="A2169" t="s">
        <v>835</v>
      </c>
      <c r="B2169">
        <v>22.627400000000002</v>
      </c>
      <c r="C2169">
        <v>5.4515300000000004E-4</v>
      </c>
    </row>
    <row r="2170" spans="1:3" x14ac:dyDescent="0.15">
      <c r="A2170" t="s">
        <v>835</v>
      </c>
      <c r="B2170">
        <v>32</v>
      </c>
      <c r="C2170">
        <v>4.84062E-4</v>
      </c>
    </row>
    <row r="2171" spans="1:3" x14ac:dyDescent="0.15">
      <c r="A2171" t="s">
        <v>835</v>
      </c>
      <c r="B2171">
        <v>45.254800000000003</v>
      </c>
      <c r="C2171">
        <v>4.7381000000000002E-4</v>
      </c>
    </row>
    <row r="2172" spans="1:3" x14ac:dyDescent="0.15">
      <c r="A2172" t="s">
        <v>835</v>
      </c>
      <c r="B2172">
        <v>64</v>
      </c>
      <c r="C2172">
        <v>4.2295499999999998E-4</v>
      </c>
    </row>
    <row r="2173" spans="1:3" x14ac:dyDescent="0.15">
      <c r="A2173" t="s">
        <v>835</v>
      </c>
      <c r="B2173">
        <v>90.509699999999995</v>
      </c>
      <c r="C2173">
        <v>2.1213100000000001E-4</v>
      </c>
    </row>
    <row r="2174" spans="1:3" x14ac:dyDescent="0.15">
      <c r="A2174" t="s">
        <v>835</v>
      </c>
      <c r="B2174">
        <v>128</v>
      </c>
      <c r="C2174">
        <v>3.2660999999999998E-5</v>
      </c>
    </row>
    <row r="2175" spans="1:3" x14ac:dyDescent="0.15">
      <c r="A2175" t="s">
        <v>835</v>
      </c>
      <c r="B2175">
        <v>181.01929999999999</v>
      </c>
      <c r="C2175">
        <v>6.0900000000000001E-7</v>
      </c>
    </row>
    <row r="2176" spans="1:3" x14ac:dyDescent="0.15">
      <c r="A2176" t="s">
        <v>835</v>
      </c>
      <c r="B2176">
        <v>256</v>
      </c>
      <c r="C2176">
        <v>0</v>
      </c>
    </row>
    <row r="2177" spans="1:3" x14ac:dyDescent="0.15">
      <c r="A2177" t="s">
        <v>835</v>
      </c>
      <c r="B2177">
        <v>362.03870000000001</v>
      </c>
      <c r="C2177">
        <v>0</v>
      </c>
    </row>
    <row r="2178" spans="1:3" x14ac:dyDescent="0.15">
      <c r="A2178" t="s">
        <v>835</v>
      </c>
      <c r="B2178">
        <v>512</v>
      </c>
      <c r="C2178">
        <v>0</v>
      </c>
    </row>
    <row r="2179" spans="1:3" x14ac:dyDescent="0.15">
      <c r="A2179" t="s">
        <v>835</v>
      </c>
      <c r="B2179">
        <v>724.07730000000004</v>
      </c>
      <c r="C2179">
        <v>0</v>
      </c>
    </row>
    <row r="2180" spans="1:3" x14ac:dyDescent="0.15">
      <c r="A2180" t="s">
        <v>837</v>
      </c>
      <c r="B2180">
        <v>2</v>
      </c>
      <c r="C2180">
        <v>1.102897E-3</v>
      </c>
    </row>
    <row r="2181" spans="1:3" x14ac:dyDescent="0.15">
      <c r="A2181" t="s">
        <v>837</v>
      </c>
      <c r="B2181">
        <v>2.8283999999999998</v>
      </c>
      <c r="C2181">
        <v>1.2072070000000001E-3</v>
      </c>
    </row>
    <row r="2182" spans="1:3" x14ac:dyDescent="0.15">
      <c r="A2182" t="s">
        <v>837</v>
      </c>
      <c r="B2182">
        <v>4</v>
      </c>
      <c r="C2182">
        <v>1.199964E-3</v>
      </c>
    </row>
    <row r="2183" spans="1:3" x14ac:dyDescent="0.15">
      <c r="A2183" t="s">
        <v>837</v>
      </c>
      <c r="B2183">
        <v>5.6569000000000003</v>
      </c>
      <c r="C2183">
        <v>1.0786680000000001E-3</v>
      </c>
    </row>
    <row r="2184" spans="1:3" x14ac:dyDescent="0.15">
      <c r="A2184" t="s">
        <v>837</v>
      </c>
      <c r="B2184">
        <v>8</v>
      </c>
      <c r="C2184">
        <v>9.2958600000000004E-4</v>
      </c>
    </row>
    <row r="2185" spans="1:3" x14ac:dyDescent="0.15">
      <c r="A2185" t="s">
        <v>837</v>
      </c>
      <c r="B2185">
        <v>11.313700000000001</v>
      </c>
      <c r="C2185">
        <v>8.5958599999999997E-4</v>
      </c>
    </row>
    <row r="2186" spans="1:3" x14ac:dyDescent="0.15">
      <c r="A2186" t="s">
        <v>837</v>
      </c>
      <c r="B2186">
        <v>16</v>
      </c>
      <c r="C2186">
        <v>7.7806200000000005E-4</v>
      </c>
    </row>
    <row r="2187" spans="1:3" x14ac:dyDescent="0.15">
      <c r="A2187" t="s">
        <v>837</v>
      </c>
      <c r="B2187">
        <v>22.627400000000002</v>
      </c>
      <c r="C2187">
        <v>5.6078599999999997E-4</v>
      </c>
    </row>
    <row r="2188" spans="1:3" x14ac:dyDescent="0.15">
      <c r="A2188" t="s">
        <v>837</v>
      </c>
      <c r="B2188">
        <v>32</v>
      </c>
      <c r="C2188">
        <v>4.3466300000000001E-4</v>
      </c>
    </row>
    <row r="2189" spans="1:3" x14ac:dyDescent="0.15">
      <c r="A2189" t="s">
        <v>837</v>
      </c>
      <c r="B2189">
        <v>45.254800000000003</v>
      </c>
      <c r="C2189">
        <v>4.6443100000000001E-4</v>
      </c>
    </row>
    <row r="2190" spans="1:3" x14ac:dyDescent="0.15">
      <c r="A2190" t="s">
        <v>837</v>
      </c>
      <c r="B2190">
        <v>64</v>
      </c>
      <c r="C2190">
        <v>4.6584699999999997E-4</v>
      </c>
    </row>
    <row r="2191" spans="1:3" x14ac:dyDescent="0.15">
      <c r="A2191" t="s">
        <v>837</v>
      </c>
      <c r="B2191">
        <v>90.509699999999995</v>
      </c>
      <c r="C2191">
        <v>4.0791800000000001E-4</v>
      </c>
    </row>
    <row r="2192" spans="1:3" x14ac:dyDescent="0.15">
      <c r="A2192" t="s">
        <v>837</v>
      </c>
      <c r="B2192">
        <v>128</v>
      </c>
      <c r="C2192">
        <v>3.7722899999999998E-4</v>
      </c>
    </row>
    <row r="2193" spans="1:3" x14ac:dyDescent="0.15">
      <c r="A2193" t="s">
        <v>837</v>
      </c>
      <c r="B2193">
        <v>181.01929999999999</v>
      </c>
      <c r="C2193">
        <v>1.9206299999999999E-4</v>
      </c>
    </row>
    <row r="2194" spans="1:3" x14ac:dyDescent="0.15">
      <c r="A2194" t="s">
        <v>837</v>
      </c>
      <c r="B2194">
        <v>256</v>
      </c>
      <c r="C2194">
        <v>2.9499E-5</v>
      </c>
    </row>
    <row r="2195" spans="1:3" x14ac:dyDescent="0.15">
      <c r="A2195" t="s">
        <v>837</v>
      </c>
      <c r="B2195">
        <v>362.03870000000001</v>
      </c>
      <c r="C2195">
        <v>5.5000000000000003E-7</v>
      </c>
    </row>
    <row r="2196" spans="1:3" x14ac:dyDescent="0.15">
      <c r="A2196" t="s">
        <v>837</v>
      </c>
      <c r="B2196">
        <v>512</v>
      </c>
      <c r="C2196">
        <v>1.0000000000000001E-9</v>
      </c>
    </row>
    <row r="2197" spans="1:3" x14ac:dyDescent="0.15">
      <c r="A2197" t="s">
        <v>837</v>
      </c>
      <c r="B2197">
        <v>724.07730000000004</v>
      </c>
      <c r="C2197">
        <v>0</v>
      </c>
    </row>
    <row r="2198" spans="1:3" x14ac:dyDescent="0.15">
      <c r="A2198" t="s">
        <v>838</v>
      </c>
      <c r="B2198">
        <v>2</v>
      </c>
      <c r="C2198">
        <v>1.1022130000000001E-3</v>
      </c>
    </row>
    <row r="2199" spans="1:3" x14ac:dyDescent="0.15">
      <c r="A2199" t="s">
        <v>838</v>
      </c>
      <c r="B2199">
        <v>2.8283999999999998</v>
      </c>
      <c r="C2199">
        <v>1.4784360000000001E-3</v>
      </c>
    </row>
    <row r="2200" spans="1:3" x14ac:dyDescent="0.15">
      <c r="A2200" t="s">
        <v>838</v>
      </c>
      <c r="B2200">
        <v>4</v>
      </c>
      <c r="C2200">
        <v>1.7908010000000001E-3</v>
      </c>
    </row>
    <row r="2201" spans="1:3" x14ac:dyDescent="0.15">
      <c r="A2201" t="s">
        <v>838</v>
      </c>
      <c r="B2201">
        <v>5.6569000000000003</v>
      </c>
      <c r="C2201">
        <v>1.9231039999999999E-3</v>
      </c>
    </row>
    <row r="2202" spans="1:3" x14ac:dyDescent="0.15">
      <c r="A2202" t="s">
        <v>838</v>
      </c>
      <c r="B2202">
        <v>8</v>
      </c>
      <c r="C2202">
        <v>1.8706809999999999E-3</v>
      </c>
    </row>
    <row r="2203" spans="1:3" x14ac:dyDescent="0.15">
      <c r="A2203" t="s">
        <v>838</v>
      </c>
      <c r="B2203">
        <v>11.313700000000001</v>
      </c>
      <c r="C2203">
        <v>1.6620649999999999E-3</v>
      </c>
    </row>
    <row r="2204" spans="1:3" x14ac:dyDescent="0.15">
      <c r="A2204" t="s">
        <v>838</v>
      </c>
      <c r="B2204">
        <v>16</v>
      </c>
      <c r="C2204">
        <v>1.3810879999999999E-3</v>
      </c>
    </row>
    <row r="2205" spans="1:3" x14ac:dyDescent="0.15">
      <c r="A2205" t="s">
        <v>838</v>
      </c>
      <c r="B2205">
        <v>22.627400000000002</v>
      </c>
      <c r="C2205">
        <v>1.1324779999999999E-3</v>
      </c>
    </row>
    <row r="2206" spans="1:3" x14ac:dyDescent="0.15">
      <c r="A2206" t="s">
        <v>838</v>
      </c>
      <c r="B2206">
        <v>32</v>
      </c>
      <c r="C2206">
        <v>7.7280600000000001E-4</v>
      </c>
    </row>
    <row r="2207" spans="1:3" x14ac:dyDescent="0.15">
      <c r="A2207" t="s">
        <v>838</v>
      </c>
      <c r="B2207">
        <v>45.254800000000003</v>
      </c>
      <c r="C2207">
        <v>5.69361E-4</v>
      </c>
    </row>
    <row r="2208" spans="1:3" x14ac:dyDescent="0.15">
      <c r="A2208" t="s">
        <v>838</v>
      </c>
      <c r="B2208">
        <v>64</v>
      </c>
      <c r="C2208">
        <v>6.6518299999999996E-4</v>
      </c>
    </row>
    <row r="2209" spans="1:3" x14ac:dyDescent="0.15">
      <c r="A2209" t="s">
        <v>838</v>
      </c>
      <c r="B2209">
        <v>90.509699999999995</v>
      </c>
      <c r="C2209">
        <v>7.0998600000000002E-4</v>
      </c>
    </row>
    <row r="2210" spans="1:3" x14ac:dyDescent="0.15">
      <c r="A2210" t="s">
        <v>838</v>
      </c>
      <c r="B2210">
        <v>128</v>
      </c>
      <c r="C2210">
        <v>5.9488E-4</v>
      </c>
    </row>
    <row r="2211" spans="1:3" x14ac:dyDescent="0.15">
      <c r="A2211" t="s">
        <v>838</v>
      </c>
      <c r="B2211">
        <v>181.01929999999999</v>
      </c>
      <c r="C2211">
        <v>2.9158899999999998E-4</v>
      </c>
    </row>
    <row r="2212" spans="1:3" x14ac:dyDescent="0.15">
      <c r="A2212" t="s">
        <v>838</v>
      </c>
      <c r="B2212">
        <v>256</v>
      </c>
      <c r="C2212">
        <v>4.4818999999999999E-5</v>
      </c>
    </row>
    <row r="2213" spans="1:3" x14ac:dyDescent="0.15">
      <c r="A2213" t="s">
        <v>838</v>
      </c>
      <c r="B2213">
        <v>362.03870000000001</v>
      </c>
      <c r="C2213">
        <v>8.3600000000000002E-7</v>
      </c>
    </row>
    <row r="2214" spans="1:3" x14ac:dyDescent="0.15">
      <c r="A2214" t="s">
        <v>838</v>
      </c>
      <c r="B2214">
        <v>512</v>
      </c>
      <c r="C2214">
        <v>0</v>
      </c>
    </row>
    <row r="2215" spans="1:3" x14ac:dyDescent="0.15">
      <c r="A2215" t="s">
        <v>838</v>
      </c>
      <c r="B2215">
        <v>724.07730000000004</v>
      </c>
      <c r="C2215">
        <v>0</v>
      </c>
    </row>
    <row r="2216" spans="1:3" x14ac:dyDescent="0.15">
      <c r="A2216" t="s">
        <v>839</v>
      </c>
      <c r="B2216">
        <v>2</v>
      </c>
      <c r="C2216">
        <v>2.005944E-3</v>
      </c>
    </row>
    <row r="2217" spans="1:3" x14ac:dyDescent="0.15">
      <c r="A2217" t="s">
        <v>839</v>
      </c>
      <c r="B2217">
        <v>2.8283999999999998</v>
      </c>
      <c r="C2217">
        <v>1.9548209999999998E-3</v>
      </c>
    </row>
    <row r="2218" spans="1:3" x14ac:dyDescent="0.15">
      <c r="A2218" t="s">
        <v>839</v>
      </c>
      <c r="B2218">
        <v>4</v>
      </c>
      <c r="C2218">
        <v>1.8880069999999999E-3</v>
      </c>
    </row>
    <row r="2219" spans="1:3" x14ac:dyDescent="0.15">
      <c r="A2219" t="s">
        <v>839</v>
      </c>
      <c r="B2219">
        <v>5.6569000000000003</v>
      </c>
      <c r="C2219">
        <v>1.9211230000000001E-3</v>
      </c>
    </row>
    <row r="2220" spans="1:3" x14ac:dyDescent="0.15">
      <c r="A2220" t="s">
        <v>839</v>
      </c>
      <c r="B2220">
        <v>8</v>
      </c>
      <c r="C2220">
        <v>1.9460149999999999E-3</v>
      </c>
    </row>
    <row r="2221" spans="1:3" x14ac:dyDescent="0.15">
      <c r="A2221" t="s">
        <v>839</v>
      </c>
      <c r="B2221">
        <v>11.313700000000001</v>
      </c>
      <c r="C2221">
        <v>1.851721E-3</v>
      </c>
    </row>
    <row r="2222" spans="1:3" x14ac:dyDescent="0.15">
      <c r="A2222" t="s">
        <v>839</v>
      </c>
      <c r="B2222">
        <v>16</v>
      </c>
      <c r="C2222">
        <v>1.592392E-3</v>
      </c>
    </row>
    <row r="2223" spans="1:3" x14ac:dyDescent="0.15">
      <c r="A2223" t="s">
        <v>839</v>
      </c>
      <c r="B2223">
        <v>22.627400000000002</v>
      </c>
      <c r="C2223">
        <v>1.224382E-3</v>
      </c>
    </row>
    <row r="2224" spans="1:3" x14ac:dyDescent="0.15">
      <c r="A2224" t="s">
        <v>839</v>
      </c>
      <c r="B2224">
        <v>32</v>
      </c>
      <c r="C2224">
        <v>8.8682500000000005E-4</v>
      </c>
    </row>
    <row r="2225" spans="1:3" x14ac:dyDescent="0.15">
      <c r="A2225" t="s">
        <v>839</v>
      </c>
      <c r="B2225">
        <v>45.254800000000003</v>
      </c>
      <c r="C2225">
        <v>6.4400199999999996E-4</v>
      </c>
    </row>
    <row r="2226" spans="1:3" x14ac:dyDescent="0.15">
      <c r="A2226" t="s">
        <v>839</v>
      </c>
      <c r="B2226">
        <v>64</v>
      </c>
      <c r="C2226">
        <v>4.9284899999999996E-4</v>
      </c>
    </row>
    <row r="2227" spans="1:3" x14ac:dyDescent="0.15">
      <c r="A2227" t="s">
        <v>839</v>
      </c>
      <c r="B2227">
        <v>90.509699999999995</v>
      </c>
      <c r="C2227">
        <v>5.0269799999999999E-4</v>
      </c>
    </row>
    <row r="2228" spans="1:3" x14ac:dyDescent="0.15">
      <c r="A2228" t="s">
        <v>839</v>
      </c>
      <c r="B2228">
        <v>128</v>
      </c>
      <c r="C2228">
        <v>4.5557699999999998E-4</v>
      </c>
    </row>
    <row r="2229" spans="1:3" x14ac:dyDescent="0.15">
      <c r="A2229" t="s">
        <v>839</v>
      </c>
      <c r="B2229">
        <v>181.01929999999999</v>
      </c>
      <c r="C2229">
        <v>2.2691599999999999E-4</v>
      </c>
    </row>
    <row r="2230" spans="1:3" x14ac:dyDescent="0.15">
      <c r="A2230" t="s">
        <v>839</v>
      </c>
      <c r="B2230">
        <v>256</v>
      </c>
      <c r="C2230">
        <v>3.4816E-5</v>
      </c>
    </row>
    <row r="2231" spans="1:3" x14ac:dyDescent="0.15">
      <c r="A2231" t="s">
        <v>839</v>
      </c>
      <c r="B2231">
        <v>362.03870000000001</v>
      </c>
      <c r="C2231">
        <v>6.4899999999999995E-7</v>
      </c>
    </row>
    <row r="2232" spans="1:3" x14ac:dyDescent="0.15">
      <c r="A2232" t="s">
        <v>839</v>
      </c>
      <c r="B2232">
        <v>512</v>
      </c>
      <c r="C2232">
        <v>1.0000000000000001E-9</v>
      </c>
    </row>
    <row r="2233" spans="1:3" x14ac:dyDescent="0.15">
      <c r="A2233" t="s">
        <v>839</v>
      </c>
      <c r="B2233">
        <v>724.07730000000004</v>
      </c>
      <c r="C2233">
        <v>0</v>
      </c>
    </row>
    <row r="2234" spans="1:3" x14ac:dyDescent="0.15">
      <c r="A2234" t="s">
        <v>840</v>
      </c>
      <c r="B2234">
        <v>2</v>
      </c>
      <c r="C2234">
        <v>5.5603800000000002E-4</v>
      </c>
    </row>
    <row r="2235" spans="1:3" x14ac:dyDescent="0.15">
      <c r="A2235" t="s">
        <v>840</v>
      </c>
      <c r="B2235">
        <v>2.8283999999999998</v>
      </c>
      <c r="C2235">
        <v>6.5020200000000001E-4</v>
      </c>
    </row>
    <row r="2236" spans="1:3" x14ac:dyDescent="0.15">
      <c r="A2236" t="s">
        <v>840</v>
      </c>
      <c r="B2236">
        <v>4</v>
      </c>
      <c r="C2236">
        <v>7.1107799999999997E-4</v>
      </c>
    </row>
    <row r="2237" spans="1:3" x14ac:dyDescent="0.15">
      <c r="A2237" t="s">
        <v>840</v>
      </c>
      <c r="B2237">
        <v>5.6569000000000003</v>
      </c>
      <c r="C2237">
        <v>7.2818000000000004E-4</v>
      </c>
    </row>
    <row r="2238" spans="1:3" x14ac:dyDescent="0.15">
      <c r="A2238" t="s">
        <v>840</v>
      </c>
      <c r="B2238">
        <v>8</v>
      </c>
      <c r="C2238">
        <v>7.8963199999999996E-4</v>
      </c>
    </row>
    <row r="2239" spans="1:3" x14ac:dyDescent="0.15">
      <c r="A2239" t="s">
        <v>840</v>
      </c>
      <c r="B2239">
        <v>11.313700000000001</v>
      </c>
      <c r="C2239">
        <v>8.0408300000000003E-4</v>
      </c>
    </row>
    <row r="2240" spans="1:3" x14ac:dyDescent="0.15">
      <c r="A2240" t="s">
        <v>840</v>
      </c>
      <c r="B2240">
        <v>16</v>
      </c>
      <c r="C2240">
        <v>6.3468800000000001E-4</v>
      </c>
    </row>
    <row r="2241" spans="1:3" x14ac:dyDescent="0.15">
      <c r="A2241" t="s">
        <v>840</v>
      </c>
      <c r="B2241">
        <v>22.627400000000002</v>
      </c>
      <c r="C2241">
        <v>4.3993400000000001E-4</v>
      </c>
    </row>
    <row r="2242" spans="1:3" x14ac:dyDescent="0.15">
      <c r="A2242" t="s">
        <v>840</v>
      </c>
      <c r="B2242">
        <v>32</v>
      </c>
      <c r="C2242">
        <v>4.0146399999999998E-4</v>
      </c>
    </row>
    <row r="2243" spans="1:3" x14ac:dyDescent="0.15">
      <c r="A2243" t="s">
        <v>840</v>
      </c>
      <c r="B2243">
        <v>45.254800000000003</v>
      </c>
      <c r="C2243">
        <v>4.0891700000000002E-4</v>
      </c>
    </row>
    <row r="2244" spans="1:3" x14ac:dyDescent="0.15">
      <c r="A2244" t="s">
        <v>840</v>
      </c>
      <c r="B2244">
        <v>64</v>
      </c>
      <c r="C2244">
        <v>3.91381E-4</v>
      </c>
    </row>
    <row r="2245" spans="1:3" x14ac:dyDescent="0.15">
      <c r="A2245" t="s">
        <v>840</v>
      </c>
      <c r="B2245">
        <v>90.509699999999995</v>
      </c>
      <c r="C2245">
        <v>3.47938E-4</v>
      </c>
    </row>
    <row r="2246" spans="1:3" x14ac:dyDescent="0.15">
      <c r="A2246" t="s">
        <v>840</v>
      </c>
      <c r="B2246">
        <v>128</v>
      </c>
      <c r="C2246">
        <v>3.0708299999999999E-4</v>
      </c>
    </row>
    <row r="2247" spans="1:3" x14ac:dyDescent="0.15">
      <c r="A2247" t="s">
        <v>840</v>
      </c>
      <c r="B2247">
        <v>181.01929999999999</v>
      </c>
      <c r="C2247">
        <v>1.54198E-4</v>
      </c>
    </row>
    <row r="2248" spans="1:3" x14ac:dyDescent="0.15">
      <c r="A2248" t="s">
        <v>840</v>
      </c>
      <c r="B2248">
        <v>256</v>
      </c>
      <c r="C2248">
        <v>2.3659000000000002E-5</v>
      </c>
    </row>
    <row r="2249" spans="1:3" x14ac:dyDescent="0.15">
      <c r="A2249" t="s">
        <v>840</v>
      </c>
      <c r="B2249">
        <v>362.03870000000001</v>
      </c>
      <c r="C2249">
        <v>4.4099999999999999E-7</v>
      </c>
    </row>
    <row r="2250" spans="1:3" x14ac:dyDescent="0.15">
      <c r="A2250" t="s">
        <v>840</v>
      </c>
      <c r="B2250">
        <v>512</v>
      </c>
      <c r="C2250">
        <v>0</v>
      </c>
    </row>
    <row r="2251" spans="1:3" x14ac:dyDescent="0.15">
      <c r="A2251" t="s">
        <v>840</v>
      </c>
      <c r="B2251">
        <v>724.07730000000004</v>
      </c>
      <c r="C2251">
        <v>0</v>
      </c>
    </row>
    <row r="2252" spans="1:3" x14ac:dyDescent="0.15">
      <c r="A2252" t="s">
        <v>841</v>
      </c>
      <c r="B2252">
        <v>2</v>
      </c>
      <c r="C2252">
        <v>1.2209390000000001E-3</v>
      </c>
    </row>
    <row r="2253" spans="1:3" x14ac:dyDescent="0.15">
      <c r="A2253" t="s">
        <v>841</v>
      </c>
      <c r="B2253">
        <v>2.8283999999999998</v>
      </c>
      <c r="C2253">
        <v>1.5407839999999999E-3</v>
      </c>
    </row>
    <row r="2254" spans="1:3" x14ac:dyDescent="0.15">
      <c r="A2254" t="s">
        <v>841</v>
      </c>
      <c r="B2254">
        <v>4</v>
      </c>
      <c r="C2254">
        <v>1.719705E-3</v>
      </c>
    </row>
    <row r="2255" spans="1:3" x14ac:dyDescent="0.15">
      <c r="A2255" t="s">
        <v>841</v>
      </c>
      <c r="B2255">
        <v>5.6569000000000003</v>
      </c>
      <c r="C2255">
        <v>1.669944E-3</v>
      </c>
    </row>
    <row r="2256" spans="1:3" x14ac:dyDescent="0.15">
      <c r="A2256" t="s">
        <v>841</v>
      </c>
      <c r="B2256">
        <v>8</v>
      </c>
      <c r="C2256">
        <v>1.5450450000000001E-3</v>
      </c>
    </row>
    <row r="2257" spans="1:3" x14ac:dyDescent="0.15">
      <c r="A2257" t="s">
        <v>841</v>
      </c>
      <c r="B2257">
        <v>11.313700000000001</v>
      </c>
      <c r="C2257">
        <v>1.5296789999999999E-3</v>
      </c>
    </row>
    <row r="2258" spans="1:3" x14ac:dyDescent="0.15">
      <c r="A2258" t="s">
        <v>841</v>
      </c>
      <c r="B2258">
        <v>16</v>
      </c>
      <c r="C2258">
        <v>1.5260110000000001E-3</v>
      </c>
    </row>
    <row r="2259" spans="1:3" x14ac:dyDescent="0.15">
      <c r="A2259" t="s">
        <v>841</v>
      </c>
      <c r="B2259">
        <v>22.627400000000002</v>
      </c>
      <c r="C2259">
        <v>1.204449E-3</v>
      </c>
    </row>
    <row r="2260" spans="1:3" x14ac:dyDescent="0.15">
      <c r="A2260" t="s">
        <v>841</v>
      </c>
      <c r="B2260">
        <v>32</v>
      </c>
      <c r="C2260">
        <v>6.9554899999999995E-4</v>
      </c>
    </row>
    <row r="2261" spans="1:3" x14ac:dyDescent="0.15">
      <c r="A2261" t="s">
        <v>841</v>
      </c>
      <c r="B2261">
        <v>45.254800000000003</v>
      </c>
      <c r="C2261">
        <v>5.8969000000000003E-4</v>
      </c>
    </row>
    <row r="2262" spans="1:3" x14ac:dyDescent="0.15">
      <c r="A2262" t="s">
        <v>841</v>
      </c>
      <c r="B2262">
        <v>64</v>
      </c>
      <c r="C2262">
        <v>7.4279700000000001E-4</v>
      </c>
    </row>
    <row r="2263" spans="1:3" x14ac:dyDescent="0.15">
      <c r="A2263" t="s">
        <v>841</v>
      </c>
      <c r="B2263">
        <v>90.509699999999995</v>
      </c>
      <c r="C2263">
        <v>8.2185600000000004E-4</v>
      </c>
    </row>
    <row r="2264" spans="1:3" x14ac:dyDescent="0.15">
      <c r="A2264" t="s">
        <v>841</v>
      </c>
      <c r="B2264">
        <v>128</v>
      </c>
      <c r="C2264">
        <v>7.1395200000000001E-4</v>
      </c>
    </row>
    <row r="2265" spans="1:3" x14ac:dyDescent="0.15">
      <c r="A2265" t="s">
        <v>841</v>
      </c>
      <c r="B2265">
        <v>181.01929999999999</v>
      </c>
      <c r="C2265">
        <v>3.53061E-4</v>
      </c>
    </row>
    <row r="2266" spans="1:3" x14ac:dyDescent="0.15">
      <c r="A2266" t="s">
        <v>841</v>
      </c>
      <c r="B2266">
        <v>256</v>
      </c>
      <c r="C2266">
        <v>5.4295000000000001E-5</v>
      </c>
    </row>
    <row r="2267" spans="1:3" x14ac:dyDescent="0.15">
      <c r="A2267" t="s">
        <v>841</v>
      </c>
      <c r="B2267">
        <v>362.03870000000001</v>
      </c>
      <c r="C2267">
        <v>1.0130000000000001E-6</v>
      </c>
    </row>
    <row r="2268" spans="1:3" x14ac:dyDescent="0.15">
      <c r="A2268" t="s">
        <v>841</v>
      </c>
      <c r="B2268">
        <v>512</v>
      </c>
      <c r="C2268">
        <v>1.0000000000000001E-9</v>
      </c>
    </row>
    <row r="2269" spans="1:3" x14ac:dyDescent="0.15">
      <c r="A2269" t="s">
        <v>841</v>
      </c>
      <c r="B2269">
        <v>724.07730000000004</v>
      </c>
      <c r="C2269">
        <v>0</v>
      </c>
    </row>
    <row r="2270" spans="1:3" x14ac:dyDescent="0.15">
      <c r="A2270" t="s">
        <v>842</v>
      </c>
      <c r="B2270">
        <v>2</v>
      </c>
      <c r="C2270">
        <v>6.2804099999999997E-4</v>
      </c>
    </row>
    <row r="2271" spans="1:3" x14ac:dyDescent="0.15">
      <c r="A2271" t="s">
        <v>842</v>
      </c>
      <c r="B2271">
        <v>2.8283999999999998</v>
      </c>
      <c r="C2271">
        <v>7.2973000000000005E-4</v>
      </c>
    </row>
    <row r="2272" spans="1:3" x14ac:dyDescent="0.15">
      <c r="A2272" t="s">
        <v>842</v>
      </c>
      <c r="B2272">
        <v>4</v>
      </c>
      <c r="C2272">
        <v>8.4349999999999996E-4</v>
      </c>
    </row>
    <row r="2273" spans="1:3" x14ac:dyDescent="0.15">
      <c r="A2273" t="s">
        <v>842</v>
      </c>
      <c r="B2273">
        <v>5.6569000000000003</v>
      </c>
      <c r="C2273">
        <v>9.0123099999999995E-4</v>
      </c>
    </row>
    <row r="2274" spans="1:3" x14ac:dyDescent="0.15">
      <c r="A2274" t="s">
        <v>842</v>
      </c>
      <c r="B2274">
        <v>8</v>
      </c>
      <c r="C2274">
        <v>8.3593299999999997E-4</v>
      </c>
    </row>
    <row r="2275" spans="1:3" x14ac:dyDescent="0.15">
      <c r="A2275" t="s">
        <v>842</v>
      </c>
      <c r="B2275">
        <v>11.313700000000001</v>
      </c>
      <c r="C2275">
        <v>6.3291499999999995E-4</v>
      </c>
    </row>
    <row r="2276" spans="1:3" x14ac:dyDescent="0.15">
      <c r="A2276" t="s">
        <v>842</v>
      </c>
      <c r="B2276">
        <v>16</v>
      </c>
      <c r="C2276">
        <v>4.3229299999999999E-4</v>
      </c>
    </row>
    <row r="2277" spans="1:3" x14ac:dyDescent="0.15">
      <c r="A2277" t="s">
        <v>842</v>
      </c>
      <c r="B2277">
        <v>22.627400000000002</v>
      </c>
      <c r="C2277">
        <v>3.0623800000000002E-4</v>
      </c>
    </row>
    <row r="2278" spans="1:3" x14ac:dyDescent="0.15">
      <c r="A2278" t="s">
        <v>842</v>
      </c>
      <c r="B2278">
        <v>32</v>
      </c>
      <c r="C2278">
        <v>2.5543400000000002E-4</v>
      </c>
    </row>
    <row r="2279" spans="1:3" x14ac:dyDescent="0.15">
      <c r="A2279" t="s">
        <v>842</v>
      </c>
      <c r="B2279">
        <v>45.254800000000003</v>
      </c>
      <c r="C2279">
        <v>2.0840499999999999E-4</v>
      </c>
    </row>
    <row r="2280" spans="1:3" x14ac:dyDescent="0.15">
      <c r="A2280" t="s">
        <v>842</v>
      </c>
      <c r="B2280">
        <v>64</v>
      </c>
      <c r="C2280">
        <v>2.5825099999999998E-4</v>
      </c>
    </row>
    <row r="2281" spans="1:3" x14ac:dyDescent="0.15">
      <c r="A2281" t="s">
        <v>842</v>
      </c>
      <c r="B2281">
        <v>90.509699999999995</v>
      </c>
      <c r="C2281">
        <v>3.7874600000000001E-4</v>
      </c>
    </row>
    <row r="2282" spans="1:3" x14ac:dyDescent="0.15">
      <c r="A2282" t="s">
        <v>842</v>
      </c>
      <c r="B2282">
        <v>128</v>
      </c>
      <c r="C2282">
        <v>3.7961499999999998E-4</v>
      </c>
    </row>
    <row r="2283" spans="1:3" x14ac:dyDescent="0.15">
      <c r="A2283" t="s">
        <v>842</v>
      </c>
      <c r="B2283">
        <v>181.01929999999999</v>
      </c>
      <c r="C2283">
        <v>1.9160800000000001E-4</v>
      </c>
    </row>
    <row r="2284" spans="1:3" x14ac:dyDescent="0.15">
      <c r="A2284" t="s">
        <v>842</v>
      </c>
      <c r="B2284">
        <v>256</v>
      </c>
      <c r="C2284">
        <v>2.9416000000000001E-5</v>
      </c>
    </row>
    <row r="2285" spans="1:3" x14ac:dyDescent="0.15">
      <c r="A2285" t="s">
        <v>842</v>
      </c>
      <c r="B2285">
        <v>362.03870000000001</v>
      </c>
      <c r="C2285">
        <v>5.4799999999999998E-7</v>
      </c>
    </row>
    <row r="2286" spans="1:3" x14ac:dyDescent="0.15">
      <c r="A2286" t="s">
        <v>842</v>
      </c>
      <c r="B2286">
        <v>512</v>
      </c>
      <c r="C2286">
        <v>0</v>
      </c>
    </row>
    <row r="2287" spans="1:3" x14ac:dyDescent="0.15">
      <c r="A2287" t="s">
        <v>842</v>
      </c>
      <c r="B2287">
        <v>724.07730000000004</v>
      </c>
      <c r="C2287">
        <v>0</v>
      </c>
    </row>
    <row r="2288" spans="1:3" x14ac:dyDescent="0.15">
      <c r="A2288" t="s">
        <v>843</v>
      </c>
      <c r="B2288">
        <v>2</v>
      </c>
      <c r="C2288">
        <v>1.8373090000000001E-3</v>
      </c>
    </row>
    <row r="2289" spans="1:3" x14ac:dyDescent="0.15">
      <c r="A2289" t="s">
        <v>843</v>
      </c>
      <c r="B2289">
        <v>2.8283999999999998</v>
      </c>
      <c r="C2289">
        <v>2.2543939999999998E-3</v>
      </c>
    </row>
    <row r="2290" spans="1:3" x14ac:dyDescent="0.15">
      <c r="A2290" t="s">
        <v>843</v>
      </c>
      <c r="B2290">
        <v>4</v>
      </c>
      <c r="C2290">
        <v>2.5652280000000001E-3</v>
      </c>
    </row>
    <row r="2291" spans="1:3" x14ac:dyDescent="0.15">
      <c r="A2291" t="s">
        <v>843</v>
      </c>
      <c r="B2291">
        <v>5.6569000000000003</v>
      </c>
      <c r="C2291">
        <v>2.6237629999999999E-3</v>
      </c>
    </row>
    <row r="2292" spans="1:3" x14ac:dyDescent="0.15">
      <c r="A2292" t="s">
        <v>843</v>
      </c>
      <c r="B2292">
        <v>8</v>
      </c>
      <c r="C2292">
        <v>2.362252E-3</v>
      </c>
    </row>
    <row r="2293" spans="1:3" x14ac:dyDescent="0.15">
      <c r="A2293" t="s">
        <v>843</v>
      </c>
      <c r="B2293">
        <v>11.313700000000001</v>
      </c>
      <c r="C2293">
        <v>1.9217800000000001E-3</v>
      </c>
    </row>
    <row r="2294" spans="1:3" x14ac:dyDescent="0.15">
      <c r="A2294" t="s">
        <v>843</v>
      </c>
      <c r="B2294">
        <v>16</v>
      </c>
      <c r="C2294">
        <v>1.589383E-3</v>
      </c>
    </row>
    <row r="2295" spans="1:3" x14ac:dyDescent="0.15">
      <c r="A2295" t="s">
        <v>843</v>
      </c>
      <c r="B2295">
        <v>22.627400000000002</v>
      </c>
      <c r="C2295">
        <v>1.170293E-3</v>
      </c>
    </row>
    <row r="2296" spans="1:3" x14ac:dyDescent="0.15">
      <c r="A2296" t="s">
        <v>843</v>
      </c>
      <c r="B2296">
        <v>32</v>
      </c>
      <c r="C2296">
        <v>1.036089E-3</v>
      </c>
    </row>
    <row r="2297" spans="1:3" x14ac:dyDescent="0.15">
      <c r="A2297" t="s">
        <v>843</v>
      </c>
      <c r="B2297">
        <v>45.254800000000003</v>
      </c>
      <c r="C2297">
        <v>1.301977E-3</v>
      </c>
    </row>
    <row r="2298" spans="1:3" x14ac:dyDescent="0.15">
      <c r="A2298" t="s">
        <v>843</v>
      </c>
      <c r="B2298">
        <v>64</v>
      </c>
      <c r="C2298">
        <v>1.383677E-3</v>
      </c>
    </row>
    <row r="2299" spans="1:3" x14ac:dyDescent="0.15">
      <c r="A2299" t="s">
        <v>843</v>
      </c>
      <c r="B2299">
        <v>90.509699999999995</v>
      </c>
      <c r="C2299">
        <v>1.1058000000000001E-3</v>
      </c>
    </row>
    <row r="2300" spans="1:3" x14ac:dyDescent="0.15">
      <c r="A2300" t="s">
        <v>843</v>
      </c>
      <c r="B2300">
        <v>128</v>
      </c>
      <c r="C2300">
        <v>7.80194E-4</v>
      </c>
    </row>
    <row r="2301" spans="1:3" x14ac:dyDescent="0.15">
      <c r="A2301" t="s">
        <v>843</v>
      </c>
      <c r="B2301">
        <v>181.01929999999999</v>
      </c>
      <c r="C2301">
        <v>3.7177199999999998E-4</v>
      </c>
    </row>
    <row r="2302" spans="1:3" x14ac:dyDescent="0.15">
      <c r="A2302" t="s">
        <v>843</v>
      </c>
      <c r="B2302">
        <v>256</v>
      </c>
      <c r="C2302">
        <v>5.6954999999999999E-5</v>
      </c>
    </row>
    <row r="2303" spans="1:3" x14ac:dyDescent="0.15">
      <c r="A2303" t="s">
        <v>843</v>
      </c>
      <c r="B2303">
        <v>362.03870000000001</v>
      </c>
      <c r="C2303">
        <v>1.062E-6</v>
      </c>
    </row>
    <row r="2304" spans="1:3" x14ac:dyDescent="0.15">
      <c r="A2304" t="s">
        <v>843</v>
      </c>
      <c r="B2304">
        <v>512</v>
      </c>
      <c r="C2304">
        <v>1.0000000000000001E-9</v>
      </c>
    </row>
    <row r="2305" spans="1:3" x14ac:dyDescent="0.15">
      <c r="A2305" t="s">
        <v>843</v>
      </c>
      <c r="B2305">
        <v>724.07730000000004</v>
      </c>
      <c r="C2305">
        <v>0</v>
      </c>
    </row>
    <row r="2306" spans="1:3" x14ac:dyDescent="0.15">
      <c r="A2306" t="s">
        <v>844</v>
      </c>
      <c r="B2306">
        <v>2</v>
      </c>
      <c r="C2306">
        <v>7.3285699999999995E-4</v>
      </c>
    </row>
    <row r="2307" spans="1:3" x14ac:dyDescent="0.15">
      <c r="A2307" t="s">
        <v>844</v>
      </c>
      <c r="B2307">
        <v>2.8283999999999998</v>
      </c>
      <c r="C2307">
        <v>9.3467599999999995E-4</v>
      </c>
    </row>
    <row r="2308" spans="1:3" x14ac:dyDescent="0.15">
      <c r="A2308" t="s">
        <v>844</v>
      </c>
      <c r="B2308">
        <v>4</v>
      </c>
      <c r="C2308">
        <v>1.1053129999999999E-3</v>
      </c>
    </row>
    <row r="2309" spans="1:3" x14ac:dyDescent="0.15">
      <c r="A2309" t="s">
        <v>844</v>
      </c>
      <c r="B2309">
        <v>5.6569000000000003</v>
      </c>
      <c r="C2309">
        <v>1.1303330000000001E-3</v>
      </c>
    </row>
    <row r="2310" spans="1:3" x14ac:dyDescent="0.15">
      <c r="A2310" t="s">
        <v>844</v>
      </c>
      <c r="B2310">
        <v>8</v>
      </c>
      <c r="C2310">
        <v>1.039461E-3</v>
      </c>
    </row>
    <row r="2311" spans="1:3" x14ac:dyDescent="0.15">
      <c r="A2311" t="s">
        <v>844</v>
      </c>
      <c r="B2311">
        <v>11.313700000000001</v>
      </c>
      <c r="C2311">
        <v>9.1807200000000003E-4</v>
      </c>
    </row>
    <row r="2312" spans="1:3" x14ac:dyDescent="0.15">
      <c r="A2312" t="s">
        <v>844</v>
      </c>
      <c r="B2312">
        <v>16</v>
      </c>
      <c r="C2312">
        <v>7.5750100000000005E-4</v>
      </c>
    </row>
    <row r="2313" spans="1:3" x14ac:dyDescent="0.15">
      <c r="A2313" t="s">
        <v>844</v>
      </c>
      <c r="B2313">
        <v>22.627400000000002</v>
      </c>
      <c r="C2313">
        <v>5.1050499999999996E-4</v>
      </c>
    </row>
    <row r="2314" spans="1:3" x14ac:dyDescent="0.15">
      <c r="A2314" t="s">
        <v>844</v>
      </c>
      <c r="B2314">
        <v>32</v>
      </c>
      <c r="C2314">
        <v>2.9632299999999997E-4</v>
      </c>
    </row>
    <row r="2315" spans="1:3" x14ac:dyDescent="0.15">
      <c r="A2315" t="s">
        <v>844</v>
      </c>
      <c r="B2315">
        <v>45.254800000000003</v>
      </c>
      <c r="C2315">
        <v>2.18509E-4</v>
      </c>
    </row>
    <row r="2316" spans="1:3" x14ac:dyDescent="0.15">
      <c r="A2316" t="s">
        <v>844</v>
      </c>
      <c r="B2316">
        <v>64</v>
      </c>
      <c r="C2316">
        <v>1.9924299999999999E-4</v>
      </c>
    </row>
    <row r="2317" spans="1:3" x14ac:dyDescent="0.15">
      <c r="A2317" t="s">
        <v>844</v>
      </c>
      <c r="B2317">
        <v>90.509699999999995</v>
      </c>
      <c r="C2317">
        <v>1.57954E-4</v>
      </c>
    </row>
    <row r="2318" spans="1:3" x14ac:dyDescent="0.15">
      <c r="A2318" t="s">
        <v>844</v>
      </c>
      <c r="B2318">
        <v>128</v>
      </c>
      <c r="C2318">
        <v>1.28641E-4</v>
      </c>
    </row>
    <row r="2319" spans="1:3" x14ac:dyDescent="0.15">
      <c r="A2319" t="s">
        <v>844</v>
      </c>
      <c r="B2319">
        <v>181.01929999999999</v>
      </c>
      <c r="C2319">
        <v>6.4461999999999994E-5</v>
      </c>
    </row>
    <row r="2320" spans="1:3" x14ac:dyDescent="0.15">
      <c r="A2320" t="s">
        <v>844</v>
      </c>
      <c r="B2320">
        <v>256</v>
      </c>
      <c r="C2320">
        <v>9.9180000000000006E-6</v>
      </c>
    </row>
    <row r="2321" spans="1:3" x14ac:dyDescent="0.15">
      <c r="A2321" t="s">
        <v>844</v>
      </c>
      <c r="B2321">
        <v>362.03870000000001</v>
      </c>
      <c r="C2321">
        <v>1.85E-7</v>
      </c>
    </row>
    <row r="2322" spans="1:3" x14ac:dyDescent="0.15">
      <c r="A2322" t="s">
        <v>844</v>
      </c>
      <c r="B2322">
        <v>512</v>
      </c>
      <c r="C2322">
        <v>0</v>
      </c>
    </row>
    <row r="2323" spans="1:3" x14ac:dyDescent="0.15">
      <c r="A2323" t="s">
        <v>844</v>
      </c>
      <c r="B2323">
        <v>724.07730000000004</v>
      </c>
      <c r="C2323">
        <v>0</v>
      </c>
    </row>
    <row r="2324" spans="1:3" x14ac:dyDescent="0.15">
      <c r="A2324" t="s">
        <v>845</v>
      </c>
      <c r="B2324">
        <v>2</v>
      </c>
      <c r="C2324">
        <v>1.3739379999999999E-3</v>
      </c>
    </row>
    <row r="2325" spans="1:3" x14ac:dyDescent="0.15">
      <c r="A2325" t="s">
        <v>845</v>
      </c>
      <c r="B2325">
        <v>2.8283999999999998</v>
      </c>
      <c r="C2325">
        <v>1.4598409999999999E-3</v>
      </c>
    </row>
    <row r="2326" spans="1:3" x14ac:dyDescent="0.15">
      <c r="A2326" t="s">
        <v>845</v>
      </c>
      <c r="B2326">
        <v>4</v>
      </c>
      <c r="C2326">
        <v>1.4477159999999999E-3</v>
      </c>
    </row>
    <row r="2327" spans="1:3" x14ac:dyDescent="0.15">
      <c r="A2327" t="s">
        <v>845</v>
      </c>
      <c r="B2327">
        <v>5.6569000000000003</v>
      </c>
      <c r="C2327">
        <v>1.4455449999999999E-3</v>
      </c>
    </row>
    <row r="2328" spans="1:3" x14ac:dyDescent="0.15">
      <c r="A2328" t="s">
        <v>845</v>
      </c>
      <c r="B2328">
        <v>8</v>
      </c>
      <c r="C2328">
        <v>1.4349549999999999E-3</v>
      </c>
    </row>
    <row r="2329" spans="1:3" x14ac:dyDescent="0.15">
      <c r="A2329" t="s">
        <v>845</v>
      </c>
      <c r="B2329">
        <v>11.313700000000001</v>
      </c>
      <c r="C2329">
        <v>1.330454E-3</v>
      </c>
    </row>
    <row r="2330" spans="1:3" x14ac:dyDescent="0.15">
      <c r="A2330" t="s">
        <v>845</v>
      </c>
      <c r="B2330">
        <v>16</v>
      </c>
      <c r="C2330">
        <v>1.154899E-3</v>
      </c>
    </row>
    <row r="2331" spans="1:3" x14ac:dyDescent="0.15">
      <c r="A2331" t="s">
        <v>845</v>
      </c>
      <c r="B2331">
        <v>22.627400000000002</v>
      </c>
      <c r="C2331">
        <v>9.8914199999999993E-4</v>
      </c>
    </row>
    <row r="2332" spans="1:3" x14ac:dyDescent="0.15">
      <c r="A2332" t="s">
        <v>845</v>
      </c>
      <c r="B2332">
        <v>32</v>
      </c>
      <c r="C2332">
        <v>8.2824000000000005E-4</v>
      </c>
    </row>
    <row r="2333" spans="1:3" x14ac:dyDescent="0.15">
      <c r="A2333" t="s">
        <v>845</v>
      </c>
      <c r="B2333">
        <v>45.254800000000003</v>
      </c>
      <c r="C2333">
        <v>5.9765399999999998E-4</v>
      </c>
    </row>
    <row r="2334" spans="1:3" x14ac:dyDescent="0.15">
      <c r="A2334" t="s">
        <v>845</v>
      </c>
      <c r="B2334">
        <v>64</v>
      </c>
      <c r="C2334">
        <v>3.8348899999999999E-4</v>
      </c>
    </row>
    <row r="2335" spans="1:3" x14ac:dyDescent="0.15">
      <c r="A2335" t="s">
        <v>845</v>
      </c>
      <c r="B2335">
        <v>90.509699999999995</v>
      </c>
      <c r="C2335">
        <v>1.7725799999999999E-4</v>
      </c>
    </row>
    <row r="2336" spans="1:3" x14ac:dyDescent="0.15">
      <c r="A2336" t="s">
        <v>845</v>
      </c>
      <c r="B2336">
        <v>128</v>
      </c>
      <c r="C2336">
        <v>2.7121E-5</v>
      </c>
    </row>
    <row r="2337" spans="1:3" x14ac:dyDescent="0.15">
      <c r="A2337" t="s">
        <v>845</v>
      </c>
      <c r="B2337">
        <v>181.01929999999999</v>
      </c>
      <c r="C2337">
        <v>5.06E-7</v>
      </c>
    </row>
    <row r="2338" spans="1:3" x14ac:dyDescent="0.15">
      <c r="A2338" t="s">
        <v>845</v>
      </c>
      <c r="B2338">
        <v>256</v>
      </c>
      <c r="C2338">
        <v>0</v>
      </c>
    </row>
    <row r="2339" spans="1:3" x14ac:dyDescent="0.15">
      <c r="A2339" t="s">
        <v>845</v>
      </c>
      <c r="B2339">
        <v>362.03870000000001</v>
      </c>
      <c r="C2339">
        <v>0</v>
      </c>
    </row>
    <row r="2340" spans="1:3" x14ac:dyDescent="0.15">
      <c r="A2340" t="s">
        <v>845</v>
      </c>
      <c r="B2340">
        <v>512</v>
      </c>
      <c r="C2340">
        <v>0</v>
      </c>
    </row>
    <row r="2341" spans="1:3" x14ac:dyDescent="0.15">
      <c r="A2341" t="s">
        <v>845</v>
      </c>
      <c r="B2341">
        <v>724.07730000000004</v>
      </c>
      <c r="C2341">
        <v>0</v>
      </c>
    </row>
    <row r="2342" spans="1:3" x14ac:dyDescent="0.15">
      <c r="A2342" t="s">
        <v>846</v>
      </c>
      <c r="B2342">
        <v>2</v>
      </c>
      <c r="C2342">
        <v>6.4363300000000001E-4</v>
      </c>
    </row>
    <row r="2343" spans="1:3" x14ac:dyDescent="0.15">
      <c r="A2343" t="s">
        <v>846</v>
      </c>
      <c r="B2343">
        <v>2.8283999999999998</v>
      </c>
      <c r="C2343">
        <v>8.8754600000000002E-4</v>
      </c>
    </row>
    <row r="2344" spans="1:3" x14ac:dyDescent="0.15">
      <c r="A2344" t="s">
        <v>846</v>
      </c>
      <c r="B2344">
        <v>4</v>
      </c>
      <c r="C2344">
        <v>1.1899059999999999E-3</v>
      </c>
    </row>
    <row r="2345" spans="1:3" x14ac:dyDescent="0.15">
      <c r="A2345" t="s">
        <v>846</v>
      </c>
      <c r="B2345">
        <v>5.6569000000000003</v>
      </c>
      <c r="C2345">
        <v>1.326912E-3</v>
      </c>
    </row>
    <row r="2346" spans="1:3" x14ac:dyDescent="0.15">
      <c r="A2346" t="s">
        <v>846</v>
      </c>
      <c r="B2346">
        <v>8</v>
      </c>
      <c r="C2346">
        <v>1.1227279999999999E-3</v>
      </c>
    </row>
    <row r="2347" spans="1:3" x14ac:dyDescent="0.15">
      <c r="A2347" t="s">
        <v>846</v>
      </c>
      <c r="B2347">
        <v>11.313700000000001</v>
      </c>
      <c r="C2347">
        <v>6.9312099999999999E-4</v>
      </c>
    </row>
    <row r="2348" spans="1:3" x14ac:dyDescent="0.15">
      <c r="A2348" t="s">
        <v>846</v>
      </c>
      <c r="B2348">
        <v>16</v>
      </c>
      <c r="C2348">
        <v>4.22695E-4</v>
      </c>
    </row>
    <row r="2349" spans="1:3" x14ac:dyDescent="0.15">
      <c r="A2349" t="s">
        <v>846</v>
      </c>
      <c r="B2349">
        <v>22.627400000000002</v>
      </c>
      <c r="C2349">
        <v>2.8830899999999999E-4</v>
      </c>
    </row>
    <row r="2350" spans="1:3" x14ac:dyDescent="0.15">
      <c r="A2350" t="s">
        <v>846</v>
      </c>
      <c r="B2350">
        <v>32</v>
      </c>
      <c r="C2350">
        <v>2.9644600000000001E-4</v>
      </c>
    </row>
    <row r="2351" spans="1:3" x14ac:dyDescent="0.15">
      <c r="A2351" t="s">
        <v>846</v>
      </c>
      <c r="B2351">
        <v>45.254800000000003</v>
      </c>
      <c r="C2351">
        <v>4.6937599999999997E-4</v>
      </c>
    </row>
    <row r="2352" spans="1:3" x14ac:dyDescent="0.15">
      <c r="A2352" t="s">
        <v>846</v>
      </c>
      <c r="B2352">
        <v>64</v>
      </c>
      <c r="C2352">
        <v>7.8123500000000002E-4</v>
      </c>
    </row>
    <row r="2353" spans="1:3" x14ac:dyDescent="0.15">
      <c r="A2353" t="s">
        <v>846</v>
      </c>
      <c r="B2353">
        <v>90.509699999999995</v>
      </c>
      <c r="C2353">
        <v>1.10604E-3</v>
      </c>
    </row>
    <row r="2354" spans="1:3" x14ac:dyDescent="0.15">
      <c r="A2354" t="s">
        <v>846</v>
      </c>
      <c r="B2354">
        <v>128</v>
      </c>
      <c r="C2354">
        <v>1.088849E-3</v>
      </c>
    </row>
    <row r="2355" spans="1:3" x14ac:dyDescent="0.15">
      <c r="A2355" t="s">
        <v>846</v>
      </c>
      <c r="B2355">
        <v>181.01929999999999</v>
      </c>
      <c r="C2355">
        <v>5.4786600000000004E-4</v>
      </c>
    </row>
    <row r="2356" spans="1:3" x14ac:dyDescent="0.15">
      <c r="A2356" t="s">
        <v>846</v>
      </c>
      <c r="B2356">
        <v>256</v>
      </c>
      <c r="C2356">
        <v>8.4098999999999996E-5</v>
      </c>
    </row>
    <row r="2357" spans="1:3" x14ac:dyDescent="0.15">
      <c r="A2357" t="s">
        <v>846</v>
      </c>
      <c r="B2357">
        <v>362.03870000000001</v>
      </c>
      <c r="C2357">
        <v>1.5680000000000001E-6</v>
      </c>
    </row>
    <row r="2358" spans="1:3" x14ac:dyDescent="0.15">
      <c r="A2358" t="s">
        <v>846</v>
      </c>
      <c r="B2358">
        <v>512</v>
      </c>
      <c r="C2358">
        <v>1.0000000000000001E-9</v>
      </c>
    </row>
    <row r="2359" spans="1:3" x14ac:dyDescent="0.15">
      <c r="A2359" t="s">
        <v>846</v>
      </c>
      <c r="B2359">
        <v>724.07730000000004</v>
      </c>
      <c r="C2359">
        <v>0</v>
      </c>
    </row>
    <row r="2360" spans="1:3" x14ac:dyDescent="0.15">
      <c r="A2360" t="s">
        <v>847</v>
      </c>
      <c r="B2360">
        <v>2</v>
      </c>
      <c r="C2360">
        <v>1.891733E-3</v>
      </c>
    </row>
    <row r="2361" spans="1:3" x14ac:dyDescent="0.15">
      <c r="A2361" t="s">
        <v>847</v>
      </c>
      <c r="B2361">
        <v>2.8283999999999998</v>
      </c>
      <c r="C2361">
        <v>2.2816059999999998E-3</v>
      </c>
    </row>
    <row r="2362" spans="1:3" x14ac:dyDescent="0.15">
      <c r="A2362" t="s">
        <v>847</v>
      </c>
      <c r="B2362">
        <v>4</v>
      </c>
      <c r="C2362">
        <v>2.3128990000000002E-3</v>
      </c>
    </row>
    <row r="2363" spans="1:3" x14ac:dyDescent="0.15">
      <c r="A2363" t="s">
        <v>847</v>
      </c>
      <c r="B2363">
        <v>5.6569000000000003</v>
      </c>
      <c r="C2363">
        <v>1.890685E-3</v>
      </c>
    </row>
    <row r="2364" spans="1:3" x14ac:dyDescent="0.15">
      <c r="A2364" t="s">
        <v>847</v>
      </c>
      <c r="B2364">
        <v>8</v>
      </c>
      <c r="C2364">
        <v>1.560306E-3</v>
      </c>
    </row>
    <row r="2365" spans="1:3" x14ac:dyDescent="0.15">
      <c r="A2365" t="s">
        <v>847</v>
      </c>
      <c r="B2365">
        <v>11.313700000000001</v>
      </c>
      <c r="C2365">
        <v>1.5541489999999999E-3</v>
      </c>
    </row>
    <row r="2366" spans="1:3" x14ac:dyDescent="0.15">
      <c r="A2366" t="s">
        <v>847</v>
      </c>
      <c r="B2366">
        <v>16</v>
      </c>
      <c r="C2366">
        <v>1.272549E-3</v>
      </c>
    </row>
    <row r="2367" spans="1:3" x14ac:dyDescent="0.15">
      <c r="A2367" t="s">
        <v>847</v>
      </c>
      <c r="B2367">
        <v>22.627400000000002</v>
      </c>
      <c r="C2367">
        <v>1.020948E-3</v>
      </c>
    </row>
    <row r="2368" spans="1:3" x14ac:dyDescent="0.15">
      <c r="A2368" t="s">
        <v>847</v>
      </c>
      <c r="B2368">
        <v>32</v>
      </c>
      <c r="C2368">
        <v>1.3101670000000001E-3</v>
      </c>
    </row>
    <row r="2369" spans="1:3" x14ac:dyDescent="0.15">
      <c r="A2369" t="s">
        <v>847</v>
      </c>
      <c r="B2369">
        <v>45.254800000000003</v>
      </c>
      <c r="C2369">
        <v>1.605474E-3</v>
      </c>
    </row>
    <row r="2370" spans="1:3" x14ac:dyDescent="0.15">
      <c r="A2370" t="s">
        <v>847</v>
      </c>
      <c r="B2370">
        <v>64</v>
      </c>
      <c r="C2370">
        <v>1.3781959999999999E-3</v>
      </c>
    </row>
    <row r="2371" spans="1:3" x14ac:dyDescent="0.15">
      <c r="A2371" t="s">
        <v>847</v>
      </c>
      <c r="B2371">
        <v>90.509699999999995</v>
      </c>
      <c r="C2371">
        <v>8.7104100000000002E-4</v>
      </c>
    </row>
    <row r="2372" spans="1:3" x14ac:dyDescent="0.15">
      <c r="A2372" t="s">
        <v>847</v>
      </c>
      <c r="B2372">
        <v>128</v>
      </c>
      <c r="C2372">
        <v>6.8929699999999996E-4</v>
      </c>
    </row>
    <row r="2373" spans="1:3" x14ac:dyDescent="0.15">
      <c r="A2373" t="s">
        <v>847</v>
      </c>
      <c r="B2373">
        <v>181.01929999999999</v>
      </c>
      <c r="C2373">
        <v>3.5039499999999998E-4</v>
      </c>
    </row>
    <row r="2374" spans="1:3" x14ac:dyDescent="0.15">
      <c r="A2374" t="s">
        <v>847</v>
      </c>
      <c r="B2374">
        <v>256</v>
      </c>
      <c r="C2374">
        <v>5.3885999999999999E-5</v>
      </c>
    </row>
    <row r="2375" spans="1:3" x14ac:dyDescent="0.15">
      <c r="A2375" t="s">
        <v>847</v>
      </c>
      <c r="B2375">
        <v>362.03870000000001</v>
      </c>
      <c r="C2375">
        <v>1.0049999999999999E-6</v>
      </c>
    </row>
    <row r="2376" spans="1:3" x14ac:dyDescent="0.15">
      <c r="A2376" t="s">
        <v>847</v>
      </c>
      <c r="B2376">
        <v>512</v>
      </c>
      <c r="C2376">
        <v>0</v>
      </c>
    </row>
    <row r="2377" spans="1:3" x14ac:dyDescent="0.15">
      <c r="A2377" t="s">
        <v>847</v>
      </c>
      <c r="B2377">
        <v>724.07730000000004</v>
      </c>
      <c r="C2377">
        <v>0</v>
      </c>
    </row>
    <row r="2378" spans="1:3" x14ac:dyDescent="0.15">
      <c r="A2378" t="s">
        <v>848</v>
      </c>
      <c r="B2378">
        <v>2</v>
      </c>
      <c r="C2378">
        <v>3.9496300000000002E-4</v>
      </c>
    </row>
    <row r="2379" spans="1:3" x14ac:dyDescent="0.15">
      <c r="A2379" t="s">
        <v>848</v>
      </c>
      <c r="B2379">
        <v>2.8283999999999998</v>
      </c>
      <c r="C2379">
        <v>4.5402399999999997E-4</v>
      </c>
    </row>
    <row r="2380" spans="1:3" x14ac:dyDescent="0.15">
      <c r="A2380" t="s">
        <v>848</v>
      </c>
      <c r="B2380">
        <v>4</v>
      </c>
      <c r="C2380">
        <v>5.7469400000000005E-4</v>
      </c>
    </row>
    <row r="2381" spans="1:3" x14ac:dyDescent="0.15">
      <c r="A2381" t="s">
        <v>848</v>
      </c>
      <c r="B2381">
        <v>5.6569000000000003</v>
      </c>
      <c r="C2381">
        <v>6.7182299999999999E-4</v>
      </c>
    </row>
    <row r="2382" spans="1:3" x14ac:dyDescent="0.15">
      <c r="A2382" t="s">
        <v>848</v>
      </c>
      <c r="B2382">
        <v>8</v>
      </c>
      <c r="C2382">
        <v>9.0899800000000005E-4</v>
      </c>
    </row>
    <row r="2383" spans="1:3" x14ac:dyDescent="0.15">
      <c r="A2383" t="s">
        <v>848</v>
      </c>
      <c r="B2383">
        <v>11.313700000000001</v>
      </c>
      <c r="C2383">
        <v>1.1216659999999999E-3</v>
      </c>
    </row>
    <row r="2384" spans="1:3" x14ac:dyDescent="0.15">
      <c r="A2384" t="s">
        <v>848</v>
      </c>
      <c r="B2384">
        <v>16</v>
      </c>
      <c r="C2384">
        <v>1.0431069999999999E-3</v>
      </c>
    </row>
    <row r="2385" spans="1:3" x14ac:dyDescent="0.15">
      <c r="A2385" t="s">
        <v>848</v>
      </c>
      <c r="B2385">
        <v>22.627400000000002</v>
      </c>
      <c r="C2385">
        <v>8.6178600000000002E-4</v>
      </c>
    </row>
    <row r="2386" spans="1:3" x14ac:dyDescent="0.15">
      <c r="A2386" t="s">
        <v>848</v>
      </c>
      <c r="B2386">
        <v>32</v>
      </c>
      <c r="C2386">
        <v>1.0958420000000001E-3</v>
      </c>
    </row>
    <row r="2387" spans="1:3" x14ac:dyDescent="0.15">
      <c r="A2387" t="s">
        <v>848</v>
      </c>
      <c r="B2387">
        <v>45.254800000000003</v>
      </c>
      <c r="C2387">
        <v>1.396474E-3</v>
      </c>
    </row>
    <row r="2388" spans="1:3" x14ac:dyDescent="0.15">
      <c r="A2388" t="s">
        <v>848</v>
      </c>
      <c r="B2388">
        <v>64</v>
      </c>
      <c r="C2388">
        <v>1.317489E-3</v>
      </c>
    </row>
    <row r="2389" spans="1:3" x14ac:dyDescent="0.15">
      <c r="A2389" t="s">
        <v>848</v>
      </c>
      <c r="B2389">
        <v>90.509699999999995</v>
      </c>
      <c r="C2389">
        <v>6.5926699999999995E-4</v>
      </c>
    </row>
    <row r="2390" spans="1:3" x14ac:dyDescent="0.15">
      <c r="A2390" t="s">
        <v>848</v>
      </c>
      <c r="B2390">
        <v>128</v>
      </c>
      <c r="C2390">
        <v>1.01275E-4</v>
      </c>
    </row>
    <row r="2391" spans="1:3" x14ac:dyDescent="0.15">
      <c r="A2391" t="s">
        <v>848</v>
      </c>
      <c r="B2391">
        <v>181.01929999999999</v>
      </c>
      <c r="C2391">
        <v>1.889E-6</v>
      </c>
    </row>
    <row r="2392" spans="1:3" x14ac:dyDescent="0.15">
      <c r="A2392" t="s">
        <v>848</v>
      </c>
      <c r="B2392">
        <v>256</v>
      </c>
      <c r="C2392">
        <v>1.0000000000000001E-9</v>
      </c>
    </row>
    <row r="2393" spans="1:3" x14ac:dyDescent="0.15">
      <c r="A2393" t="s">
        <v>848</v>
      </c>
      <c r="B2393">
        <v>362.03870000000001</v>
      </c>
      <c r="C2393">
        <v>0</v>
      </c>
    </row>
    <row r="2394" spans="1:3" x14ac:dyDescent="0.15">
      <c r="A2394" t="s">
        <v>848</v>
      </c>
      <c r="B2394">
        <v>512</v>
      </c>
      <c r="C2394">
        <v>0</v>
      </c>
    </row>
    <row r="2395" spans="1:3" x14ac:dyDescent="0.15">
      <c r="A2395" t="s">
        <v>848</v>
      </c>
      <c r="B2395">
        <v>724.07730000000004</v>
      </c>
      <c r="C2395">
        <v>0</v>
      </c>
    </row>
    <row r="2396" spans="1:3" x14ac:dyDescent="0.15">
      <c r="A2396" t="s">
        <v>849</v>
      </c>
      <c r="B2396">
        <v>2</v>
      </c>
      <c r="C2396">
        <v>1.1507380000000001E-3</v>
      </c>
    </row>
    <row r="2397" spans="1:3" x14ac:dyDescent="0.15">
      <c r="A2397" t="s">
        <v>849</v>
      </c>
      <c r="B2397">
        <v>2.8283999999999998</v>
      </c>
      <c r="C2397">
        <v>1.327681E-3</v>
      </c>
    </row>
    <row r="2398" spans="1:3" x14ac:dyDescent="0.15">
      <c r="A2398" t="s">
        <v>849</v>
      </c>
      <c r="B2398">
        <v>4</v>
      </c>
      <c r="C2398">
        <v>1.314172E-3</v>
      </c>
    </row>
    <row r="2399" spans="1:3" x14ac:dyDescent="0.15">
      <c r="A2399" t="s">
        <v>849</v>
      </c>
      <c r="B2399">
        <v>5.6569000000000003</v>
      </c>
      <c r="C2399">
        <v>1.081671E-3</v>
      </c>
    </row>
    <row r="2400" spans="1:3" x14ac:dyDescent="0.15">
      <c r="A2400" t="s">
        <v>849</v>
      </c>
      <c r="B2400">
        <v>8</v>
      </c>
      <c r="C2400">
        <v>8.8752899999999997E-4</v>
      </c>
    </row>
    <row r="2401" spans="1:3" x14ac:dyDescent="0.15">
      <c r="A2401" t="s">
        <v>849</v>
      </c>
      <c r="B2401">
        <v>11.313700000000001</v>
      </c>
      <c r="C2401">
        <v>6.5871899999999999E-4</v>
      </c>
    </row>
    <row r="2402" spans="1:3" x14ac:dyDescent="0.15">
      <c r="A2402" t="s">
        <v>849</v>
      </c>
      <c r="B2402">
        <v>16</v>
      </c>
      <c r="C2402">
        <v>4.5603100000000003E-4</v>
      </c>
    </row>
    <row r="2403" spans="1:3" x14ac:dyDescent="0.15">
      <c r="A2403" t="s">
        <v>849</v>
      </c>
      <c r="B2403">
        <v>22.627400000000002</v>
      </c>
      <c r="C2403">
        <v>3.95826E-4</v>
      </c>
    </row>
    <row r="2404" spans="1:3" x14ac:dyDescent="0.15">
      <c r="A2404" t="s">
        <v>849</v>
      </c>
      <c r="B2404">
        <v>32</v>
      </c>
      <c r="C2404">
        <v>5.0759000000000004E-4</v>
      </c>
    </row>
    <row r="2405" spans="1:3" x14ac:dyDescent="0.15">
      <c r="A2405" t="s">
        <v>849</v>
      </c>
      <c r="B2405">
        <v>45.254800000000003</v>
      </c>
      <c r="C2405">
        <v>8.1754199999999999E-4</v>
      </c>
    </row>
    <row r="2406" spans="1:3" x14ac:dyDescent="0.15">
      <c r="A2406" t="s">
        <v>849</v>
      </c>
      <c r="B2406">
        <v>64</v>
      </c>
      <c r="C2406">
        <v>1.1054210000000001E-3</v>
      </c>
    </row>
    <row r="2407" spans="1:3" x14ac:dyDescent="0.15">
      <c r="A2407" t="s">
        <v>849</v>
      </c>
      <c r="B2407">
        <v>90.509699999999995</v>
      </c>
      <c r="C2407">
        <v>1.0501620000000001E-3</v>
      </c>
    </row>
    <row r="2408" spans="1:3" x14ac:dyDescent="0.15">
      <c r="A2408" t="s">
        <v>849</v>
      </c>
      <c r="B2408">
        <v>128</v>
      </c>
      <c r="C2408">
        <v>7.6317500000000005E-4</v>
      </c>
    </row>
    <row r="2409" spans="1:3" x14ac:dyDescent="0.15">
      <c r="A2409" t="s">
        <v>849</v>
      </c>
      <c r="B2409">
        <v>181.01929999999999</v>
      </c>
      <c r="C2409">
        <v>3.6165500000000001E-4</v>
      </c>
    </row>
    <row r="2410" spans="1:3" x14ac:dyDescent="0.15">
      <c r="A2410" t="s">
        <v>849</v>
      </c>
      <c r="B2410">
        <v>256</v>
      </c>
      <c r="C2410">
        <v>5.5559000000000001E-5</v>
      </c>
    </row>
    <row r="2411" spans="1:3" x14ac:dyDescent="0.15">
      <c r="A2411" t="s">
        <v>849</v>
      </c>
      <c r="B2411">
        <v>362.03870000000001</v>
      </c>
      <c r="C2411">
        <v>1.037E-6</v>
      </c>
    </row>
    <row r="2412" spans="1:3" x14ac:dyDescent="0.15">
      <c r="A2412" t="s">
        <v>849</v>
      </c>
      <c r="B2412">
        <v>512</v>
      </c>
      <c r="C2412">
        <v>0</v>
      </c>
    </row>
    <row r="2413" spans="1:3" x14ac:dyDescent="0.15">
      <c r="A2413" t="s">
        <v>849</v>
      </c>
      <c r="B2413">
        <v>724.07730000000004</v>
      </c>
      <c r="C2413">
        <v>0</v>
      </c>
    </row>
    <row r="2414" spans="1:3" x14ac:dyDescent="0.15">
      <c r="A2414" t="s">
        <v>850</v>
      </c>
      <c r="B2414">
        <v>2</v>
      </c>
      <c r="C2414">
        <v>2.1114139999999998E-3</v>
      </c>
    </row>
    <row r="2415" spans="1:3" x14ac:dyDescent="0.15">
      <c r="A2415" t="s">
        <v>850</v>
      </c>
      <c r="B2415">
        <v>2.8283999999999998</v>
      </c>
      <c r="C2415">
        <v>2.2969499999999999E-3</v>
      </c>
    </row>
    <row r="2416" spans="1:3" x14ac:dyDescent="0.15">
      <c r="A2416" t="s">
        <v>850</v>
      </c>
      <c r="B2416">
        <v>4</v>
      </c>
      <c r="C2416">
        <v>2.404981E-3</v>
      </c>
    </row>
    <row r="2417" spans="1:3" x14ac:dyDescent="0.15">
      <c r="A2417" t="s">
        <v>850</v>
      </c>
      <c r="B2417">
        <v>5.6569000000000003</v>
      </c>
      <c r="C2417">
        <v>2.306612E-3</v>
      </c>
    </row>
    <row r="2418" spans="1:3" x14ac:dyDescent="0.15">
      <c r="A2418" t="s">
        <v>850</v>
      </c>
      <c r="B2418">
        <v>8</v>
      </c>
      <c r="C2418">
        <v>2.1522920000000001E-3</v>
      </c>
    </row>
    <row r="2419" spans="1:3" x14ac:dyDescent="0.15">
      <c r="A2419" t="s">
        <v>850</v>
      </c>
      <c r="B2419">
        <v>11.313700000000001</v>
      </c>
      <c r="C2419">
        <v>2.0109199999999998E-3</v>
      </c>
    </row>
    <row r="2420" spans="1:3" x14ac:dyDescent="0.15">
      <c r="A2420" t="s">
        <v>850</v>
      </c>
      <c r="B2420">
        <v>16</v>
      </c>
      <c r="C2420">
        <v>1.4895419999999999E-3</v>
      </c>
    </row>
    <row r="2421" spans="1:3" x14ac:dyDescent="0.15">
      <c r="A2421" t="s">
        <v>850</v>
      </c>
      <c r="B2421">
        <v>22.627400000000002</v>
      </c>
      <c r="C2421">
        <v>1.146389E-3</v>
      </c>
    </row>
    <row r="2422" spans="1:3" x14ac:dyDescent="0.15">
      <c r="A2422" t="s">
        <v>850</v>
      </c>
      <c r="B2422">
        <v>32</v>
      </c>
      <c r="C2422">
        <v>1.3813090000000001E-3</v>
      </c>
    </row>
    <row r="2423" spans="1:3" x14ac:dyDescent="0.15">
      <c r="A2423" t="s">
        <v>850</v>
      </c>
      <c r="B2423">
        <v>45.254800000000003</v>
      </c>
      <c r="C2423">
        <v>1.537011E-3</v>
      </c>
    </row>
    <row r="2424" spans="1:3" x14ac:dyDescent="0.15">
      <c r="A2424" t="s">
        <v>850</v>
      </c>
      <c r="B2424">
        <v>64</v>
      </c>
      <c r="C2424">
        <v>1.3063090000000001E-3</v>
      </c>
    </row>
    <row r="2425" spans="1:3" x14ac:dyDescent="0.15">
      <c r="A2425" t="s">
        <v>850</v>
      </c>
      <c r="B2425">
        <v>90.509699999999995</v>
      </c>
      <c r="C2425">
        <v>9.7000199999999997E-4</v>
      </c>
    </row>
    <row r="2426" spans="1:3" x14ac:dyDescent="0.15">
      <c r="A2426" t="s">
        <v>850</v>
      </c>
      <c r="B2426">
        <v>128</v>
      </c>
      <c r="C2426">
        <v>7.1737099999999996E-4</v>
      </c>
    </row>
    <row r="2427" spans="1:3" x14ac:dyDescent="0.15">
      <c r="A2427" t="s">
        <v>850</v>
      </c>
      <c r="B2427">
        <v>181.01929999999999</v>
      </c>
      <c r="C2427">
        <v>3.4689699999999998E-4</v>
      </c>
    </row>
    <row r="2428" spans="1:3" x14ac:dyDescent="0.15">
      <c r="A2428" t="s">
        <v>850</v>
      </c>
      <c r="B2428">
        <v>256</v>
      </c>
      <c r="C2428">
        <v>5.3155999999999997E-5</v>
      </c>
    </row>
    <row r="2429" spans="1:3" x14ac:dyDescent="0.15">
      <c r="A2429" t="s">
        <v>850</v>
      </c>
      <c r="B2429">
        <v>362.03870000000001</v>
      </c>
      <c r="C2429">
        <v>9.9099999999999991E-7</v>
      </c>
    </row>
    <row r="2430" spans="1:3" x14ac:dyDescent="0.15">
      <c r="A2430" t="s">
        <v>850</v>
      </c>
      <c r="B2430">
        <v>512</v>
      </c>
      <c r="C2430">
        <v>1.0000000000000001E-9</v>
      </c>
    </row>
    <row r="2431" spans="1:3" x14ac:dyDescent="0.15">
      <c r="A2431" t="s">
        <v>850</v>
      </c>
      <c r="B2431">
        <v>724.07730000000004</v>
      </c>
      <c r="C2431">
        <v>0</v>
      </c>
    </row>
    <row r="2432" spans="1:3" x14ac:dyDescent="0.15">
      <c r="A2432" t="s">
        <v>851</v>
      </c>
      <c r="B2432">
        <v>2</v>
      </c>
      <c r="C2432">
        <v>1.4624320000000001E-3</v>
      </c>
    </row>
    <row r="2433" spans="1:3" x14ac:dyDescent="0.15">
      <c r="A2433" t="s">
        <v>851</v>
      </c>
      <c r="B2433">
        <v>2.8283999999999998</v>
      </c>
      <c r="C2433">
        <v>1.7337139999999999E-3</v>
      </c>
    </row>
    <row r="2434" spans="1:3" x14ac:dyDescent="0.15">
      <c r="A2434" t="s">
        <v>851</v>
      </c>
      <c r="B2434">
        <v>4</v>
      </c>
      <c r="C2434">
        <v>1.7849400000000001E-3</v>
      </c>
    </row>
    <row r="2435" spans="1:3" x14ac:dyDescent="0.15">
      <c r="A2435" t="s">
        <v>851</v>
      </c>
      <c r="B2435">
        <v>5.6569000000000003</v>
      </c>
      <c r="C2435">
        <v>1.595113E-3</v>
      </c>
    </row>
    <row r="2436" spans="1:3" x14ac:dyDescent="0.15">
      <c r="A2436" t="s">
        <v>851</v>
      </c>
      <c r="B2436">
        <v>8</v>
      </c>
      <c r="C2436">
        <v>1.192591E-3</v>
      </c>
    </row>
    <row r="2437" spans="1:3" x14ac:dyDescent="0.15">
      <c r="A2437" t="s">
        <v>851</v>
      </c>
      <c r="B2437">
        <v>11.313700000000001</v>
      </c>
      <c r="C2437">
        <v>8.6967999999999995E-4</v>
      </c>
    </row>
    <row r="2438" spans="1:3" x14ac:dyDescent="0.15">
      <c r="A2438" t="s">
        <v>851</v>
      </c>
      <c r="B2438">
        <v>16</v>
      </c>
      <c r="C2438">
        <v>6.4391899999999996E-4</v>
      </c>
    </row>
    <row r="2439" spans="1:3" x14ac:dyDescent="0.15">
      <c r="A2439" t="s">
        <v>851</v>
      </c>
      <c r="B2439">
        <v>22.627400000000002</v>
      </c>
      <c r="C2439">
        <v>4.9561600000000005E-4</v>
      </c>
    </row>
    <row r="2440" spans="1:3" x14ac:dyDescent="0.15">
      <c r="A2440" t="s">
        <v>851</v>
      </c>
      <c r="B2440">
        <v>32</v>
      </c>
      <c r="C2440">
        <v>4.8612699999999999E-4</v>
      </c>
    </row>
    <row r="2441" spans="1:3" x14ac:dyDescent="0.15">
      <c r="A2441" t="s">
        <v>851</v>
      </c>
      <c r="B2441">
        <v>45.254800000000003</v>
      </c>
      <c r="C2441">
        <v>6.1263699999999997E-4</v>
      </c>
    </row>
    <row r="2442" spans="1:3" x14ac:dyDescent="0.15">
      <c r="A2442" t="s">
        <v>851</v>
      </c>
      <c r="B2442">
        <v>64</v>
      </c>
      <c r="C2442">
        <v>8.0871100000000004E-4</v>
      </c>
    </row>
    <row r="2443" spans="1:3" x14ac:dyDescent="0.15">
      <c r="A2443" t="s">
        <v>851</v>
      </c>
      <c r="B2443">
        <v>90.509699999999995</v>
      </c>
      <c r="C2443">
        <v>1.019774E-3</v>
      </c>
    </row>
    <row r="2444" spans="1:3" x14ac:dyDescent="0.15">
      <c r="A2444" t="s">
        <v>851</v>
      </c>
      <c r="B2444">
        <v>128</v>
      </c>
      <c r="C2444">
        <v>1.0011659999999999E-3</v>
      </c>
    </row>
    <row r="2445" spans="1:3" x14ac:dyDescent="0.15">
      <c r="A2445" t="s">
        <v>851</v>
      </c>
      <c r="B2445">
        <v>181.01929999999999</v>
      </c>
      <c r="C2445">
        <v>5.01879E-4</v>
      </c>
    </row>
    <row r="2446" spans="1:3" x14ac:dyDescent="0.15">
      <c r="A2446" t="s">
        <v>851</v>
      </c>
      <c r="B2446">
        <v>256</v>
      </c>
      <c r="C2446">
        <v>7.6779000000000005E-5</v>
      </c>
    </row>
    <row r="2447" spans="1:3" x14ac:dyDescent="0.15">
      <c r="A2447" t="s">
        <v>851</v>
      </c>
      <c r="B2447">
        <v>362.03870000000001</v>
      </c>
      <c r="C2447">
        <v>1.432E-6</v>
      </c>
    </row>
    <row r="2448" spans="1:3" x14ac:dyDescent="0.15">
      <c r="A2448" t="s">
        <v>851</v>
      </c>
      <c r="B2448">
        <v>512</v>
      </c>
      <c r="C2448">
        <v>1.0000000000000001E-9</v>
      </c>
    </row>
    <row r="2449" spans="1:3" x14ac:dyDescent="0.15">
      <c r="A2449" t="s">
        <v>851</v>
      </c>
      <c r="B2449">
        <v>724.07730000000004</v>
      </c>
      <c r="C2449">
        <v>0</v>
      </c>
    </row>
    <row r="2450" spans="1:3" x14ac:dyDescent="0.15">
      <c r="A2450" t="s">
        <v>852</v>
      </c>
      <c r="B2450">
        <v>2</v>
      </c>
      <c r="C2450">
        <v>5.5095600000000002E-4</v>
      </c>
    </row>
    <row r="2451" spans="1:3" x14ac:dyDescent="0.15">
      <c r="A2451" t="s">
        <v>852</v>
      </c>
      <c r="B2451">
        <v>2.8283999999999998</v>
      </c>
      <c r="C2451">
        <v>5.48132E-4</v>
      </c>
    </row>
    <row r="2452" spans="1:3" x14ac:dyDescent="0.15">
      <c r="A2452" t="s">
        <v>852</v>
      </c>
      <c r="B2452">
        <v>4</v>
      </c>
      <c r="C2452">
        <v>5.1214299999999995E-4</v>
      </c>
    </row>
    <row r="2453" spans="1:3" x14ac:dyDescent="0.15">
      <c r="A2453" t="s">
        <v>852</v>
      </c>
      <c r="B2453">
        <v>5.6569000000000003</v>
      </c>
      <c r="C2453">
        <v>4.8008799999999999E-4</v>
      </c>
    </row>
    <row r="2454" spans="1:3" x14ac:dyDescent="0.15">
      <c r="A2454" t="s">
        <v>852</v>
      </c>
      <c r="B2454">
        <v>8</v>
      </c>
      <c r="C2454">
        <v>4.4532600000000001E-4</v>
      </c>
    </row>
    <row r="2455" spans="1:3" x14ac:dyDescent="0.15">
      <c r="A2455" t="s">
        <v>852</v>
      </c>
      <c r="B2455">
        <v>11.313700000000001</v>
      </c>
      <c r="C2455">
        <v>3.5442399999999999E-4</v>
      </c>
    </row>
    <row r="2456" spans="1:3" x14ac:dyDescent="0.15">
      <c r="A2456" t="s">
        <v>852</v>
      </c>
      <c r="B2456">
        <v>16</v>
      </c>
      <c r="C2456">
        <v>3.01861E-4</v>
      </c>
    </row>
    <row r="2457" spans="1:3" x14ac:dyDescent="0.15">
      <c r="A2457" t="s">
        <v>852</v>
      </c>
      <c r="B2457">
        <v>22.627400000000002</v>
      </c>
      <c r="C2457">
        <v>3.2112900000000002E-4</v>
      </c>
    </row>
    <row r="2458" spans="1:3" x14ac:dyDescent="0.15">
      <c r="A2458" t="s">
        <v>852</v>
      </c>
      <c r="B2458">
        <v>32</v>
      </c>
      <c r="C2458">
        <v>2.4846699999999999E-4</v>
      </c>
    </row>
    <row r="2459" spans="1:3" x14ac:dyDescent="0.15">
      <c r="A2459" t="s">
        <v>852</v>
      </c>
      <c r="B2459">
        <v>45.254800000000003</v>
      </c>
      <c r="C2459">
        <v>8.8380000000000004E-5</v>
      </c>
    </row>
    <row r="2460" spans="1:3" x14ac:dyDescent="0.15">
      <c r="A2460" t="s">
        <v>852</v>
      </c>
      <c r="B2460">
        <v>64</v>
      </c>
      <c r="C2460">
        <v>1.169E-5</v>
      </c>
    </row>
    <row r="2461" spans="1:3" x14ac:dyDescent="0.15">
      <c r="A2461" t="s">
        <v>852</v>
      </c>
      <c r="B2461">
        <v>90.509699999999995</v>
      </c>
      <c r="C2461">
        <v>1.3935E-5</v>
      </c>
    </row>
    <row r="2462" spans="1:3" x14ac:dyDescent="0.15">
      <c r="A2462" t="s">
        <v>852</v>
      </c>
      <c r="B2462">
        <v>128</v>
      </c>
      <c r="C2462">
        <v>2.187E-6</v>
      </c>
    </row>
    <row r="2463" spans="1:3" x14ac:dyDescent="0.15">
      <c r="A2463" t="s">
        <v>852</v>
      </c>
      <c r="B2463">
        <v>181.01929999999999</v>
      </c>
      <c r="C2463">
        <v>4.1000000000000003E-8</v>
      </c>
    </row>
    <row r="2464" spans="1:3" x14ac:dyDescent="0.15">
      <c r="A2464" t="s">
        <v>852</v>
      </c>
      <c r="B2464">
        <v>256</v>
      </c>
      <c r="C2464">
        <v>0</v>
      </c>
    </row>
    <row r="2465" spans="1:3" x14ac:dyDescent="0.15">
      <c r="A2465" t="s">
        <v>852</v>
      </c>
      <c r="B2465">
        <v>362.03870000000001</v>
      </c>
      <c r="C2465">
        <v>0</v>
      </c>
    </row>
    <row r="2466" spans="1:3" x14ac:dyDescent="0.15">
      <c r="A2466" t="s">
        <v>852</v>
      </c>
      <c r="B2466">
        <v>512</v>
      </c>
      <c r="C2466">
        <v>0</v>
      </c>
    </row>
    <row r="2467" spans="1:3" x14ac:dyDescent="0.15">
      <c r="A2467" t="s">
        <v>852</v>
      </c>
      <c r="B2467">
        <v>724.07730000000004</v>
      </c>
      <c r="C2467">
        <v>0</v>
      </c>
    </row>
    <row r="2468" spans="1:3" x14ac:dyDescent="0.15">
      <c r="A2468" t="s">
        <v>853</v>
      </c>
      <c r="B2468">
        <v>2</v>
      </c>
      <c r="C2468">
        <v>9.3634899999999995E-4</v>
      </c>
    </row>
    <row r="2469" spans="1:3" x14ac:dyDescent="0.15">
      <c r="A2469" t="s">
        <v>853</v>
      </c>
      <c r="B2469">
        <v>2.8283999999999998</v>
      </c>
      <c r="C2469">
        <v>1.1849409999999999E-3</v>
      </c>
    </row>
    <row r="2470" spans="1:3" x14ac:dyDescent="0.15">
      <c r="A2470" t="s">
        <v>853</v>
      </c>
      <c r="B2470">
        <v>4</v>
      </c>
      <c r="C2470">
        <v>1.2972610000000001E-3</v>
      </c>
    </row>
    <row r="2471" spans="1:3" x14ac:dyDescent="0.15">
      <c r="A2471" t="s">
        <v>853</v>
      </c>
      <c r="B2471">
        <v>5.6569000000000003</v>
      </c>
      <c r="C2471">
        <v>1.1962769999999999E-3</v>
      </c>
    </row>
    <row r="2472" spans="1:3" x14ac:dyDescent="0.15">
      <c r="A2472" t="s">
        <v>853</v>
      </c>
      <c r="B2472">
        <v>8</v>
      </c>
      <c r="C2472">
        <v>9.4273499999999999E-4</v>
      </c>
    </row>
    <row r="2473" spans="1:3" x14ac:dyDescent="0.15">
      <c r="A2473" t="s">
        <v>853</v>
      </c>
      <c r="B2473">
        <v>11.313700000000001</v>
      </c>
      <c r="C2473">
        <v>6.9114999999999997E-4</v>
      </c>
    </row>
    <row r="2474" spans="1:3" x14ac:dyDescent="0.15">
      <c r="A2474" t="s">
        <v>853</v>
      </c>
      <c r="B2474">
        <v>16</v>
      </c>
      <c r="C2474">
        <v>4.9301E-4</v>
      </c>
    </row>
    <row r="2475" spans="1:3" x14ac:dyDescent="0.15">
      <c r="A2475" t="s">
        <v>853</v>
      </c>
      <c r="B2475">
        <v>22.627400000000002</v>
      </c>
      <c r="C2475">
        <v>3.4457500000000001E-4</v>
      </c>
    </row>
    <row r="2476" spans="1:3" x14ac:dyDescent="0.15">
      <c r="A2476" t="s">
        <v>853</v>
      </c>
      <c r="B2476">
        <v>32</v>
      </c>
      <c r="C2476">
        <v>3.7262800000000001E-4</v>
      </c>
    </row>
    <row r="2477" spans="1:3" x14ac:dyDescent="0.15">
      <c r="A2477" t="s">
        <v>853</v>
      </c>
      <c r="B2477">
        <v>45.254800000000003</v>
      </c>
      <c r="C2477">
        <v>4.5124599999999998E-4</v>
      </c>
    </row>
    <row r="2478" spans="1:3" x14ac:dyDescent="0.15">
      <c r="A2478" t="s">
        <v>853</v>
      </c>
      <c r="B2478">
        <v>64</v>
      </c>
      <c r="C2478">
        <v>4.60746E-4</v>
      </c>
    </row>
    <row r="2479" spans="1:3" x14ac:dyDescent="0.15">
      <c r="A2479" t="s">
        <v>853</v>
      </c>
      <c r="B2479">
        <v>90.509699999999995</v>
      </c>
      <c r="C2479">
        <v>3.8247500000000001E-4</v>
      </c>
    </row>
    <row r="2480" spans="1:3" x14ac:dyDescent="0.15">
      <c r="A2480" t="s">
        <v>853</v>
      </c>
      <c r="B2480">
        <v>128</v>
      </c>
      <c r="C2480">
        <v>2.58683E-4</v>
      </c>
    </row>
    <row r="2481" spans="1:3" x14ac:dyDescent="0.15">
      <c r="A2481" t="s">
        <v>853</v>
      </c>
      <c r="B2481">
        <v>181.01929999999999</v>
      </c>
      <c r="C2481">
        <v>1.2037899999999999E-4</v>
      </c>
    </row>
    <row r="2482" spans="1:3" x14ac:dyDescent="0.15">
      <c r="A2482" t="s">
        <v>853</v>
      </c>
      <c r="B2482">
        <v>256</v>
      </c>
      <c r="C2482">
        <v>1.8476000000000001E-5</v>
      </c>
    </row>
    <row r="2483" spans="1:3" x14ac:dyDescent="0.15">
      <c r="A2483" t="s">
        <v>853</v>
      </c>
      <c r="B2483">
        <v>362.03870000000001</v>
      </c>
      <c r="C2483">
        <v>3.4499999999999998E-7</v>
      </c>
    </row>
    <row r="2484" spans="1:3" x14ac:dyDescent="0.15">
      <c r="A2484" t="s">
        <v>853</v>
      </c>
      <c r="B2484">
        <v>512</v>
      </c>
      <c r="C2484">
        <v>0</v>
      </c>
    </row>
    <row r="2485" spans="1:3" x14ac:dyDescent="0.15">
      <c r="A2485" t="s">
        <v>853</v>
      </c>
      <c r="B2485">
        <v>724.07730000000004</v>
      </c>
      <c r="C2485">
        <v>0</v>
      </c>
    </row>
    <row r="2486" spans="1:3" x14ac:dyDescent="0.15">
      <c r="A2486" t="s">
        <v>854</v>
      </c>
      <c r="B2486">
        <v>2</v>
      </c>
      <c r="C2486">
        <v>8.0599800000000004E-4</v>
      </c>
    </row>
    <row r="2487" spans="1:3" x14ac:dyDescent="0.15">
      <c r="A2487" t="s">
        <v>854</v>
      </c>
      <c r="B2487">
        <v>2.8283999999999998</v>
      </c>
      <c r="C2487">
        <v>1.040654E-3</v>
      </c>
    </row>
    <row r="2488" spans="1:3" x14ac:dyDescent="0.15">
      <c r="A2488" t="s">
        <v>854</v>
      </c>
      <c r="B2488">
        <v>4</v>
      </c>
      <c r="C2488">
        <v>1.302463E-3</v>
      </c>
    </row>
    <row r="2489" spans="1:3" x14ac:dyDescent="0.15">
      <c r="A2489" t="s">
        <v>854</v>
      </c>
      <c r="B2489">
        <v>5.6569000000000003</v>
      </c>
      <c r="C2489">
        <v>1.415712E-3</v>
      </c>
    </row>
    <row r="2490" spans="1:3" x14ac:dyDescent="0.15">
      <c r="A2490" t="s">
        <v>854</v>
      </c>
      <c r="B2490">
        <v>8</v>
      </c>
      <c r="C2490">
        <v>1.339893E-3</v>
      </c>
    </row>
    <row r="2491" spans="1:3" x14ac:dyDescent="0.15">
      <c r="A2491" t="s">
        <v>854</v>
      </c>
      <c r="B2491">
        <v>11.313700000000001</v>
      </c>
      <c r="C2491">
        <v>1.2141910000000001E-3</v>
      </c>
    </row>
    <row r="2492" spans="1:3" x14ac:dyDescent="0.15">
      <c r="A2492" t="s">
        <v>854</v>
      </c>
      <c r="B2492">
        <v>16</v>
      </c>
      <c r="C2492">
        <v>1.110668E-3</v>
      </c>
    </row>
    <row r="2493" spans="1:3" x14ac:dyDescent="0.15">
      <c r="A2493" t="s">
        <v>854</v>
      </c>
      <c r="B2493">
        <v>22.627400000000002</v>
      </c>
      <c r="C2493">
        <v>9.4826800000000005E-4</v>
      </c>
    </row>
    <row r="2494" spans="1:3" x14ac:dyDescent="0.15">
      <c r="A2494" t="s">
        <v>854</v>
      </c>
      <c r="B2494">
        <v>32</v>
      </c>
      <c r="C2494">
        <v>7.5280300000000002E-4</v>
      </c>
    </row>
    <row r="2495" spans="1:3" x14ac:dyDescent="0.15">
      <c r="A2495" t="s">
        <v>854</v>
      </c>
      <c r="B2495">
        <v>45.254800000000003</v>
      </c>
      <c r="C2495">
        <v>5.68459E-4</v>
      </c>
    </row>
    <row r="2496" spans="1:3" x14ac:dyDescent="0.15">
      <c r="A2496" t="s">
        <v>854</v>
      </c>
      <c r="B2496">
        <v>64</v>
      </c>
      <c r="C2496">
        <v>4.3722800000000001E-4</v>
      </c>
    </row>
    <row r="2497" spans="1:3" x14ac:dyDescent="0.15">
      <c r="A2497" t="s">
        <v>854</v>
      </c>
      <c r="B2497">
        <v>90.509699999999995</v>
      </c>
      <c r="C2497">
        <v>3.92665E-4</v>
      </c>
    </row>
    <row r="2498" spans="1:3" x14ac:dyDescent="0.15">
      <c r="A2498" t="s">
        <v>854</v>
      </c>
      <c r="B2498">
        <v>128</v>
      </c>
      <c r="C2498">
        <v>3.4643800000000002E-4</v>
      </c>
    </row>
    <row r="2499" spans="1:3" x14ac:dyDescent="0.15">
      <c r="A2499" t="s">
        <v>854</v>
      </c>
      <c r="B2499">
        <v>181.01929999999999</v>
      </c>
      <c r="C2499">
        <v>1.6826800000000001E-4</v>
      </c>
    </row>
    <row r="2500" spans="1:3" x14ac:dyDescent="0.15">
      <c r="A2500" t="s">
        <v>854</v>
      </c>
      <c r="B2500">
        <v>256</v>
      </c>
      <c r="C2500">
        <v>2.5462000000000001E-5</v>
      </c>
    </row>
    <row r="2501" spans="1:3" x14ac:dyDescent="0.15">
      <c r="A2501" t="s">
        <v>854</v>
      </c>
      <c r="B2501">
        <v>362.03870000000001</v>
      </c>
      <c r="C2501">
        <v>4.7399999999999998E-7</v>
      </c>
    </row>
    <row r="2502" spans="1:3" x14ac:dyDescent="0.15">
      <c r="A2502" t="s">
        <v>854</v>
      </c>
      <c r="B2502">
        <v>512</v>
      </c>
      <c r="C2502">
        <v>0</v>
      </c>
    </row>
    <row r="2503" spans="1:3" x14ac:dyDescent="0.15">
      <c r="A2503" t="s">
        <v>854</v>
      </c>
      <c r="B2503">
        <v>724.07730000000004</v>
      </c>
      <c r="C2503">
        <v>0</v>
      </c>
    </row>
    <row r="2504" spans="1:3" x14ac:dyDescent="0.15">
      <c r="A2504" t="s">
        <v>855</v>
      </c>
      <c r="B2504">
        <v>2</v>
      </c>
      <c r="C2504">
        <v>7.1123400000000004E-4</v>
      </c>
    </row>
    <row r="2505" spans="1:3" x14ac:dyDescent="0.15">
      <c r="A2505" t="s">
        <v>855</v>
      </c>
      <c r="B2505">
        <v>2.8283999999999998</v>
      </c>
      <c r="C2505">
        <v>8.8465099999999997E-4</v>
      </c>
    </row>
    <row r="2506" spans="1:3" x14ac:dyDescent="0.15">
      <c r="A2506" t="s">
        <v>855</v>
      </c>
      <c r="B2506">
        <v>4</v>
      </c>
      <c r="C2506">
        <v>1.028628E-3</v>
      </c>
    </row>
    <row r="2507" spans="1:3" x14ac:dyDescent="0.15">
      <c r="A2507" t="s">
        <v>855</v>
      </c>
      <c r="B2507">
        <v>5.6569000000000003</v>
      </c>
      <c r="C2507">
        <v>1.10352E-3</v>
      </c>
    </row>
    <row r="2508" spans="1:3" x14ac:dyDescent="0.15">
      <c r="A2508" t="s">
        <v>855</v>
      </c>
      <c r="B2508">
        <v>8</v>
      </c>
      <c r="C2508">
        <v>1.1570829999999999E-3</v>
      </c>
    </row>
    <row r="2509" spans="1:3" x14ac:dyDescent="0.15">
      <c r="A2509" t="s">
        <v>855</v>
      </c>
      <c r="B2509">
        <v>11.313700000000001</v>
      </c>
      <c r="C2509">
        <v>1.091023E-3</v>
      </c>
    </row>
    <row r="2510" spans="1:3" x14ac:dyDescent="0.15">
      <c r="A2510" t="s">
        <v>855</v>
      </c>
      <c r="B2510">
        <v>16</v>
      </c>
      <c r="C2510">
        <v>8.6717800000000002E-4</v>
      </c>
    </row>
    <row r="2511" spans="1:3" x14ac:dyDescent="0.15">
      <c r="A2511" t="s">
        <v>855</v>
      </c>
      <c r="B2511">
        <v>22.627400000000002</v>
      </c>
      <c r="C2511">
        <v>5.4798599999999998E-4</v>
      </c>
    </row>
    <row r="2512" spans="1:3" x14ac:dyDescent="0.15">
      <c r="A2512" t="s">
        <v>855</v>
      </c>
      <c r="B2512">
        <v>32</v>
      </c>
      <c r="C2512">
        <v>4.0837399999999998E-4</v>
      </c>
    </row>
    <row r="2513" spans="1:3" x14ac:dyDescent="0.15">
      <c r="A2513" t="s">
        <v>855</v>
      </c>
      <c r="B2513">
        <v>45.254800000000003</v>
      </c>
      <c r="C2513">
        <v>4.61328E-4</v>
      </c>
    </row>
    <row r="2514" spans="1:3" x14ac:dyDescent="0.15">
      <c r="A2514" t="s">
        <v>855</v>
      </c>
      <c r="B2514">
        <v>64</v>
      </c>
      <c r="C2514">
        <v>3.9133899999999999E-4</v>
      </c>
    </row>
    <row r="2515" spans="1:3" x14ac:dyDescent="0.15">
      <c r="A2515" t="s">
        <v>855</v>
      </c>
      <c r="B2515">
        <v>90.509699999999995</v>
      </c>
      <c r="C2515">
        <v>2.7078999999999997E-4</v>
      </c>
    </row>
    <row r="2516" spans="1:3" x14ac:dyDescent="0.15">
      <c r="A2516" t="s">
        <v>855</v>
      </c>
      <c r="B2516">
        <v>128</v>
      </c>
      <c r="C2516">
        <v>2.03776E-4</v>
      </c>
    </row>
    <row r="2517" spans="1:3" x14ac:dyDescent="0.15">
      <c r="A2517" t="s">
        <v>855</v>
      </c>
      <c r="B2517">
        <v>181.01929999999999</v>
      </c>
      <c r="C2517">
        <v>9.9056999999999997E-5</v>
      </c>
    </row>
    <row r="2518" spans="1:3" x14ac:dyDescent="0.15">
      <c r="A2518" t="s">
        <v>855</v>
      </c>
      <c r="B2518">
        <v>256</v>
      </c>
      <c r="C2518">
        <v>1.5158E-5</v>
      </c>
    </row>
    <row r="2519" spans="1:3" x14ac:dyDescent="0.15">
      <c r="A2519" t="s">
        <v>855</v>
      </c>
      <c r="B2519">
        <v>362.03870000000001</v>
      </c>
      <c r="C2519">
        <v>2.8299999999999998E-7</v>
      </c>
    </row>
    <row r="2520" spans="1:3" x14ac:dyDescent="0.15">
      <c r="A2520" t="s">
        <v>855</v>
      </c>
      <c r="B2520">
        <v>512</v>
      </c>
      <c r="C2520">
        <v>0</v>
      </c>
    </row>
    <row r="2521" spans="1:3" x14ac:dyDescent="0.15">
      <c r="A2521" t="s">
        <v>855</v>
      </c>
      <c r="B2521">
        <v>724.07730000000004</v>
      </c>
      <c r="C2521">
        <v>0</v>
      </c>
    </row>
    <row r="2522" spans="1:3" x14ac:dyDescent="0.15">
      <c r="A2522" t="s">
        <v>856</v>
      </c>
      <c r="B2522">
        <v>2</v>
      </c>
      <c r="C2522">
        <v>8.1105999999999995E-4</v>
      </c>
    </row>
    <row r="2523" spans="1:3" x14ac:dyDescent="0.15">
      <c r="A2523" t="s">
        <v>856</v>
      </c>
      <c r="B2523">
        <v>2.8283999999999998</v>
      </c>
      <c r="C2523">
        <v>9.4712500000000005E-4</v>
      </c>
    </row>
    <row r="2524" spans="1:3" x14ac:dyDescent="0.15">
      <c r="A2524" t="s">
        <v>856</v>
      </c>
      <c r="B2524">
        <v>4</v>
      </c>
      <c r="C2524">
        <v>1.0892090000000001E-3</v>
      </c>
    </row>
    <row r="2525" spans="1:3" x14ac:dyDescent="0.15">
      <c r="A2525" t="s">
        <v>856</v>
      </c>
      <c r="B2525">
        <v>5.6569000000000003</v>
      </c>
      <c r="C2525">
        <v>1.135198E-3</v>
      </c>
    </row>
    <row r="2526" spans="1:3" x14ac:dyDescent="0.15">
      <c r="A2526" t="s">
        <v>856</v>
      </c>
      <c r="B2526">
        <v>8</v>
      </c>
      <c r="C2526">
        <v>1.08475E-3</v>
      </c>
    </row>
    <row r="2527" spans="1:3" x14ac:dyDescent="0.15">
      <c r="A2527" t="s">
        <v>856</v>
      </c>
      <c r="B2527">
        <v>11.313700000000001</v>
      </c>
      <c r="C2527">
        <v>9.7169300000000004E-4</v>
      </c>
    </row>
    <row r="2528" spans="1:3" x14ac:dyDescent="0.15">
      <c r="A2528" t="s">
        <v>856</v>
      </c>
      <c r="B2528">
        <v>16</v>
      </c>
      <c r="C2528">
        <v>8.1209100000000003E-4</v>
      </c>
    </row>
    <row r="2529" spans="1:3" x14ac:dyDescent="0.15">
      <c r="A2529" t="s">
        <v>856</v>
      </c>
      <c r="B2529">
        <v>22.627400000000002</v>
      </c>
      <c r="C2529">
        <v>6.5028000000000004E-4</v>
      </c>
    </row>
    <row r="2530" spans="1:3" x14ac:dyDescent="0.15">
      <c r="A2530" t="s">
        <v>856</v>
      </c>
      <c r="B2530">
        <v>32</v>
      </c>
      <c r="C2530">
        <v>4.5276700000000002E-4</v>
      </c>
    </row>
    <row r="2531" spans="1:3" x14ac:dyDescent="0.15">
      <c r="A2531" t="s">
        <v>856</v>
      </c>
      <c r="B2531">
        <v>45.254800000000003</v>
      </c>
      <c r="C2531">
        <v>2.0091099999999999E-4</v>
      </c>
    </row>
    <row r="2532" spans="1:3" x14ac:dyDescent="0.15">
      <c r="A2532" t="s">
        <v>856</v>
      </c>
      <c r="B2532">
        <v>64</v>
      </c>
      <c r="C2532">
        <v>1.03448E-4</v>
      </c>
    </row>
    <row r="2533" spans="1:3" x14ac:dyDescent="0.15">
      <c r="A2533" t="s">
        <v>856</v>
      </c>
      <c r="B2533">
        <v>90.509699999999995</v>
      </c>
      <c r="C2533">
        <v>9.7219000000000005E-5</v>
      </c>
    </row>
    <row r="2534" spans="1:3" x14ac:dyDescent="0.15">
      <c r="A2534" t="s">
        <v>856</v>
      </c>
      <c r="B2534">
        <v>128</v>
      </c>
      <c r="C2534">
        <v>8.8486999999999995E-5</v>
      </c>
    </row>
    <row r="2535" spans="1:3" x14ac:dyDescent="0.15">
      <c r="A2535" t="s">
        <v>856</v>
      </c>
      <c r="B2535">
        <v>181.01929999999999</v>
      </c>
      <c r="C2535">
        <v>4.3316000000000003E-5</v>
      </c>
    </row>
    <row r="2536" spans="1:3" x14ac:dyDescent="0.15">
      <c r="A2536" t="s">
        <v>856</v>
      </c>
      <c r="B2536">
        <v>256</v>
      </c>
      <c r="C2536">
        <v>6.5880000000000003E-6</v>
      </c>
    </row>
    <row r="2537" spans="1:3" x14ac:dyDescent="0.15">
      <c r="A2537" t="s">
        <v>856</v>
      </c>
      <c r="B2537">
        <v>362.03870000000001</v>
      </c>
      <c r="C2537">
        <v>1.23E-7</v>
      </c>
    </row>
    <row r="2538" spans="1:3" x14ac:dyDescent="0.15">
      <c r="A2538" t="s">
        <v>856</v>
      </c>
      <c r="B2538">
        <v>512</v>
      </c>
      <c r="C2538">
        <v>0</v>
      </c>
    </row>
    <row r="2539" spans="1:3" x14ac:dyDescent="0.15">
      <c r="A2539" t="s">
        <v>856</v>
      </c>
      <c r="B2539">
        <v>724.07730000000004</v>
      </c>
      <c r="C2539">
        <v>0</v>
      </c>
    </row>
    <row r="2540" spans="1:3" x14ac:dyDescent="0.15">
      <c r="A2540" t="s">
        <v>857</v>
      </c>
      <c r="B2540">
        <v>2</v>
      </c>
      <c r="C2540">
        <v>1.446185E-3</v>
      </c>
    </row>
    <row r="2541" spans="1:3" x14ac:dyDescent="0.15">
      <c r="A2541" t="s">
        <v>857</v>
      </c>
      <c r="B2541">
        <v>2.8283999999999998</v>
      </c>
      <c r="C2541">
        <v>1.5246680000000001E-3</v>
      </c>
    </row>
    <row r="2542" spans="1:3" x14ac:dyDescent="0.15">
      <c r="A2542" t="s">
        <v>857</v>
      </c>
      <c r="B2542">
        <v>4</v>
      </c>
      <c r="C2542">
        <v>1.4669069999999999E-3</v>
      </c>
    </row>
    <row r="2543" spans="1:3" x14ac:dyDescent="0.15">
      <c r="A2543" t="s">
        <v>857</v>
      </c>
      <c r="B2543">
        <v>5.6569000000000003</v>
      </c>
      <c r="C2543">
        <v>1.39507E-3</v>
      </c>
    </row>
    <row r="2544" spans="1:3" x14ac:dyDescent="0.15">
      <c r="A2544" t="s">
        <v>857</v>
      </c>
      <c r="B2544">
        <v>8</v>
      </c>
      <c r="C2544">
        <v>1.3759880000000001E-3</v>
      </c>
    </row>
    <row r="2545" spans="1:3" x14ac:dyDescent="0.15">
      <c r="A2545" t="s">
        <v>857</v>
      </c>
      <c r="B2545">
        <v>11.313700000000001</v>
      </c>
      <c r="C2545">
        <v>1.4138760000000001E-3</v>
      </c>
    </row>
    <row r="2546" spans="1:3" x14ac:dyDescent="0.15">
      <c r="A2546" t="s">
        <v>857</v>
      </c>
      <c r="B2546">
        <v>16</v>
      </c>
      <c r="C2546">
        <v>1.222451E-3</v>
      </c>
    </row>
    <row r="2547" spans="1:3" x14ac:dyDescent="0.15">
      <c r="A2547" t="s">
        <v>857</v>
      </c>
      <c r="B2547">
        <v>22.627400000000002</v>
      </c>
      <c r="C2547">
        <v>1.1055209999999999E-3</v>
      </c>
    </row>
    <row r="2548" spans="1:3" x14ac:dyDescent="0.15">
      <c r="A2548" t="s">
        <v>857</v>
      </c>
      <c r="B2548">
        <v>32</v>
      </c>
      <c r="C2548">
        <v>1.3136230000000001E-3</v>
      </c>
    </row>
    <row r="2549" spans="1:3" x14ac:dyDescent="0.15">
      <c r="A2549" t="s">
        <v>857</v>
      </c>
      <c r="B2549">
        <v>45.254800000000003</v>
      </c>
      <c r="C2549">
        <v>1.5565570000000001E-3</v>
      </c>
    </row>
    <row r="2550" spans="1:3" x14ac:dyDescent="0.15">
      <c r="A2550" t="s">
        <v>857</v>
      </c>
      <c r="B2550">
        <v>64</v>
      </c>
      <c r="C2550">
        <v>1.530518E-3</v>
      </c>
    </row>
    <row r="2551" spans="1:3" x14ac:dyDescent="0.15">
      <c r="A2551" t="s">
        <v>857</v>
      </c>
      <c r="B2551">
        <v>90.509699999999995</v>
      </c>
      <c r="C2551">
        <v>9.8684500000000008E-4</v>
      </c>
    </row>
    <row r="2552" spans="1:3" x14ac:dyDescent="0.15">
      <c r="A2552" t="s">
        <v>857</v>
      </c>
      <c r="B2552">
        <v>128</v>
      </c>
      <c r="C2552">
        <v>4.5101499999999998E-4</v>
      </c>
    </row>
    <row r="2553" spans="1:3" x14ac:dyDescent="0.15">
      <c r="A2553" t="s">
        <v>857</v>
      </c>
      <c r="B2553">
        <v>181.01929999999999</v>
      </c>
      <c r="C2553">
        <v>1.8741299999999999E-4</v>
      </c>
    </row>
    <row r="2554" spans="1:3" x14ac:dyDescent="0.15">
      <c r="A2554" t="s">
        <v>857</v>
      </c>
      <c r="B2554">
        <v>256</v>
      </c>
      <c r="C2554">
        <v>2.8487E-5</v>
      </c>
    </row>
    <row r="2555" spans="1:3" x14ac:dyDescent="0.15">
      <c r="A2555" t="s">
        <v>857</v>
      </c>
      <c r="B2555">
        <v>362.03870000000001</v>
      </c>
      <c r="C2555">
        <v>5.3099999999999998E-7</v>
      </c>
    </row>
    <row r="2556" spans="1:3" x14ac:dyDescent="0.15">
      <c r="A2556" t="s">
        <v>857</v>
      </c>
      <c r="B2556">
        <v>512</v>
      </c>
      <c r="C2556">
        <v>0</v>
      </c>
    </row>
    <row r="2557" spans="1:3" x14ac:dyDescent="0.15">
      <c r="A2557" t="s">
        <v>857</v>
      </c>
      <c r="B2557">
        <v>724.07730000000004</v>
      </c>
      <c r="C2557">
        <v>0</v>
      </c>
    </row>
    <row r="2558" spans="1:3" x14ac:dyDescent="0.15">
      <c r="A2558" t="s">
        <v>858</v>
      </c>
      <c r="B2558">
        <v>2</v>
      </c>
      <c r="C2558">
        <v>1.7473370000000001E-3</v>
      </c>
    </row>
    <row r="2559" spans="1:3" x14ac:dyDescent="0.15">
      <c r="A2559" t="s">
        <v>858</v>
      </c>
      <c r="B2559">
        <v>2.8283999999999998</v>
      </c>
      <c r="C2559">
        <v>2.1106240000000002E-3</v>
      </c>
    </row>
    <row r="2560" spans="1:3" x14ac:dyDescent="0.15">
      <c r="A2560" t="s">
        <v>858</v>
      </c>
      <c r="B2560">
        <v>4</v>
      </c>
      <c r="C2560">
        <v>2.275259E-3</v>
      </c>
    </row>
    <row r="2561" spans="1:3" x14ac:dyDescent="0.15">
      <c r="A2561" t="s">
        <v>858</v>
      </c>
      <c r="B2561">
        <v>5.6569000000000003</v>
      </c>
      <c r="C2561">
        <v>1.9122640000000001E-3</v>
      </c>
    </row>
    <row r="2562" spans="1:3" x14ac:dyDescent="0.15">
      <c r="A2562" t="s">
        <v>858</v>
      </c>
      <c r="B2562">
        <v>8</v>
      </c>
      <c r="C2562">
        <v>1.3790199999999999E-3</v>
      </c>
    </row>
    <row r="2563" spans="1:3" x14ac:dyDescent="0.15">
      <c r="A2563" t="s">
        <v>858</v>
      </c>
      <c r="B2563">
        <v>11.313700000000001</v>
      </c>
      <c r="C2563">
        <v>1.2366040000000001E-3</v>
      </c>
    </row>
    <row r="2564" spans="1:3" x14ac:dyDescent="0.15">
      <c r="A2564" t="s">
        <v>858</v>
      </c>
      <c r="B2564">
        <v>16</v>
      </c>
      <c r="C2564">
        <v>1.2030439999999999E-3</v>
      </c>
    </row>
    <row r="2565" spans="1:3" x14ac:dyDescent="0.15">
      <c r="A2565" t="s">
        <v>858</v>
      </c>
      <c r="B2565">
        <v>22.627400000000002</v>
      </c>
      <c r="C2565">
        <v>1.2204480000000001E-3</v>
      </c>
    </row>
    <row r="2566" spans="1:3" x14ac:dyDescent="0.15">
      <c r="A2566" t="s">
        <v>858</v>
      </c>
      <c r="B2566">
        <v>32</v>
      </c>
      <c r="C2566">
        <v>1.341942E-3</v>
      </c>
    </row>
    <row r="2567" spans="1:3" x14ac:dyDescent="0.15">
      <c r="A2567" t="s">
        <v>858</v>
      </c>
      <c r="B2567">
        <v>45.254800000000003</v>
      </c>
      <c r="C2567">
        <v>1.591353E-3</v>
      </c>
    </row>
    <row r="2568" spans="1:3" x14ac:dyDescent="0.15">
      <c r="A2568" t="s">
        <v>858</v>
      </c>
      <c r="B2568">
        <v>64</v>
      </c>
      <c r="C2568">
        <v>1.692196E-3</v>
      </c>
    </row>
    <row r="2569" spans="1:3" x14ac:dyDescent="0.15">
      <c r="A2569" t="s">
        <v>858</v>
      </c>
      <c r="B2569">
        <v>90.509699999999995</v>
      </c>
      <c r="C2569">
        <v>1.4492940000000001E-3</v>
      </c>
    </row>
    <row r="2570" spans="1:3" x14ac:dyDescent="0.15">
      <c r="A2570" t="s">
        <v>858</v>
      </c>
      <c r="B2570">
        <v>128</v>
      </c>
      <c r="C2570">
        <v>1.2590959999999999E-3</v>
      </c>
    </row>
    <row r="2571" spans="1:3" x14ac:dyDescent="0.15">
      <c r="A2571" t="s">
        <v>858</v>
      </c>
      <c r="B2571">
        <v>181.01929999999999</v>
      </c>
      <c r="C2571">
        <v>6.2732300000000005E-4</v>
      </c>
    </row>
    <row r="2572" spans="1:3" x14ac:dyDescent="0.15">
      <c r="A2572" t="s">
        <v>858</v>
      </c>
      <c r="B2572">
        <v>256</v>
      </c>
      <c r="C2572">
        <v>9.5779000000000006E-5</v>
      </c>
    </row>
    <row r="2573" spans="1:3" x14ac:dyDescent="0.15">
      <c r="A2573" t="s">
        <v>858</v>
      </c>
      <c r="B2573">
        <v>362.03870000000001</v>
      </c>
      <c r="C2573">
        <v>1.7850000000000001E-6</v>
      </c>
    </row>
    <row r="2574" spans="1:3" x14ac:dyDescent="0.15">
      <c r="A2574" t="s">
        <v>858</v>
      </c>
      <c r="B2574">
        <v>512</v>
      </c>
      <c r="C2574">
        <v>2.0000000000000001E-9</v>
      </c>
    </row>
    <row r="2575" spans="1:3" x14ac:dyDescent="0.15">
      <c r="A2575" t="s">
        <v>858</v>
      </c>
      <c r="B2575">
        <v>724.07730000000004</v>
      </c>
      <c r="C2575">
        <v>0</v>
      </c>
    </row>
    <row r="2576" spans="1:3" x14ac:dyDescent="0.15">
      <c r="A2576" t="s">
        <v>859</v>
      </c>
      <c r="B2576">
        <v>2</v>
      </c>
      <c r="C2576">
        <v>1.2865800000000001E-3</v>
      </c>
    </row>
    <row r="2577" spans="1:3" x14ac:dyDescent="0.15">
      <c r="A2577" t="s">
        <v>859</v>
      </c>
      <c r="B2577">
        <v>2.8283999999999998</v>
      </c>
      <c r="C2577">
        <v>1.5969980000000001E-3</v>
      </c>
    </row>
    <row r="2578" spans="1:3" x14ac:dyDescent="0.15">
      <c r="A2578" t="s">
        <v>859</v>
      </c>
      <c r="B2578">
        <v>4</v>
      </c>
      <c r="C2578">
        <v>1.779458E-3</v>
      </c>
    </row>
    <row r="2579" spans="1:3" x14ac:dyDescent="0.15">
      <c r="A2579" t="s">
        <v>859</v>
      </c>
      <c r="B2579">
        <v>5.6569000000000003</v>
      </c>
      <c r="C2579">
        <v>1.673498E-3</v>
      </c>
    </row>
    <row r="2580" spans="1:3" x14ac:dyDescent="0.15">
      <c r="A2580" t="s">
        <v>859</v>
      </c>
      <c r="B2580">
        <v>8</v>
      </c>
      <c r="C2580">
        <v>1.2922140000000001E-3</v>
      </c>
    </row>
    <row r="2581" spans="1:3" x14ac:dyDescent="0.15">
      <c r="A2581" t="s">
        <v>859</v>
      </c>
      <c r="B2581">
        <v>11.313700000000001</v>
      </c>
      <c r="C2581">
        <v>9.6588299999999995E-4</v>
      </c>
    </row>
    <row r="2582" spans="1:3" x14ac:dyDescent="0.15">
      <c r="A2582" t="s">
        <v>859</v>
      </c>
      <c r="B2582">
        <v>16</v>
      </c>
      <c r="C2582">
        <v>7.8454100000000004E-4</v>
      </c>
    </row>
    <row r="2583" spans="1:3" x14ac:dyDescent="0.15">
      <c r="A2583" t="s">
        <v>859</v>
      </c>
      <c r="B2583">
        <v>22.627400000000002</v>
      </c>
      <c r="C2583">
        <v>6.0619999999999999E-4</v>
      </c>
    </row>
    <row r="2584" spans="1:3" x14ac:dyDescent="0.15">
      <c r="A2584" t="s">
        <v>859</v>
      </c>
      <c r="B2584">
        <v>32</v>
      </c>
      <c r="C2584">
        <v>6.0394599999999995E-4</v>
      </c>
    </row>
    <row r="2585" spans="1:3" x14ac:dyDescent="0.15">
      <c r="A2585" t="s">
        <v>859</v>
      </c>
      <c r="B2585">
        <v>45.254800000000003</v>
      </c>
      <c r="C2585">
        <v>8.0670000000000004E-4</v>
      </c>
    </row>
    <row r="2586" spans="1:3" x14ac:dyDescent="0.15">
      <c r="A2586" t="s">
        <v>859</v>
      </c>
      <c r="B2586">
        <v>64</v>
      </c>
      <c r="C2586">
        <v>9.4793000000000004E-4</v>
      </c>
    </row>
    <row r="2587" spans="1:3" x14ac:dyDescent="0.15">
      <c r="A2587" t="s">
        <v>859</v>
      </c>
      <c r="B2587">
        <v>90.509699999999995</v>
      </c>
      <c r="C2587">
        <v>9.863230000000001E-4</v>
      </c>
    </row>
    <row r="2588" spans="1:3" x14ac:dyDescent="0.15">
      <c r="A2588" t="s">
        <v>859</v>
      </c>
      <c r="B2588">
        <v>128</v>
      </c>
      <c r="C2588">
        <v>9.55695E-4</v>
      </c>
    </row>
    <row r="2589" spans="1:3" x14ac:dyDescent="0.15">
      <c r="A2589" t="s">
        <v>859</v>
      </c>
      <c r="B2589">
        <v>181.01929999999999</v>
      </c>
      <c r="C2589">
        <v>4.9158299999999997E-4</v>
      </c>
    </row>
    <row r="2590" spans="1:3" x14ac:dyDescent="0.15">
      <c r="A2590" t="s">
        <v>859</v>
      </c>
      <c r="B2590">
        <v>256</v>
      </c>
      <c r="C2590">
        <v>7.5915999999999996E-5</v>
      </c>
    </row>
    <row r="2591" spans="1:3" x14ac:dyDescent="0.15">
      <c r="A2591" t="s">
        <v>859</v>
      </c>
      <c r="B2591">
        <v>362.03870000000001</v>
      </c>
      <c r="C2591">
        <v>1.4169999999999999E-6</v>
      </c>
    </row>
    <row r="2592" spans="1:3" x14ac:dyDescent="0.15">
      <c r="A2592" t="s">
        <v>859</v>
      </c>
      <c r="B2592">
        <v>512</v>
      </c>
      <c r="C2592">
        <v>0</v>
      </c>
    </row>
    <row r="2593" spans="1:3" x14ac:dyDescent="0.15">
      <c r="A2593" t="s">
        <v>859</v>
      </c>
      <c r="B2593">
        <v>724.07730000000004</v>
      </c>
      <c r="C2593">
        <v>0</v>
      </c>
    </row>
    <row r="2594" spans="1:3" x14ac:dyDescent="0.15">
      <c r="A2594" t="s">
        <v>860</v>
      </c>
      <c r="B2594">
        <v>2</v>
      </c>
      <c r="C2594">
        <v>9.5094600000000004E-4</v>
      </c>
    </row>
    <row r="2595" spans="1:3" x14ac:dyDescent="0.15">
      <c r="A2595" t="s">
        <v>860</v>
      </c>
      <c r="B2595">
        <v>2.8283999999999998</v>
      </c>
      <c r="C2595">
        <v>1.2125529999999999E-3</v>
      </c>
    </row>
    <row r="2596" spans="1:3" x14ac:dyDescent="0.15">
      <c r="A2596" t="s">
        <v>860</v>
      </c>
      <c r="B2596">
        <v>4</v>
      </c>
      <c r="C2596">
        <v>1.4542610000000001E-3</v>
      </c>
    </row>
    <row r="2597" spans="1:3" x14ac:dyDescent="0.15">
      <c r="A2597" t="s">
        <v>860</v>
      </c>
      <c r="B2597">
        <v>5.6569000000000003</v>
      </c>
      <c r="C2597">
        <v>1.532006E-3</v>
      </c>
    </row>
    <row r="2598" spans="1:3" x14ac:dyDescent="0.15">
      <c r="A2598" t="s">
        <v>860</v>
      </c>
      <c r="B2598">
        <v>8</v>
      </c>
      <c r="C2598">
        <v>1.3850729999999999E-3</v>
      </c>
    </row>
    <row r="2599" spans="1:3" x14ac:dyDescent="0.15">
      <c r="A2599" t="s">
        <v>860</v>
      </c>
      <c r="B2599">
        <v>11.313700000000001</v>
      </c>
      <c r="C2599">
        <v>1.1428930000000001E-3</v>
      </c>
    </row>
    <row r="2600" spans="1:3" x14ac:dyDescent="0.15">
      <c r="A2600" t="s">
        <v>860</v>
      </c>
      <c r="B2600">
        <v>16</v>
      </c>
      <c r="C2600">
        <v>9.8127700000000002E-4</v>
      </c>
    </row>
    <row r="2601" spans="1:3" x14ac:dyDescent="0.15">
      <c r="A2601" t="s">
        <v>860</v>
      </c>
      <c r="B2601">
        <v>22.627400000000002</v>
      </c>
      <c r="C2601">
        <v>7.3185100000000005E-4</v>
      </c>
    </row>
    <row r="2602" spans="1:3" x14ac:dyDescent="0.15">
      <c r="A2602" t="s">
        <v>860</v>
      </c>
      <c r="B2602">
        <v>32</v>
      </c>
      <c r="C2602">
        <v>4.9604599999999999E-4</v>
      </c>
    </row>
    <row r="2603" spans="1:3" x14ac:dyDescent="0.15">
      <c r="A2603" t="s">
        <v>860</v>
      </c>
      <c r="B2603">
        <v>45.254800000000003</v>
      </c>
      <c r="C2603">
        <v>5.0029399999999998E-4</v>
      </c>
    </row>
    <row r="2604" spans="1:3" x14ac:dyDescent="0.15">
      <c r="A2604" t="s">
        <v>860</v>
      </c>
      <c r="B2604">
        <v>64</v>
      </c>
      <c r="C2604">
        <v>6.1750499999999996E-4</v>
      </c>
    </row>
    <row r="2605" spans="1:3" x14ac:dyDescent="0.15">
      <c r="A2605" t="s">
        <v>860</v>
      </c>
      <c r="B2605">
        <v>90.509699999999995</v>
      </c>
      <c r="C2605">
        <v>9.3305199999999997E-4</v>
      </c>
    </row>
    <row r="2606" spans="1:3" x14ac:dyDescent="0.15">
      <c r="A2606" t="s">
        <v>860</v>
      </c>
      <c r="B2606">
        <v>128</v>
      </c>
      <c r="C2606">
        <v>1.0132100000000001E-3</v>
      </c>
    </row>
    <row r="2607" spans="1:3" x14ac:dyDescent="0.15">
      <c r="A2607" t="s">
        <v>860</v>
      </c>
      <c r="B2607">
        <v>181.01929999999999</v>
      </c>
      <c r="C2607">
        <v>5.1762599999999998E-4</v>
      </c>
    </row>
    <row r="2608" spans="1:3" x14ac:dyDescent="0.15">
      <c r="A2608" t="s">
        <v>860</v>
      </c>
      <c r="B2608">
        <v>256</v>
      </c>
      <c r="C2608">
        <v>7.9359999999999999E-5</v>
      </c>
    </row>
    <row r="2609" spans="1:3" x14ac:dyDescent="0.15">
      <c r="A2609" t="s">
        <v>860</v>
      </c>
      <c r="B2609">
        <v>362.03870000000001</v>
      </c>
      <c r="C2609">
        <v>1.48E-6</v>
      </c>
    </row>
    <row r="2610" spans="1:3" x14ac:dyDescent="0.15">
      <c r="A2610" t="s">
        <v>860</v>
      </c>
      <c r="B2610">
        <v>512</v>
      </c>
      <c r="C2610">
        <v>0</v>
      </c>
    </row>
    <row r="2611" spans="1:3" x14ac:dyDescent="0.15">
      <c r="A2611" t="s">
        <v>860</v>
      </c>
      <c r="B2611">
        <v>724.07730000000004</v>
      </c>
      <c r="C2611">
        <v>0</v>
      </c>
    </row>
    <row r="2612" spans="1:3" x14ac:dyDescent="0.15">
      <c r="A2612" t="s">
        <v>861</v>
      </c>
      <c r="B2612">
        <v>2</v>
      </c>
      <c r="C2612">
        <v>9.32138E-4</v>
      </c>
    </row>
    <row r="2613" spans="1:3" x14ac:dyDescent="0.15">
      <c r="A2613" t="s">
        <v>861</v>
      </c>
      <c r="B2613">
        <v>2.8283999999999998</v>
      </c>
      <c r="C2613">
        <v>1.192158E-3</v>
      </c>
    </row>
    <row r="2614" spans="1:3" x14ac:dyDescent="0.15">
      <c r="A2614" t="s">
        <v>861</v>
      </c>
      <c r="B2614">
        <v>4</v>
      </c>
      <c r="C2614">
        <v>1.4077040000000001E-3</v>
      </c>
    </row>
    <row r="2615" spans="1:3" x14ac:dyDescent="0.15">
      <c r="A2615" t="s">
        <v>861</v>
      </c>
      <c r="B2615">
        <v>5.6569000000000003</v>
      </c>
      <c r="C2615">
        <v>1.445128E-3</v>
      </c>
    </row>
    <row r="2616" spans="1:3" x14ac:dyDescent="0.15">
      <c r="A2616" t="s">
        <v>861</v>
      </c>
      <c r="B2616">
        <v>8</v>
      </c>
      <c r="C2616">
        <v>1.32861E-3</v>
      </c>
    </row>
    <row r="2617" spans="1:3" x14ac:dyDescent="0.15">
      <c r="A2617" t="s">
        <v>861</v>
      </c>
      <c r="B2617">
        <v>11.313700000000001</v>
      </c>
      <c r="C2617">
        <v>1.09465E-3</v>
      </c>
    </row>
    <row r="2618" spans="1:3" x14ac:dyDescent="0.15">
      <c r="A2618" t="s">
        <v>861</v>
      </c>
      <c r="B2618">
        <v>16</v>
      </c>
      <c r="C2618">
        <v>8.1916400000000005E-4</v>
      </c>
    </row>
    <row r="2619" spans="1:3" x14ac:dyDescent="0.15">
      <c r="A2619" t="s">
        <v>861</v>
      </c>
      <c r="B2619">
        <v>22.627400000000002</v>
      </c>
      <c r="C2619">
        <v>6.3213099999999997E-4</v>
      </c>
    </row>
    <row r="2620" spans="1:3" x14ac:dyDescent="0.15">
      <c r="A2620" t="s">
        <v>861</v>
      </c>
      <c r="B2620">
        <v>32</v>
      </c>
      <c r="C2620">
        <v>5.3635499999999997E-4</v>
      </c>
    </row>
    <row r="2621" spans="1:3" x14ac:dyDescent="0.15">
      <c r="A2621" t="s">
        <v>861</v>
      </c>
      <c r="B2621">
        <v>45.254800000000003</v>
      </c>
      <c r="C2621">
        <v>5.1071199999999997E-4</v>
      </c>
    </row>
    <row r="2622" spans="1:3" x14ac:dyDescent="0.15">
      <c r="A2622" t="s">
        <v>861</v>
      </c>
      <c r="B2622">
        <v>64</v>
      </c>
      <c r="C2622">
        <v>5.0556600000000004E-4</v>
      </c>
    </row>
    <row r="2623" spans="1:3" x14ac:dyDescent="0.15">
      <c r="A2623" t="s">
        <v>861</v>
      </c>
      <c r="B2623">
        <v>90.509699999999995</v>
      </c>
      <c r="C2623">
        <v>3.9242699999999999E-4</v>
      </c>
    </row>
    <row r="2624" spans="1:3" x14ac:dyDescent="0.15">
      <c r="A2624" t="s">
        <v>861</v>
      </c>
      <c r="B2624">
        <v>128</v>
      </c>
      <c r="C2624">
        <v>3.2082399999999999E-4</v>
      </c>
    </row>
    <row r="2625" spans="1:3" x14ac:dyDescent="0.15">
      <c r="A2625" t="s">
        <v>861</v>
      </c>
      <c r="B2625">
        <v>181.01929999999999</v>
      </c>
      <c r="C2625">
        <v>1.5979899999999999E-4</v>
      </c>
    </row>
    <row r="2626" spans="1:3" x14ac:dyDescent="0.15">
      <c r="A2626" t="s">
        <v>861</v>
      </c>
      <c r="B2626">
        <v>256</v>
      </c>
      <c r="C2626">
        <v>2.4448E-5</v>
      </c>
    </row>
    <row r="2627" spans="1:3" x14ac:dyDescent="0.15">
      <c r="A2627" t="s">
        <v>861</v>
      </c>
      <c r="B2627">
        <v>362.03870000000001</v>
      </c>
      <c r="C2627">
        <v>4.5600000000000001E-7</v>
      </c>
    </row>
    <row r="2628" spans="1:3" x14ac:dyDescent="0.15">
      <c r="A2628" t="s">
        <v>861</v>
      </c>
      <c r="B2628">
        <v>512</v>
      </c>
      <c r="C2628">
        <v>0</v>
      </c>
    </row>
    <row r="2629" spans="1:3" x14ac:dyDescent="0.15">
      <c r="A2629" t="s">
        <v>861</v>
      </c>
      <c r="B2629">
        <v>724.07730000000004</v>
      </c>
      <c r="C2629">
        <v>0</v>
      </c>
    </row>
    <row r="2630" spans="1:3" x14ac:dyDescent="0.15">
      <c r="A2630" t="s">
        <v>862</v>
      </c>
      <c r="B2630">
        <v>2</v>
      </c>
      <c r="C2630">
        <v>6.4910900000000004E-4</v>
      </c>
    </row>
    <row r="2631" spans="1:3" x14ac:dyDescent="0.15">
      <c r="A2631" t="s">
        <v>862</v>
      </c>
      <c r="B2631">
        <v>2.8283999999999998</v>
      </c>
      <c r="C2631">
        <v>7.6113799999999996E-4</v>
      </c>
    </row>
    <row r="2632" spans="1:3" x14ac:dyDescent="0.15">
      <c r="A2632" t="s">
        <v>862</v>
      </c>
      <c r="B2632">
        <v>4</v>
      </c>
      <c r="C2632">
        <v>7.6155199999999998E-4</v>
      </c>
    </row>
    <row r="2633" spans="1:3" x14ac:dyDescent="0.15">
      <c r="A2633" t="s">
        <v>862</v>
      </c>
      <c r="B2633">
        <v>5.6569000000000003</v>
      </c>
      <c r="C2633">
        <v>6.5733999999999996E-4</v>
      </c>
    </row>
    <row r="2634" spans="1:3" x14ac:dyDescent="0.15">
      <c r="A2634" t="s">
        <v>862</v>
      </c>
      <c r="B2634">
        <v>8</v>
      </c>
      <c r="C2634">
        <v>5.9172000000000001E-4</v>
      </c>
    </row>
    <row r="2635" spans="1:3" x14ac:dyDescent="0.15">
      <c r="A2635" t="s">
        <v>862</v>
      </c>
      <c r="B2635">
        <v>11.313700000000001</v>
      </c>
      <c r="C2635">
        <v>6.0440400000000001E-4</v>
      </c>
    </row>
    <row r="2636" spans="1:3" x14ac:dyDescent="0.15">
      <c r="A2636" t="s">
        <v>862</v>
      </c>
      <c r="B2636">
        <v>16</v>
      </c>
      <c r="C2636">
        <v>5.3871400000000003E-4</v>
      </c>
    </row>
    <row r="2637" spans="1:3" x14ac:dyDescent="0.15">
      <c r="A2637" t="s">
        <v>862</v>
      </c>
      <c r="B2637">
        <v>22.627400000000002</v>
      </c>
      <c r="C2637">
        <v>5.0547999999999999E-4</v>
      </c>
    </row>
    <row r="2638" spans="1:3" x14ac:dyDescent="0.15">
      <c r="A2638" t="s">
        <v>862</v>
      </c>
      <c r="B2638">
        <v>32</v>
      </c>
      <c r="C2638">
        <v>5.6402500000000001E-4</v>
      </c>
    </row>
    <row r="2639" spans="1:3" x14ac:dyDescent="0.15">
      <c r="A2639" t="s">
        <v>862</v>
      </c>
      <c r="B2639">
        <v>45.254800000000003</v>
      </c>
      <c r="C2639">
        <v>5.9339799999999997E-4</v>
      </c>
    </row>
    <row r="2640" spans="1:3" x14ac:dyDescent="0.15">
      <c r="A2640" t="s">
        <v>862</v>
      </c>
      <c r="B2640">
        <v>64</v>
      </c>
      <c r="C2640">
        <v>5.60437E-4</v>
      </c>
    </row>
    <row r="2641" spans="1:3" x14ac:dyDescent="0.15">
      <c r="A2641" t="s">
        <v>862</v>
      </c>
      <c r="B2641">
        <v>90.509699999999995</v>
      </c>
      <c r="C2641">
        <v>4.3223799999999999E-4</v>
      </c>
    </row>
    <row r="2642" spans="1:3" x14ac:dyDescent="0.15">
      <c r="A2642" t="s">
        <v>862</v>
      </c>
      <c r="B2642">
        <v>128</v>
      </c>
      <c r="C2642">
        <v>2.5811399999999999E-4</v>
      </c>
    </row>
    <row r="2643" spans="1:3" x14ac:dyDescent="0.15">
      <c r="A2643" t="s">
        <v>862</v>
      </c>
      <c r="B2643">
        <v>181.01929999999999</v>
      </c>
      <c r="C2643">
        <v>1.15547E-4</v>
      </c>
    </row>
    <row r="2644" spans="1:3" x14ac:dyDescent="0.15">
      <c r="A2644" t="s">
        <v>862</v>
      </c>
      <c r="B2644">
        <v>256</v>
      </c>
      <c r="C2644">
        <v>1.7635E-5</v>
      </c>
    </row>
    <row r="2645" spans="1:3" x14ac:dyDescent="0.15">
      <c r="A2645" t="s">
        <v>862</v>
      </c>
      <c r="B2645">
        <v>362.03870000000001</v>
      </c>
      <c r="C2645">
        <v>3.2899999999999999E-7</v>
      </c>
    </row>
    <row r="2646" spans="1:3" x14ac:dyDescent="0.15">
      <c r="A2646" t="s">
        <v>862</v>
      </c>
      <c r="B2646">
        <v>512</v>
      </c>
      <c r="C2646">
        <v>0</v>
      </c>
    </row>
    <row r="2647" spans="1:3" x14ac:dyDescent="0.15">
      <c r="A2647" t="s">
        <v>862</v>
      </c>
      <c r="B2647">
        <v>724.07730000000004</v>
      </c>
      <c r="C2647">
        <v>0</v>
      </c>
    </row>
    <row r="2648" spans="1:3" x14ac:dyDescent="0.15">
      <c r="A2648" t="s">
        <v>863</v>
      </c>
      <c r="B2648">
        <v>2</v>
      </c>
      <c r="C2648">
        <v>1.553785E-3</v>
      </c>
    </row>
    <row r="2649" spans="1:3" x14ac:dyDescent="0.15">
      <c r="A2649" t="s">
        <v>863</v>
      </c>
      <c r="B2649">
        <v>2.8283999999999998</v>
      </c>
      <c r="C2649">
        <v>1.8492350000000001E-3</v>
      </c>
    </row>
    <row r="2650" spans="1:3" x14ac:dyDescent="0.15">
      <c r="A2650" t="s">
        <v>863</v>
      </c>
      <c r="B2650">
        <v>4</v>
      </c>
      <c r="C2650">
        <v>1.9182030000000001E-3</v>
      </c>
    </row>
    <row r="2651" spans="1:3" x14ac:dyDescent="0.15">
      <c r="A2651" t="s">
        <v>863</v>
      </c>
      <c r="B2651">
        <v>5.6569000000000003</v>
      </c>
      <c r="C2651">
        <v>1.7697609999999999E-3</v>
      </c>
    </row>
    <row r="2652" spans="1:3" x14ac:dyDescent="0.15">
      <c r="A2652" t="s">
        <v>863</v>
      </c>
      <c r="B2652">
        <v>8</v>
      </c>
      <c r="C2652">
        <v>1.484906E-3</v>
      </c>
    </row>
    <row r="2653" spans="1:3" x14ac:dyDescent="0.15">
      <c r="A2653" t="s">
        <v>863</v>
      </c>
      <c r="B2653">
        <v>11.313700000000001</v>
      </c>
      <c r="C2653">
        <v>1.109627E-3</v>
      </c>
    </row>
    <row r="2654" spans="1:3" x14ac:dyDescent="0.15">
      <c r="A2654" t="s">
        <v>863</v>
      </c>
      <c r="B2654">
        <v>16</v>
      </c>
      <c r="C2654">
        <v>8.6377899999999996E-4</v>
      </c>
    </row>
    <row r="2655" spans="1:3" x14ac:dyDescent="0.15">
      <c r="A2655" t="s">
        <v>863</v>
      </c>
      <c r="B2655">
        <v>22.627400000000002</v>
      </c>
      <c r="C2655">
        <v>7.5077900000000003E-4</v>
      </c>
    </row>
    <row r="2656" spans="1:3" x14ac:dyDescent="0.15">
      <c r="A2656" t="s">
        <v>863</v>
      </c>
      <c r="B2656">
        <v>32</v>
      </c>
      <c r="C2656">
        <v>6.8862899999999996E-4</v>
      </c>
    </row>
    <row r="2657" spans="1:3" x14ac:dyDescent="0.15">
      <c r="A2657" t="s">
        <v>863</v>
      </c>
      <c r="B2657">
        <v>45.254800000000003</v>
      </c>
      <c r="C2657">
        <v>6.6976100000000005E-4</v>
      </c>
    </row>
    <row r="2658" spans="1:3" x14ac:dyDescent="0.15">
      <c r="A2658" t="s">
        <v>863</v>
      </c>
      <c r="B2658">
        <v>64</v>
      </c>
      <c r="C2658">
        <v>6.1761599999999998E-4</v>
      </c>
    </row>
    <row r="2659" spans="1:3" x14ac:dyDescent="0.15">
      <c r="A2659" t="s">
        <v>863</v>
      </c>
      <c r="B2659">
        <v>90.509699999999995</v>
      </c>
      <c r="C2659">
        <v>5.3034700000000002E-4</v>
      </c>
    </row>
    <row r="2660" spans="1:3" x14ac:dyDescent="0.15">
      <c r="A2660" t="s">
        <v>863</v>
      </c>
      <c r="B2660">
        <v>128</v>
      </c>
      <c r="C2660">
        <v>5.0620199999999998E-4</v>
      </c>
    </row>
    <row r="2661" spans="1:3" x14ac:dyDescent="0.15">
      <c r="A2661" t="s">
        <v>863</v>
      </c>
      <c r="B2661">
        <v>181.01929999999999</v>
      </c>
      <c r="C2661">
        <v>2.6069500000000002E-4</v>
      </c>
    </row>
    <row r="2662" spans="1:3" x14ac:dyDescent="0.15">
      <c r="A2662" t="s">
        <v>863</v>
      </c>
      <c r="B2662">
        <v>256</v>
      </c>
      <c r="C2662">
        <v>4.0058999999999997E-5</v>
      </c>
    </row>
    <row r="2663" spans="1:3" x14ac:dyDescent="0.15">
      <c r="A2663" t="s">
        <v>863</v>
      </c>
      <c r="B2663">
        <v>362.03870000000001</v>
      </c>
      <c r="C2663">
        <v>7.4700000000000001E-7</v>
      </c>
    </row>
    <row r="2664" spans="1:3" x14ac:dyDescent="0.15">
      <c r="A2664" t="s">
        <v>863</v>
      </c>
      <c r="B2664">
        <v>512</v>
      </c>
      <c r="C2664">
        <v>0</v>
      </c>
    </row>
    <row r="2665" spans="1:3" x14ac:dyDescent="0.15">
      <c r="A2665" t="s">
        <v>863</v>
      </c>
      <c r="B2665">
        <v>724.07730000000004</v>
      </c>
      <c r="C2665">
        <v>0</v>
      </c>
    </row>
    <row r="2666" spans="1:3" x14ac:dyDescent="0.15">
      <c r="A2666" t="s">
        <v>864</v>
      </c>
      <c r="B2666">
        <v>2</v>
      </c>
      <c r="C2666">
        <v>4.6487200000000002E-4</v>
      </c>
    </row>
    <row r="2667" spans="1:3" x14ac:dyDescent="0.15">
      <c r="A2667" t="s">
        <v>864</v>
      </c>
      <c r="B2667">
        <v>2.8283999999999998</v>
      </c>
      <c r="C2667">
        <v>5.7255800000000003E-4</v>
      </c>
    </row>
    <row r="2668" spans="1:3" x14ac:dyDescent="0.15">
      <c r="A2668" t="s">
        <v>864</v>
      </c>
      <c r="B2668">
        <v>4</v>
      </c>
      <c r="C2668">
        <v>6.9786399999999997E-4</v>
      </c>
    </row>
    <row r="2669" spans="1:3" x14ac:dyDescent="0.15">
      <c r="A2669" t="s">
        <v>864</v>
      </c>
      <c r="B2669">
        <v>5.6569000000000003</v>
      </c>
      <c r="C2669">
        <v>7.2339699999999997E-4</v>
      </c>
    </row>
    <row r="2670" spans="1:3" x14ac:dyDescent="0.15">
      <c r="A2670" t="s">
        <v>864</v>
      </c>
      <c r="B2670">
        <v>8</v>
      </c>
      <c r="C2670">
        <v>6.1893500000000004E-4</v>
      </c>
    </row>
    <row r="2671" spans="1:3" x14ac:dyDescent="0.15">
      <c r="A2671" t="s">
        <v>864</v>
      </c>
      <c r="B2671">
        <v>11.313700000000001</v>
      </c>
      <c r="C2671">
        <v>5.4172499999999995E-4</v>
      </c>
    </row>
    <row r="2672" spans="1:3" x14ac:dyDescent="0.15">
      <c r="A2672" t="s">
        <v>864</v>
      </c>
      <c r="B2672">
        <v>16</v>
      </c>
      <c r="C2672">
        <v>5.7111399999999995E-4</v>
      </c>
    </row>
    <row r="2673" spans="1:3" x14ac:dyDescent="0.15">
      <c r="A2673" t="s">
        <v>864</v>
      </c>
      <c r="B2673">
        <v>22.627400000000002</v>
      </c>
      <c r="C2673">
        <v>6.3872500000000003E-4</v>
      </c>
    </row>
    <row r="2674" spans="1:3" x14ac:dyDescent="0.15">
      <c r="A2674" t="s">
        <v>864</v>
      </c>
      <c r="B2674">
        <v>32</v>
      </c>
      <c r="C2674">
        <v>6.03832E-4</v>
      </c>
    </row>
    <row r="2675" spans="1:3" x14ac:dyDescent="0.15">
      <c r="A2675" t="s">
        <v>864</v>
      </c>
      <c r="B2675">
        <v>45.254800000000003</v>
      </c>
      <c r="C2675">
        <v>5.0414800000000005E-4</v>
      </c>
    </row>
    <row r="2676" spans="1:3" x14ac:dyDescent="0.15">
      <c r="A2676" t="s">
        <v>864</v>
      </c>
      <c r="B2676">
        <v>64</v>
      </c>
      <c r="C2676">
        <v>3.4858699999999997E-4</v>
      </c>
    </row>
    <row r="2677" spans="1:3" x14ac:dyDescent="0.15">
      <c r="A2677" t="s">
        <v>864</v>
      </c>
      <c r="B2677">
        <v>90.509699999999995</v>
      </c>
      <c r="C2677">
        <v>2.7991000000000002E-4</v>
      </c>
    </row>
    <row r="2678" spans="1:3" x14ac:dyDescent="0.15">
      <c r="A2678" t="s">
        <v>864</v>
      </c>
      <c r="B2678">
        <v>128</v>
      </c>
      <c r="C2678">
        <v>2.7785800000000002E-4</v>
      </c>
    </row>
    <row r="2679" spans="1:3" x14ac:dyDescent="0.15">
      <c r="A2679" t="s">
        <v>864</v>
      </c>
      <c r="B2679">
        <v>181.01929999999999</v>
      </c>
      <c r="C2679">
        <v>1.41576E-4</v>
      </c>
    </row>
    <row r="2680" spans="1:3" x14ac:dyDescent="0.15">
      <c r="A2680" t="s">
        <v>864</v>
      </c>
      <c r="B2680">
        <v>256</v>
      </c>
      <c r="C2680">
        <v>2.1690000000000001E-5</v>
      </c>
    </row>
    <row r="2681" spans="1:3" x14ac:dyDescent="0.15">
      <c r="A2681" t="s">
        <v>864</v>
      </c>
      <c r="B2681">
        <v>362.03870000000001</v>
      </c>
      <c r="C2681">
        <v>4.0499999999999999E-7</v>
      </c>
    </row>
    <row r="2682" spans="1:3" x14ac:dyDescent="0.15">
      <c r="A2682" t="s">
        <v>864</v>
      </c>
      <c r="B2682">
        <v>512</v>
      </c>
      <c r="C2682">
        <v>0</v>
      </c>
    </row>
    <row r="2683" spans="1:3" x14ac:dyDescent="0.15">
      <c r="A2683" t="s">
        <v>864</v>
      </c>
      <c r="B2683">
        <v>724.07730000000004</v>
      </c>
      <c r="C2683">
        <v>0</v>
      </c>
    </row>
    <row r="2684" spans="1:3" x14ac:dyDescent="0.15">
      <c r="A2684" t="s">
        <v>865</v>
      </c>
      <c r="B2684">
        <v>2</v>
      </c>
      <c r="C2684">
        <v>5.6116900000000003E-4</v>
      </c>
    </row>
    <row r="2685" spans="1:3" x14ac:dyDescent="0.15">
      <c r="A2685" t="s">
        <v>865</v>
      </c>
      <c r="B2685">
        <v>2.8283999999999998</v>
      </c>
      <c r="C2685">
        <v>6.9550199999999997E-4</v>
      </c>
    </row>
    <row r="2686" spans="1:3" x14ac:dyDescent="0.15">
      <c r="A2686" t="s">
        <v>865</v>
      </c>
      <c r="B2686">
        <v>4</v>
      </c>
      <c r="C2686">
        <v>8.4925500000000004E-4</v>
      </c>
    </row>
    <row r="2687" spans="1:3" x14ac:dyDescent="0.15">
      <c r="A2687" t="s">
        <v>865</v>
      </c>
      <c r="B2687">
        <v>5.6569000000000003</v>
      </c>
      <c r="C2687">
        <v>9.0943100000000004E-4</v>
      </c>
    </row>
    <row r="2688" spans="1:3" x14ac:dyDescent="0.15">
      <c r="A2688" t="s">
        <v>865</v>
      </c>
      <c r="B2688">
        <v>8</v>
      </c>
      <c r="C2688">
        <v>9.28819E-4</v>
      </c>
    </row>
    <row r="2689" spans="1:3" x14ac:dyDescent="0.15">
      <c r="A2689" t="s">
        <v>865</v>
      </c>
      <c r="B2689">
        <v>11.313700000000001</v>
      </c>
      <c r="C2689">
        <v>9.4635900000000002E-4</v>
      </c>
    </row>
    <row r="2690" spans="1:3" x14ac:dyDescent="0.15">
      <c r="A2690" t="s">
        <v>865</v>
      </c>
      <c r="B2690">
        <v>16</v>
      </c>
      <c r="C2690">
        <v>9.0021999999999997E-4</v>
      </c>
    </row>
    <row r="2691" spans="1:3" x14ac:dyDescent="0.15">
      <c r="A2691" t="s">
        <v>865</v>
      </c>
      <c r="B2691">
        <v>22.627400000000002</v>
      </c>
      <c r="C2691">
        <v>7.2809399999999999E-4</v>
      </c>
    </row>
    <row r="2692" spans="1:3" x14ac:dyDescent="0.15">
      <c r="A2692" t="s">
        <v>865</v>
      </c>
      <c r="B2692">
        <v>32</v>
      </c>
      <c r="C2692">
        <v>4.6511700000000003E-4</v>
      </c>
    </row>
    <row r="2693" spans="1:3" x14ac:dyDescent="0.15">
      <c r="A2693" t="s">
        <v>865</v>
      </c>
      <c r="B2693">
        <v>45.254800000000003</v>
      </c>
      <c r="C2693">
        <v>3.8774000000000002E-4</v>
      </c>
    </row>
    <row r="2694" spans="1:3" x14ac:dyDescent="0.15">
      <c r="A2694" t="s">
        <v>865</v>
      </c>
      <c r="B2694">
        <v>64</v>
      </c>
      <c r="C2694">
        <v>3.7322800000000003E-4</v>
      </c>
    </row>
    <row r="2695" spans="1:3" x14ac:dyDescent="0.15">
      <c r="A2695" t="s">
        <v>865</v>
      </c>
      <c r="B2695">
        <v>90.509699999999995</v>
      </c>
      <c r="C2695">
        <v>2.3620100000000001E-4</v>
      </c>
    </row>
    <row r="2696" spans="1:3" x14ac:dyDescent="0.15">
      <c r="A2696" t="s">
        <v>865</v>
      </c>
      <c r="B2696">
        <v>128</v>
      </c>
      <c r="C2696">
        <v>1.05994E-4</v>
      </c>
    </row>
    <row r="2697" spans="1:3" x14ac:dyDescent="0.15">
      <c r="A2697" t="s">
        <v>865</v>
      </c>
      <c r="B2697">
        <v>181.01929999999999</v>
      </c>
      <c r="C2697">
        <v>4.2667999999999999E-5</v>
      </c>
    </row>
    <row r="2698" spans="1:3" x14ac:dyDescent="0.15">
      <c r="A2698" t="s">
        <v>865</v>
      </c>
      <c r="B2698">
        <v>256</v>
      </c>
      <c r="C2698">
        <v>6.4350000000000002E-6</v>
      </c>
    </row>
    <row r="2699" spans="1:3" x14ac:dyDescent="0.15">
      <c r="A2699" t="s">
        <v>865</v>
      </c>
      <c r="B2699">
        <v>362.03870000000001</v>
      </c>
      <c r="C2699">
        <v>1.1999999999999999E-7</v>
      </c>
    </row>
    <row r="2700" spans="1:3" x14ac:dyDescent="0.15">
      <c r="A2700" t="s">
        <v>865</v>
      </c>
      <c r="B2700">
        <v>512</v>
      </c>
      <c r="C2700">
        <v>0</v>
      </c>
    </row>
    <row r="2701" spans="1:3" x14ac:dyDescent="0.15">
      <c r="A2701" t="s">
        <v>865</v>
      </c>
      <c r="B2701">
        <v>724.07730000000004</v>
      </c>
      <c r="C2701">
        <v>0</v>
      </c>
    </row>
    <row r="2702" spans="1:3" x14ac:dyDescent="0.15">
      <c r="A2702" t="s">
        <v>866</v>
      </c>
      <c r="B2702">
        <v>2</v>
      </c>
      <c r="C2702">
        <v>1.117446E-3</v>
      </c>
    </row>
    <row r="2703" spans="1:3" x14ac:dyDescent="0.15">
      <c r="A2703" t="s">
        <v>866</v>
      </c>
      <c r="B2703">
        <v>2.8283999999999998</v>
      </c>
      <c r="C2703">
        <v>1.2899859999999999E-3</v>
      </c>
    </row>
    <row r="2704" spans="1:3" x14ac:dyDescent="0.15">
      <c r="A2704" t="s">
        <v>866</v>
      </c>
      <c r="B2704">
        <v>4</v>
      </c>
      <c r="C2704">
        <v>1.467987E-3</v>
      </c>
    </row>
    <row r="2705" spans="1:3" x14ac:dyDescent="0.15">
      <c r="A2705" t="s">
        <v>866</v>
      </c>
      <c r="B2705">
        <v>5.6569000000000003</v>
      </c>
      <c r="C2705">
        <v>1.463595E-3</v>
      </c>
    </row>
    <row r="2706" spans="1:3" x14ac:dyDescent="0.15">
      <c r="A2706" t="s">
        <v>866</v>
      </c>
      <c r="B2706">
        <v>8</v>
      </c>
      <c r="C2706">
        <v>1.28674E-3</v>
      </c>
    </row>
    <row r="2707" spans="1:3" x14ac:dyDescent="0.15">
      <c r="A2707" t="s">
        <v>866</v>
      </c>
      <c r="B2707">
        <v>11.313700000000001</v>
      </c>
      <c r="C2707">
        <v>1.1567389999999999E-3</v>
      </c>
    </row>
    <row r="2708" spans="1:3" x14ac:dyDescent="0.15">
      <c r="A2708" t="s">
        <v>866</v>
      </c>
      <c r="B2708">
        <v>16</v>
      </c>
      <c r="C2708">
        <v>1.1423659999999999E-3</v>
      </c>
    </row>
    <row r="2709" spans="1:3" x14ac:dyDescent="0.15">
      <c r="A2709" t="s">
        <v>866</v>
      </c>
      <c r="B2709">
        <v>22.627400000000002</v>
      </c>
      <c r="C2709">
        <v>1.122491E-3</v>
      </c>
    </row>
    <row r="2710" spans="1:3" x14ac:dyDescent="0.15">
      <c r="A2710" t="s">
        <v>866</v>
      </c>
      <c r="B2710">
        <v>32</v>
      </c>
      <c r="C2710">
        <v>9.8318800000000007E-4</v>
      </c>
    </row>
    <row r="2711" spans="1:3" x14ac:dyDescent="0.15">
      <c r="A2711" t="s">
        <v>866</v>
      </c>
      <c r="B2711">
        <v>45.254800000000003</v>
      </c>
      <c r="C2711">
        <v>8.0584199999999997E-4</v>
      </c>
    </row>
    <row r="2712" spans="1:3" x14ac:dyDescent="0.15">
      <c r="A2712" t="s">
        <v>866</v>
      </c>
      <c r="B2712">
        <v>64</v>
      </c>
      <c r="C2712">
        <v>6.8384000000000001E-4</v>
      </c>
    </row>
    <row r="2713" spans="1:3" x14ac:dyDescent="0.15">
      <c r="A2713" t="s">
        <v>866</v>
      </c>
      <c r="B2713">
        <v>90.509699999999995</v>
      </c>
      <c r="C2713">
        <v>3.9142300000000001E-4</v>
      </c>
    </row>
    <row r="2714" spans="1:3" x14ac:dyDescent="0.15">
      <c r="A2714" t="s">
        <v>866</v>
      </c>
      <c r="B2714">
        <v>128</v>
      </c>
      <c r="C2714">
        <v>1.89939E-4</v>
      </c>
    </row>
    <row r="2715" spans="1:3" x14ac:dyDescent="0.15">
      <c r="A2715" t="s">
        <v>866</v>
      </c>
      <c r="B2715">
        <v>181.01929999999999</v>
      </c>
      <c r="C2715">
        <v>9.0908000000000004E-5</v>
      </c>
    </row>
    <row r="2716" spans="1:3" x14ac:dyDescent="0.15">
      <c r="A2716" t="s">
        <v>866</v>
      </c>
      <c r="B2716">
        <v>256</v>
      </c>
      <c r="C2716">
        <v>1.3951000000000001E-5</v>
      </c>
    </row>
    <row r="2717" spans="1:3" x14ac:dyDescent="0.15">
      <c r="A2717" t="s">
        <v>866</v>
      </c>
      <c r="B2717">
        <v>362.03870000000001</v>
      </c>
      <c r="C2717">
        <v>2.6E-7</v>
      </c>
    </row>
    <row r="2718" spans="1:3" x14ac:dyDescent="0.15">
      <c r="A2718" t="s">
        <v>866</v>
      </c>
      <c r="B2718">
        <v>512</v>
      </c>
      <c r="C2718">
        <v>0</v>
      </c>
    </row>
    <row r="2719" spans="1:3" x14ac:dyDescent="0.15">
      <c r="A2719" t="s">
        <v>866</v>
      </c>
      <c r="B2719">
        <v>724.07730000000004</v>
      </c>
      <c r="C2719">
        <v>0</v>
      </c>
    </row>
    <row r="2720" spans="1:3" x14ac:dyDescent="0.15">
      <c r="A2720" t="s">
        <v>867</v>
      </c>
      <c r="B2720">
        <v>2</v>
      </c>
      <c r="C2720">
        <v>3.9290800000000003E-4</v>
      </c>
    </row>
    <row r="2721" spans="1:3" x14ac:dyDescent="0.15">
      <c r="A2721" t="s">
        <v>867</v>
      </c>
      <c r="B2721">
        <v>2.8283999999999998</v>
      </c>
      <c r="C2721">
        <v>5.1190299999999997E-4</v>
      </c>
    </row>
    <row r="2722" spans="1:3" x14ac:dyDescent="0.15">
      <c r="A2722" t="s">
        <v>867</v>
      </c>
      <c r="B2722">
        <v>4</v>
      </c>
      <c r="C2722">
        <v>6.3354899999999996E-4</v>
      </c>
    </row>
    <row r="2723" spans="1:3" x14ac:dyDescent="0.15">
      <c r="A2723" t="s">
        <v>867</v>
      </c>
      <c r="B2723">
        <v>5.6569000000000003</v>
      </c>
      <c r="C2723">
        <v>6.4569099999999999E-4</v>
      </c>
    </row>
    <row r="2724" spans="1:3" x14ac:dyDescent="0.15">
      <c r="A2724" t="s">
        <v>867</v>
      </c>
      <c r="B2724">
        <v>8</v>
      </c>
      <c r="C2724">
        <v>5.6818199999999998E-4</v>
      </c>
    </row>
    <row r="2725" spans="1:3" x14ac:dyDescent="0.15">
      <c r="A2725" t="s">
        <v>867</v>
      </c>
      <c r="B2725">
        <v>11.313700000000001</v>
      </c>
      <c r="C2725">
        <v>5.15995E-4</v>
      </c>
    </row>
    <row r="2726" spans="1:3" x14ac:dyDescent="0.15">
      <c r="A2726" t="s">
        <v>867</v>
      </c>
      <c r="B2726">
        <v>16</v>
      </c>
      <c r="C2726">
        <v>4.7251999999999998E-4</v>
      </c>
    </row>
    <row r="2727" spans="1:3" x14ac:dyDescent="0.15">
      <c r="A2727" t="s">
        <v>867</v>
      </c>
      <c r="B2727">
        <v>22.627400000000002</v>
      </c>
      <c r="C2727">
        <v>5.4854100000000005E-4</v>
      </c>
    </row>
    <row r="2728" spans="1:3" x14ac:dyDescent="0.15">
      <c r="A2728" t="s">
        <v>867</v>
      </c>
      <c r="B2728">
        <v>32</v>
      </c>
      <c r="C2728">
        <v>6.4431199999999997E-4</v>
      </c>
    </row>
    <row r="2729" spans="1:3" x14ac:dyDescent="0.15">
      <c r="A2729" t="s">
        <v>867</v>
      </c>
      <c r="B2729">
        <v>45.254800000000003</v>
      </c>
      <c r="C2729">
        <v>5.9854299999999999E-4</v>
      </c>
    </row>
    <row r="2730" spans="1:3" x14ac:dyDescent="0.15">
      <c r="A2730" t="s">
        <v>867</v>
      </c>
      <c r="B2730">
        <v>64</v>
      </c>
      <c r="C2730">
        <v>5.0254200000000003E-4</v>
      </c>
    </row>
    <row r="2731" spans="1:3" x14ac:dyDescent="0.15">
      <c r="A2731" t="s">
        <v>867</v>
      </c>
      <c r="B2731">
        <v>90.509699999999995</v>
      </c>
      <c r="C2731">
        <v>4.7153899999999999E-4</v>
      </c>
    </row>
    <row r="2732" spans="1:3" x14ac:dyDescent="0.15">
      <c r="A2732" t="s">
        <v>867</v>
      </c>
      <c r="B2732">
        <v>128</v>
      </c>
      <c r="C2732">
        <v>3.7788299999999997E-4</v>
      </c>
    </row>
    <row r="2733" spans="1:3" x14ac:dyDescent="0.15">
      <c r="A2733" t="s">
        <v>867</v>
      </c>
      <c r="B2733">
        <v>181.01929999999999</v>
      </c>
      <c r="C2733">
        <v>1.8284200000000001E-4</v>
      </c>
    </row>
    <row r="2734" spans="1:3" x14ac:dyDescent="0.15">
      <c r="A2734" t="s">
        <v>867</v>
      </c>
      <c r="B2734">
        <v>256</v>
      </c>
      <c r="C2734">
        <v>2.7962000000000001E-5</v>
      </c>
    </row>
    <row r="2735" spans="1:3" x14ac:dyDescent="0.15">
      <c r="A2735" t="s">
        <v>867</v>
      </c>
      <c r="B2735">
        <v>362.03870000000001</v>
      </c>
      <c r="C2735">
        <v>5.2099999999999997E-7</v>
      </c>
    </row>
    <row r="2736" spans="1:3" x14ac:dyDescent="0.15">
      <c r="A2736" t="s">
        <v>867</v>
      </c>
      <c r="B2736">
        <v>512</v>
      </c>
      <c r="C2736">
        <v>0</v>
      </c>
    </row>
    <row r="2737" spans="1:3" x14ac:dyDescent="0.15">
      <c r="A2737" t="s">
        <v>867</v>
      </c>
      <c r="B2737">
        <v>724.07730000000004</v>
      </c>
      <c r="C2737">
        <v>0</v>
      </c>
    </row>
    <row r="2738" spans="1:3" x14ac:dyDescent="0.15">
      <c r="A2738" t="s">
        <v>868</v>
      </c>
      <c r="B2738">
        <v>2</v>
      </c>
      <c r="C2738">
        <v>8.7150300000000003E-4</v>
      </c>
    </row>
    <row r="2739" spans="1:3" x14ac:dyDescent="0.15">
      <c r="A2739" t="s">
        <v>868</v>
      </c>
      <c r="B2739">
        <v>2.8283999999999998</v>
      </c>
      <c r="C2739">
        <v>1.166341E-3</v>
      </c>
    </row>
    <row r="2740" spans="1:3" x14ac:dyDescent="0.15">
      <c r="A2740" t="s">
        <v>868</v>
      </c>
      <c r="B2740">
        <v>4</v>
      </c>
      <c r="C2740">
        <v>1.3954589999999999E-3</v>
      </c>
    </row>
    <row r="2741" spans="1:3" x14ac:dyDescent="0.15">
      <c r="A2741" t="s">
        <v>868</v>
      </c>
      <c r="B2741">
        <v>5.6569000000000003</v>
      </c>
      <c r="C2741">
        <v>1.395168E-3</v>
      </c>
    </row>
    <row r="2742" spans="1:3" x14ac:dyDescent="0.15">
      <c r="A2742" t="s">
        <v>868</v>
      </c>
      <c r="B2742">
        <v>8</v>
      </c>
      <c r="C2742">
        <v>1.169876E-3</v>
      </c>
    </row>
    <row r="2743" spans="1:3" x14ac:dyDescent="0.15">
      <c r="A2743" t="s">
        <v>868</v>
      </c>
      <c r="B2743">
        <v>11.313700000000001</v>
      </c>
      <c r="C2743">
        <v>9.3424399999999998E-4</v>
      </c>
    </row>
    <row r="2744" spans="1:3" x14ac:dyDescent="0.15">
      <c r="A2744" t="s">
        <v>868</v>
      </c>
      <c r="B2744">
        <v>16</v>
      </c>
      <c r="C2744">
        <v>7.6956599999999996E-4</v>
      </c>
    </row>
    <row r="2745" spans="1:3" x14ac:dyDescent="0.15">
      <c r="A2745" t="s">
        <v>868</v>
      </c>
      <c r="B2745">
        <v>22.627400000000002</v>
      </c>
      <c r="C2745">
        <v>6.2273700000000005E-4</v>
      </c>
    </row>
    <row r="2746" spans="1:3" x14ac:dyDescent="0.15">
      <c r="A2746" t="s">
        <v>868</v>
      </c>
      <c r="B2746">
        <v>32</v>
      </c>
      <c r="C2746">
        <v>7.1757600000000004E-4</v>
      </c>
    </row>
    <row r="2747" spans="1:3" x14ac:dyDescent="0.15">
      <c r="A2747" t="s">
        <v>868</v>
      </c>
      <c r="B2747">
        <v>45.254800000000003</v>
      </c>
      <c r="C2747">
        <v>9.4906500000000002E-4</v>
      </c>
    </row>
    <row r="2748" spans="1:3" x14ac:dyDescent="0.15">
      <c r="A2748" t="s">
        <v>868</v>
      </c>
      <c r="B2748">
        <v>64</v>
      </c>
      <c r="C2748">
        <v>1.020003E-3</v>
      </c>
    </row>
    <row r="2749" spans="1:3" x14ac:dyDescent="0.15">
      <c r="A2749" t="s">
        <v>868</v>
      </c>
      <c r="B2749">
        <v>90.509699999999995</v>
      </c>
      <c r="C2749">
        <v>6.9084400000000003E-4</v>
      </c>
    </row>
    <row r="2750" spans="1:3" x14ac:dyDescent="0.15">
      <c r="A2750" t="s">
        <v>868</v>
      </c>
      <c r="B2750">
        <v>128</v>
      </c>
      <c r="C2750">
        <v>4.41197E-4</v>
      </c>
    </row>
    <row r="2751" spans="1:3" x14ac:dyDescent="0.15">
      <c r="A2751" t="s">
        <v>868</v>
      </c>
      <c r="B2751">
        <v>181.01929999999999</v>
      </c>
      <c r="C2751">
        <v>2.2009699999999999E-4</v>
      </c>
    </row>
    <row r="2752" spans="1:3" x14ac:dyDescent="0.15">
      <c r="A2752" t="s">
        <v>868</v>
      </c>
      <c r="B2752">
        <v>256</v>
      </c>
      <c r="C2752">
        <v>3.4128999999999998E-5</v>
      </c>
    </row>
    <row r="2753" spans="1:3" x14ac:dyDescent="0.15">
      <c r="A2753" t="s">
        <v>868</v>
      </c>
      <c r="B2753">
        <v>362.03870000000001</v>
      </c>
      <c r="C2753">
        <v>6.3799999999999997E-7</v>
      </c>
    </row>
    <row r="2754" spans="1:3" x14ac:dyDescent="0.15">
      <c r="A2754" t="s">
        <v>868</v>
      </c>
      <c r="B2754">
        <v>512</v>
      </c>
      <c r="C2754">
        <v>0</v>
      </c>
    </row>
    <row r="2755" spans="1:3" x14ac:dyDescent="0.15">
      <c r="A2755" t="s">
        <v>868</v>
      </c>
      <c r="B2755">
        <v>724.07730000000004</v>
      </c>
      <c r="C2755">
        <v>0</v>
      </c>
    </row>
    <row r="2756" spans="1:3" x14ac:dyDescent="0.15">
      <c r="A2756" t="s">
        <v>869</v>
      </c>
      <c r="B2756">
        <v>2</v>
      </c>
      <c r="C2756">
        <v>1.156771E-3</v>
      </c>
    </row>
    <row r="2757" spans="1:3" x14ac:dyDescent="0.15">
      <c r="A2757" t="s">
        <v>869</v>
      </c>
      <c r="B2757">
        <v>2.8283999999999998</v>
      </c>
      <c r="C2757">
        <v>1.2206879999999999E-3</v>
      </c>
    </row>
    <row r="2758" spans="1:3" x14ac:dyDescent="0.15">
      <c r="A2758" t="s">
        <v>869</v>
      </c>
      <c r="B2758">
        <v>4</v>
      </c>
      <c r="C2758">
        <v>1.3089919999999999E-3</v>
      </c>
    </row>
    <row r="2759" spans="1:3" x14ac:dyDescent="0.15">
      <c r="A2759" t="s">
        <v>869</v>
      </c>
      <c r="B2759">
        <v>5.6569000000000003</v>
      </c>
      <c r="C2759">
        <v>1.292889E-3</v>
      </c>
    </row>
    <row r="2760" spans="1:3" x14ac:dyDescent="0.15">
      <c r="A2760" t="s">
        <v>869</v>
      </c>
      <c r="B2760">
        <v>8</v>
      </c>
      <c r="C2760">
        <v>1.174921E-3</v>
      </c>
    </row>
    <row r="2761" spans="1:3" x14ac:dyDescent="0.15">
      <c r="A2761" t="s">
        <v>869</v>
      </c>
      <c r="B2761">
        <v>11.313700000000001</v>
      </c>
      <c r="C2761">
        <v>1.0781569999999999E-3</v>
      </c>
    </row>
    <row r="2762" spans="1:3" x14ac:dyDescent="0.15">
      <c r="A2762" t="s">
        <v>869</v>
      </c>
      <c r="B2762">
        <v>16</v>
      </c>
      <c r="C2762">
        <v>1.0456350000000001E-3</v>
      </c>
    </row>
    <row r="2763" spans="1:3" x14ac:dyDescent="0.15">
      <c r="A2763" t="s">
        <v>869</v>
      </c>
      <c r="B2763">
        <v>22.627400000000002</v>
      </c>
      <c r="C2763">
        <v>9.3669800000000002E-4</v>
      </c>
    </row>
    <row r="2764" spans="1:3" x14ac:dyDescent="0.15">
      <c r="A2764" t="s">
        <v>869</v>
      </c>
      <c r="B2764">
        <v>32</v>
      </c>
      <c r="C2764">
        <v>7.4385399999999996E-4</v>
      </c>
    </row>
    <row r="2765" spans="1:3" x14ac:dyDescent="0.15">
      <c r="A2765" t="s">
        <v>869</v>
      </c>
      <c r="B2765">
        <v>45.254800000000003</v>
      </c>
      <c r="C2765">
        <v>6.2656300000000001E-4</v>
      </c>
    </row>
    <row r="2766" spans="1:3" x14ac:dyDescent="0.15">
      <c r="A2766" t="s">
        <v>869</v>
      </c>
      <c r="B2766">
        <v>64</v>
      </c>
      <c r="C2766">
        <v>6.0245199999999996E-4</v>
      </c>
    </row>
    <row r="2767" spans="1:3" x14ac:dyDescent="0.15">
      <c r="A2767" t="s">
        <v>869</v>
      </c>
      <c r="B2767">
        <v>90.509699999999995</v>
      </c>
      <c r="C2767">
        <v>3.56924E-4</v>
      </c>
    </row>
    <row r="2768" spans="1:3" x14ac:dyDescent="0.15">
      <c r="A2768" t="s">
        <v>869</v>
      </c>
      <c r="B2768">
        <v>128</v>
      </c>
      <c r="C2768">
        <v>1.1800599999999999E-4</v>
      </c>
    </row>
    <row r="2769" spans="1:3" x14ac:dyDescent="0.15">
      <c r="A2769" t="s">
        <v>869</v>
      </c>
      <c r="B2769">
        <v>181.01929999999999</v>
      </c>
      <c r="C2769">
        <v>4.5300999999999999E-5</v>
      </c>
    </row>
    <row r="2770" spans="1:3" x14ac:dyDescent="0.15">
      <c r="A2770" t="s">
        <v>869</v>
      </c>
      <c r="B2770">
        <v>256</v>
      </c>
      <c r="C2770">
        <v>6.8719999999999996E-6</v>
      </c>
    </row>
    <row r="2771" spans="1:3" x14ac:dyDescent="0.15">
      <c r="A2771" t="s">
        <v>869</v>
      </c>
      <c r="B2771">
        <v>362.03870000000001</v>
      </c>
      <c r="C2771">
        <v>1.2800000000000001E-7</v>
      </c>
    </row>
    <row r="2772" spans="1:3" x14ac:dyDescent="0.15">
      <c r="A2772" t="s">
        <v>869</v>
      </c>
      <c r="B2772">
        <v>512</v>
      </c>
      <c r="C2772">
        <v>0</v>
      </c>
    </row>
    <row r="2773" spans="1:3" x14ac:dyDescent="0.15">
      <c r="A2773" t="s">
        <v>869</v>
      </c>
      <c r="B2773">
        <v>724.07730000000004</v>
      </c>
      <c r="C2773">
        <v>0</v>
      </c>
    </row>
    <row r="2774" spans="1:3" x14ac:dyDescent="0.15">
      <c r="A2774" t="s">
        <v>870</v>
      </c>
      <c r="B2774">
        <v>2</v>
      </c>
      <c r="C2774">
        <v>2.0233650000000001E-3</v>
      </c>
    </row>
    <row r="2775" spans="1:3" x14ac:dyDescent="0.15">
      <c r="A2775" t="s">
        <v>870</v>
      </c>
      <c r="B2775">
        <v>2.8283999999999998</v>
      </c>
      <c r="C2775">
        <v>2.0596220000000001E-3</v>
      </c>
    </row>
    <row r="2776" spans="1:3" x14ac:dyDescent="0.15">
      <c r="A2776" t="s">
        <v>870</v>
      </c>
      <c r="B2776">
        <v>4</v>
      </c>
      <c r="C2776">
        <v>2.0710820000000001E-3</v>
      </c>
    </row>
    <row r="2777" spans="1:3" x14ac:dyDescent="0.15">
      <c r="A2777" t="s">
        <v>870</v>
      </c>
      <c r="B2777">
        <v>5.6569000000000003</v>
      </c>
      <c r="C2777">
        <v>1.9615539999999999E-3</v>
      </c>
    </row>
    <row r="2778" spans="1:3" x14ac:dyDescent="0.15">
      <c r="A2778" t="s">
        <v>870</v>
      </c>
      <c r="B2778">
        <v>8</v>
      </c>
      <c r="C2778">
        <v>1.6496429999999999E-3</v>
      </c>
    </row>
    <row r="2779" spans="1:3" x14ac:dyDescent="0.15">
      <c r="A2779" t="s">
        <v>870</v>
      </c>
      <c r="B2779">
        <v>11.313700000000001</v>
      </c>
      <c r="C2779">
        <v>1.2523269999999999E-3</v>
      </c>
    </row>
    <row r="2780" spans="1:3" x14ac:dyDescent="0.15">
      <c r="A2780" t="s">
        <v>870</v>
      </c>
      <c r="B2780">
        <v>16</v>
      </c>
      <c r="C2780">
        <v>1.006992E-3</v>
      </c>
    </row>
    <row r="2781" spans="1:3" x14ac:dyDescent="0.15">
      <c r="A2781" t="s">
        <v>870</v>
      </c>
      <c r="B2781">
        <v>22.627400000000002</v>
      </c>
      <c r="C2781">
        <v>7.9713400000000002E-4</v>
      </c>
    </row>
    <row r="2782" spans="1:3" x14ac:dyDescent="0.15">
      <c r="A2782" t="s">
        <v>870</v>
      </c>
      <c r="B2782">
        <v>32</v>
      </c>
      <c r="C2782">
        <v>7.43492E-4</v>
      </c>
    </row>
    <row r="2783" spans="1:3" x14ac:dyDescent="0.15">
      <c r="A2783" t="s">
        <v>870</v>
      </c>
      <c r="B2783">
        <v>45.254800000000003</v>
      </c>
      <c r="C2783">
        <v>9.6032300000000001E-4</v>
      </c>
    </row>
    <row r="2784" spans="1:3" x14ac:dyDescent="0.15">
      <c r="A2784" t="s">
        <v>870</v>
      </c>
      <c r="B2784">
        <v>64</v>
      </c>
      <c r="C2784">
        <v>1.0609650000000001E-3</v>
      </c>
    </row>
    <row r="2785" spans="1:3" x14ac:dyDescent="0.15">
      <c r="A2785" t="s">
        <v>870</v>
      </c>
      <c r="B2785">
        <v>90.509699999999995</v>
      </c>
      <c r="C2785">
        <v>6.5200999999999996E-4</v>
      </c>
    </row>
    <row r="2786" spans="1:3" x14ac:dyDescent="0.15">
      <c r="A2786" t="s">
        <v>870</v>
      </c>
      <c r="B2786">
        <v>128</v>
      </c>
      <c r="C2786">
        <v>2.5688399999999998E-4</v>
      </c>
    </row>
    <row r="2787" spans="1:3" x14ac:dyDescent="0.15">
      <c r="A2787" t="s">
        <v>870</v>
      </c>
      <c r="B2787">
        <v>181.01929999999999</v>
      </c>
      <c r="C2787">
        <v>1.09224E-4</v>
      </c>
    </row>
    <row r="2788" spans="1:3" x14ac:dyDescent="0.15">
      <c r="A2788" t="s">
        <v>870</v>
      </c>
      <c r="B2788">
        <v>256</v>
      </c>
      <c r="C2788">
        <v>1.6932999999999999E-5</v>
      </c>
    </row>
    <row r="2789" spans="1:3" x14ac:dyDescent="0.15">
      <c r="A2789" t="s">
        <v>870</v>
      </c>
      <c r="B2789">
        <v>362.03870000000001</v>
      </c>
      <c r="C2789">
        <v>3.1699999999999999E-7</v>
      </c>
    </row>
    <row r="2790" spans="1:3" x14ac:dyDescent="0.15">
      <c r="A2790" t="s">
        <v>870</v>
      </c>
      <c r="B2790">
        <v>512</v>
      </c>
      <c r="C2790">
        <v>0</v>
      </c>
    </row>
    <row r="2791" spans="1:3" x14ac:dyDescent="0.15">
      <c r="A2791" t="s">
        <v>870</v>
      </c>
      <c r="B2791">
        <v>724.07730000000004</v>
      </c>
      <c r="C2791">
        <v>0</v>
      </c>
    </row>
    <row r="2792" spans="1:3" x14ac:dyDescent="0.15">
      <c r="A2792" t="s">
        <v>871</v>
      </c>
      <c r="B2792">
        <v>2</v>
      </c>
      <c r="C2792">
        <v>4.7353599999999999E-4</v>
      </c>
    </row>
    <row r="2793" spans="1:3" x14ac:dyDescent="0.15">
      <c r="A2793" t="s">
        <v>871</v>
      </c>
      <c r="B2793">
        <v>2.8283999999999998</v>
      </c>
      <c r="C2793">
        <v>5.1782300000000005E-4</v>
      </c>
    </row>
    <row r="2794" spans="1:3" x14ac:dyDescent="0.15">
      <c r="A2794" t="s">
        <v>871</v>
      </c>
      <c r="B2794">
        <v>4</v>
      </c>
      <c r="C2794">
        <v>5.6761300000000002E-4</v>
      </c>
    </row>
    <row r="2795" spans="1:3" x14ac:dyDescent="0.15">
      <c r="A2795" t="s">
        <v>871</v>
      </c>
      <c r="B2795">
        <v>5.6569000000000003</v>
      </c>
      <c r="C2795">
        <v>6.2658600000000005E-4</v>
      </c>
    </row>
    <row r="2796" spans="1:3" x14ac:dyDescent="0.15">
      <c r="A2796" t="s">
        <v>871</v>
      </c>
      <c r="B2796">
        <v>8</v>
      </c>
      <c r="C2796">
        <v>6.5678600000000002E-4</v>
      </c>
    </row>
    <row r="2797" spans="1:3" x14ac:dyDescent="0.15">
      <c r="A2797" t="s">
        <v>871</v>
      </c>
      <c r="B2797">
        <v>11.313700000000001</v>
      </c>
      <c r="C2797">
        <v>6.3329800000000002E-4</v>
      </c>
    </row>
    <row r="2798" spans="1:3" x14ac:dyDescent="0.15">
      <c r="A2798" t="s">
        <v>871</v>
      </c>
      <c r="B2798">
        <v>16</v>
      </c>
      <c r="C2798">
        <v>5.5576099999999999E-4</v>
      </c>
    </row>
    <row r="2799" spans="1:3" x14ac:dyDescent="0.15">
      <c r="A2799" t="s">
        <v>871</v>
      </c>
      <c r="B2799">
        <v>22.627400000000002</v>
      </c>
      <c r="C2799">
        <v>4.4910399999999997E-4</v>
      </c>
    </row>
    <row r="2800" spans="1:3" x14ac:dyDescent="0.15">
      <c r="A2800" t="s">
        <v>871</v>
      </c>
      <c r="B2800">
        <v>32</v>
      </c>
      <c r="C2800">
        <v>3.4580499999999997E-4</v>
      </c>
    </row>
    <row r="2801" spans="1:3" x14ac:dyDescent="0.15">
      <c r="A2801" t="s">
        <v>871</v>
      </c>
      <c r="B2801">
        <v>45.254800000000003</v>
      </c>
      <c r="C2801">
        <v>2.5419E-4</v>
      </c>
    </row>
    <row r="2802" spans="1:3" x14ac:dyDescent="0.15">
      <c r="A2802" t="s">
        <v>871</v>
      </c>
      <c r="B2802">
        <v>64</v>
      </c>
      <c r="C2802">
        <v>2.3584100000000001E-4</v>
      </c>
    </row>
    <row r="2803" spans="1:3" x14ac:dyDescent="0.15">
      <c r="A2803" t="s">
        <v>871</v>
      </c>
      <c r="B2803">
        <v>90.509699999999995</v>
      </c>
      <c r="C2803">
        <v>2.9844399999999998E-4</v>
      </c>
    </row>
    <row r="2804" spans="1:3" x14ac:dyDescent="0.15">
      <c r="A2804" t="s">
        <v>871</v>
      </c>
      <c r="B2804">
        <v>128</v>
      </c>
      <c r="C2804">
        <v>2.89036E-4</v>
      </c>
    </row>
    <row r="2805" spans="1:3" x14ac:dyDescent="0.15">
      <c r="A2805" t="s">
        <v>871</v>
      </c>
      <c r="B2805">
        <v>181.01929999999999</v>
      </c>
      <c r="C2805">
        <v>1.4655399999999999E-4</v>
      </c>
    </row>
    <row r="2806" spans="1:3" x14ac:dyDescent="0.15">
      <c r="A2806" t="s">
        <v>871</v>
      </c>
      <c r="B2806">
        <v>256</v>
      </c>
      <c r="C2806">
        <v>2.2597999999999999E-5</v>
      </c>
    </row>
    <row r="2807" spans="1:3" x14ac:dyDescent="0.15">
      <c r="A2807" t="s">
        <v>871</v>
      </c>
      <c r="B2807">
        <v>362.03870000000001</v>
      </c>
      <c r="C2807">
        <v>4.2199999999999999E-7</v>
      </c>
    </row>
    <row r="2808" spans="1:3" x14ac:dyDescent="0.15">
      <c r="A2808" t="s">
        <v>871</v>
      </c>
      <c r="B2808">
        <v>512</v>
      </c>
      <c r="C2808">
        <v>0</v>
      </c>
    </row>
    <row r="2809" spans="1:3" x14ac:dyDescent="0.15">
      <c r="A2809" t="s">
        <v>871</v>
      </c>
      <c r="B2809">
        <v>724.07730000000004</v>
      </c>
      <c r="C2809">
        <v>0</v>
      </c>
    </row>
    <row r="2810" spans="1:3" x14ac:dyDescent="0.15">
      <c r="A2810" t="s">
        <v>872</v>
      </c>
      <c r="B2810">
        <v>2</v>
      </c>
      <c r="C2810">
        <v>1.7330539999999999E-3</v>
      </c>
    </row>
    <row r="2811" spans="1:3" x14ac:dyDescent="0.15">
      <c r="A2811" t="s">
        <v>872</v>
      </c>
      <c r="B2811">
        <v>2.8283999999999998</v>
      </c>
      <c r="C2811">
        <v>1.9481030000000001E-3</v>
      </c>
    </row>
    <row r="2812" spans="1:3" x14ac:dyDescent="0.15">
      <c r="A2812" t="s">
        <v>872</v>
      </c>
      <c r="B2812">
        <v>4</v>
      </c>
      <c r="C2812">
        <v>1.9319649999999999E-3</v>
      </c>
    </row>
    <row r="2813" spans="1:3" x14ac:dyDescent="0.15">
      <c r="A2813" t="s">
        <v>872</v>
      </c>
      <c r="B2813">
        <v>5.6569000000000003</v>
      </c>
      <c r="C2813">
        <v>1.58077E-3</v>
      </c>
    </row>
    <row r="2814" spans="1:3" x14ac:dyDescent="0.15">
      <c r="A2814" t="s">
        <v>872</v>
      </c>
      <c r="B2814">
        <v>8</v>
      </c>
      <c r="C2814">
        <v>8.7328099999999995E-4</v>
      </c>
    </row>
    <row r="2815" spans="1:3" x14ac:dyDescent="0.15">
      <c r="A2815" t="s">
        <v>872</v>
      </c>
      <c r="B2815">
        <v>11.313700000000001</v>
      </c>
      <c r="C2815">
        <v>5.9860299999999996E-4</v>
      </c>
    </row>
    <row r="2816" spans="1:3" x14ac:dyDescent="0.15">
      <c r="A2816" t="s">
        <v>872</v>
      </c>
      <c r="B2816">
        <v>16</v>
      </c>
      <c r="C2816">
        <v>6.5997799999999998E-4</v>
      </c>
    </row>
    <row r="2817" spans="1:3" x14ac:dyDescent="0.15">
      <c r="A2817" t="s">
        <v>872</v>
      </c>
      <c r="B2817">
        <v>22.627400000000002</v>
      </c>
      <c r="C2817">
        <v>7.2031999999999999E-4</v>
      </c>
    </row>
    <row r="2818" spans="1:3" x14ac:dyDescent="0.15">
      <c r="A2818" t="s">
        <v>872</v>
      </c>
      <c r="B2818">
        <v>32</v>
      </c>
      <c r="C2818">
        <v>7.4697499999999998E-4</v>
      </c>
    </row>
    <row r="2819" spans="1:3" x14ac:dyDescent="0.15">
      <c r="A2819" t="s">
        <v>872</v>
      </c>
      <c r="B2819">
        <v>45.254800000000003</v>
      </c>
      <c r="C2819">
        <v>8.4147599999999996E-4</v>
      </c>
    </row>
    <row r="2820" spans="1:3" x14ac:dyDescent="0.15">
      <c r="A2820" t="s">
        <v>872</v>
      </c>
      <c r="B2820">
        <v>64</v>
      </c>
      <c r="C2820">
        <v>1.013398E-3</v>
      </c>
    </row>
    <row r="2821" spans="1:3" x14ac:dyDescent="0.15">
      <c r="A2821" t="s">
        <v>872</v>
      </c>
      <c r="B2821">
        <v>90.509699999999995</v>
      </c>
      <c r="C2821">
        <v>1.2194739999999999E-3</v>
      </c>
    </row>
    <row r="2822" spans="1:3" x14ac:dyDescent="0.15">
      <c r="A2822" t="s">
        <v>872</v>
      </c>
      <c r="B2822">
        <v>128</v>
      </c>
      <c r="C2822">
        <v>1.2440070000000001E-3</v>
      </c>
    </row>
    <row r="2823" spans="1:3" x14ac:dyDescent="0.15">
      <c r="A2823" t="s">
        <v>872</v>
      </c>
      <c r="B2823">
        <v>181.01929999999999</v>
      </c>
      <c r="C2823">
        <v>6.3318000000000001E-4</v>
      </c>
    </row>
    <row r="2824" spans="1:3" x14ac:dyDescent="0.15">
      <c r="A2824" t="s">
        <v>872</v>
      </c>
      <c r="B2824">
        <v>256</v>
      </c>
      <c r="C2824">
        <v>9.7056E-5</v>
      </c>
    </row>
    <row r="2825" spans="1:3" x14ac:dyDescent="0.15">
      <c r="A2825" t="s">
        <v>872</v>
      </c>
      <c r="B2825">
        <v>362.03870000000001</v>
      </c>
      <c r="C2825">
        <v>1.81E-6</v>
      </c>
    </row>
    <row r="2826" spans="1:3" x14ac:dyDescent="0.15">
      <c r="A2826" t="s">
        <v>872</v>
      </c>
      <c r="B2826">
        <v>512</v>
      </c>
      <c r="C2826">
        <v>0</v>
      </c>
    </row>
    <row r="2827" spans="1:3" x14ac:dyDescent="0.15">
      <c r="A2827" t="s">
        <v>872</v>
      </c>
      <c r="B2827">
        <v>724.07730000000004</v>
      </c>
      <c r="C2827">
        <v>0</v>
      </c>
    </row>
    <row r="2828" spans="1:3" x14ac:dyDescent="0.15">
      <c r="A2828" t="s">
        <v>873</v>
      </c>
      <c r="B2828">
        <v>2</v>
      </c>
      <c r="C2828">
        <v>6.4269399999999997E-4</v>
      </c>
    </row>
    <row r="2829" spans="1:3" x14ac:dyDescent="0.15">
      <c r="A2829" t="s">
        <v>873</v>
      </c>
      <c r="B2829">
        <v>2.8283999999999998</v>
      </c>
      <c r="C2829">
        <v>7.4346600000000003E-4</v>
      </c>
    </row>
    <row r="2830" spans="1:3" x14ac:dyDescent="0.15">
      <c r="A2830" t="s">
        <v>873</v>
      </c>
      <c r="B2830">
        <v>4</v>
      </c>
      <c r="C2830">
        <v>8.4155000000000005E-4</v>
      </c>
    </row>
    <row r="2831" spans="1:3" x14ac:dyDescent="0.15">
      <c r="A2831" t="s">
        <v>873</v>
      </c>
      <c r="B2831">
        <v>5.6569000000000003</v>
      </c>
      <c r="C2831">
        <v>8.5772500000000005E-4</v>
      </c>
    </row>
    <row r="2832" spans="1:3" x14ac:dyDescent="0.15">
      <c r="A2832" t="s">
        <v>873</v>
      </c>
      <c r="B2832">
        <v>8</v>
      </c>
      <c r="C2832">
        <v>8.1794799999999998E-4</v>
      </c>
    </row>
    <row r="2833" spans="1:3" x14ac:dyDescent="0.15">
      <c r="A2833" t="s">
        <v>873</v>
      </c>
      <c r="B2833">
        <v>11.313700000000001</v>
      </c>
      <c r="C2833">
        <v>7.8041000000000004E-4</v>
      </c>
    </row>
    <row r="2834" spans="1:3" x14ac:dyDescent="0.15">
      <c r="A2834" t="s">
        <v>873</v>
      </c>
      <c r="B2834">
        <v>16</v>
      </c>
      <c r="C2834">
        <v>6.9883900000000004E-4</v>
      </c>
    </row>
    <row r="2835" spans="1:3" x14ac:dyDescent="0.15">
      <c r="A2835" t="s">
        <v>873</v>
      </c>
      <c r="B2835">
        <v>22.627400000000002</v>
      </c>
      <c r="C2835">
        <v>5.4155800000000004E-4</v>
      </c>
    </row>
    <row r="2836" spans="1:3" x14ac:dyDescent="0.15">
      <c r="A2836" t="s">
        <v>873</v>
      </c>
      <c r="B2836">
        <v>32</v>
      </c>
      <c r="C2836">
        <v>4.78653E-4</v>
      </c>
    </row>
    <row r="2837" spans="1:3" x14ac:dyDescent="0.15">
      <c r="A2837" t="s">
        <v>873</v>
      </c>
      <c r="B2837">
        <v>45.254800000000003</v>
      </c>
      <c r="C2837">
        <v>4.8344399999999997E-4</v>
      </c>
    </row>
    <row r="2838" spans="1:3" x14ac:dyDescent="0.15">
      <c r="A2838" t="s">
        <v>873</v>
      </c>
      <c r="B2838">
        <v>64</v>
      </c>
      <c r="C2838">
        <v>4.9138399999999998E-4</v>
      </c>
    </row>
    <row r="2839" spans="1:3" x14ac:dyDescent="0.15">
      <c r="A2839" t="s">
        <v>873</v>
      </c>
      <c r="B2839">
        <v>90.509699999999995</v>
      </c>
      <c r="C2839">
        <v>3.50689E-4</v>
      </c>
    </row>
    <row r="2840" spans="1:3" x14ac:dyDescent="0.15">
      <c r="A2840" t="s">
        <v>873</v>
      </c>
      <c r="B2840">
        <v>128</v>
      </c>
      <c r="C2840">
        <v>2.1027599999999999E-4</v>
      </c>
    </row>
    <row r="2841" spans="1:3" x14ac:dyDescent="0.15">
      <c r="A2841" t="s">
        <v>873</v>
      </c>
      <c r="B2841">
        <v>181.01929999999999</v>
      </c>
      <c r="C2841">
        <v>9.9221000000000004E-5</v>
      </c>
    </row>
    <row r="2842" spans="1:3" x14ac:dyDescent="0.15">
      <c r="A2842" t="s">
        <v>873</v>
      </c>
      <c r="B2842">
        <v>256</v>
      </c>
      <c r="C2842">
        <v>1.5214999999999999E-5</v>
      </c>
    </row>
    <row r="2843" spans="1:3" x14ac:dyDescent="0.15">
      <c r="A2843" t="s">
        <v>873</v>
      </c>
      <c r="B2843">
        <v>362.03870000000001</v>
      </c>
      <c r="C2843">
        <v>2.84E-7</v>
      </c>
    </row>
    <row r="2844" spans="1:3" x14ac:dyDescent="0.15">
      <c r="A2844" t="s">
        <v>873</v>
      </c>
      <c r="B2844">
        <v>512</v>
      </c>
      <c r="C2844">
        <v>0</v>
      </c>
    </row>
    <row r="2845" spans="1:3" x14ac:dyDescent="0.15">
      <c r="A2845" t="s">
        <v>873</v>
      </c>
      <c r="B2845">
        <v>724.07730000000004</v>
      </c>
      <c r="C2845">
        <v>0</v>
      </c>
    </row>
    <row r="2846" spans="1:3" x14ac:dyDescent="0.15">
      <c r="A2846" t="s">
        <v>874</v>
      </c>
      <c r="B2846">
        <v>2</v>
      </c>
      <c r="C2846">
        <v>1.0967119999999999E-3</v>
      </c>
    </row>
    <row r="2847" spans="1:3" x14ac:dyDescent="0.15">
      <c r="A2847" t="s">
        <v>874</v>
      </c>
      <c r="B2847">
        <v>2.8283999999999998</v>
      </c>
      <c r="C2847">
        <v>1.424264E-3</v>
      </c>
    </row>
    <row r="2848" spans="1:3" x14ac:dyDescent="0.15">
      <c r="A2848" t="s">
        <v>874</v>
      </c>
      <c r="B2848">
        <v>4</v>
      </c>
      <c r="C2848">
        <v>1.626703E-3</v>
      </c>
    </row>
    <row r="2849" spans="1:3" x14ac:dyDescent="0.15">
      <c r="A2849" t="s">
        <v>874</v>
      </c>
      <c r="B2849">
        <v>5.6569000000000003</v>
      </c>
      <c r="C2849">
        <v>1.6138820000000001E-3</v>
      </c>
    </row>
    <row r="2850" spans="1:3" x14ac:dyDescent="0.15">
      <c r="A2850" t="s">
        <v>874</v>
      </c>
      <c r="B2850">
        <v>8</v>
      </c>
      <c r="C2850">
        <v>1.4353910000000001E-3</v>
      </c>
    </row>
    <row r="2851" spans="1:3" x14ac:dyDescent="0.15">
      <c r="A2851" t="s">
        <v>874</v>
      </c>
      <c r="B2851">
        <v>11.313700000000001</v>
      </c>
      <c r="C2851">
        <v>1.1807219999999999E-3</v>
      </c>
    </row>
    <row r="2852" spans="1:3" x14ac:dyDescent="0.15">
      <c r="A2852" t="s">
        <v>874</v>
      </c>
      <c r="B2852">
        <v>16</v>
      </c>
      <c r="C2852">
        <v>8.7491299999999995E-4</v>
      </c>
    </row>
    <row r="2853" spans="1:3" x14ac:dyDescent="0.15">
      <c r="A2853" t="s">
        <v>874</v>
      </c>
      <c r="B2853">
        <v>22.627400000000002</v>
      </c>
      <c r="C2853">
        <v>5.7078200000000004E-4</v>
      </c>
    </row>
    <row r="2854" spans="1:3" x14ac:dyDescent="0.15">
      <c r="A2854" t="s">
        <v>874</v>
      </c>
      <c r="B2854">
        <v>32</v>
      </c>
      <c r="C2854">
        <v>4.03125E-4</v>
      </c>
    </row>
    <row r="2855" spans="1:3" x14ac:dyDescent="0.15">
      <c r="A2855" t="s">
        <v>874</v>
      </c>
      <c r="B2855">
        <v>45.254800000000003</v>
      </c>
      <c r="C2855">
        <v>3.3898899999999999E-4</v>
      </c>
    </row>
    <row r="2856" spans="1:3" x14ac:dyDescent="0.15">
      <c r="A2856" t="s">
        <v>874</v>
      </c>
      <c r="B2856">
        <v>64</v>
      </c>
      <c r="C2856">
        <v>3.0101500000000002E-4</v>
      </c>
    </row>
    <row r="2857" spans="1:3" x14ac:dyDescent="0.15">
      <c r="A2857" t="s">
        <v>874</v>
      </c>
      <c r="B2857">
        <v>90.509699999999995</v>
      </c>
      <c r="C2857">
        <v>3.1608599999999998E-4</v>
      </c>
    </row>
    <row r="2858" spans="1:3" x14ac:dyDescent="0.15">
      <c r="A2858" t="s">
        <v>874</v>
      </c>
      <c r="B2858">
        <v>128</v>
      </c>
      <c r="C2858">
        <v>3.0761699999999999E-4</v>
      </c>
    </row>
    <row r="2859" spans="1:3" x14ac:dyDescent="0.15">
      <c r="A2859" t="s">
        <v>874</v>
      </c>
      <c r="B2859">
        <v>181.01929999999999</v>
      </c>
      <c r="C2859">
        <v>1.5483000000000001E-4</v>
      </c>
    </row>
    <row r="2860" spans="1:3" x14ac:dyDescent="0.15">
      <c r="A2860" t="s">
        <v>874</v>
      </c>
      <c r="B2860">
        <v>256</v>
      </c>
      <c r="C2860">
        <v>2.368E-5</v>
      </c>
    </row>
    <row r="2861" spans="1:3" x14ac:dyDescent="0.15">
      <c r="A2861" t="s">
        <v>874</v>
      </c>
      <c r="B2861">
        <v>362.03870000000001</v>
      </c>
      <c r="C2861">
        <v>4.4099999999999999E-7</v>
      </c>
    </row>
    <row r="2862" spans="1:3" x14ac:dyDescent="0.15">
      <c r="A2862" t="s">
        <v>874</v>
      </c>
      <c r="B2862">
        <v>512</v>
      </c>
      <c r="C2862">
        <v>0</v>
      </c>
    </row>
    <row r="2863" spans="1:3" x14ac:dyDescent="0.15">
      <c r="A2863" t="s">
        <v>874</v>
      </c>
      <c r="B2863">
        <v>724.07730000000004</v>
      </c>
      <c r="C2863">
        <v>0</v>
      </c>
    </row>
    <row r="2864" spans="1:3" x14ac:dyDescent="0.15">
      <c r="A2864" t="s">
        <v>875</v>
      </c>
      <c r="B2864">
        <v>2</v>
      </c>
      <c r="C2864">
        <v>2.4441770000000001E-3</v>
      </c>
    </row>
    <row r="2865" spans="1:3" x14ac:dyDescent="0.15">
      <c r="A2865" t="s">
        <v>875</v>
      </c>
      <c r="B2865">
        <v>2.8283999999999998</v>
      </c>
      <c r="C2865">
        <v>2.6458710000000002E-3</v>
      </c>
    </row>
    <row r="2866" spans="1:3" x14ac:dyDescent="0.15">
      <c r="A2866" t="s">
        <v>875</v>
      </c>
      <c r="B2866">
        <v>4</v>
      </c>
      <c r="C2866">
        <v>2.5217859999999998E-3</v>
      </c>
    </row>
    <row r="2867" spans="1:3" x14ac:dyDescent="0.15">
      <c r="A2867" t="s">
        <v>875</v>
      </c>
      <c r="B2867">
        <v>5.6569000000000003</v>
      </c>
      <c r="C2867">
        <v>2.1393509999999998E-3</v>
      </c>
    </row>
    <row r="2868" spans="1:3" x14ac:dyDescent="0.15">
      <c r="A2868" t="s">
        <v>875</v>
      </c>
      <c r="B2868">
        <v>8</v>
      </c>
      <c r="C2868">
        <v>1.5669569999999999E-3</v>
      </c>
    </row>
    <row r="2869" spans="1:3" x14ac:dyDescent="0.15">
      <c r="A2869" t="s">
        <v>875</v>
      </c>
      <c r="B2869">
        <v>11.313700000000001</v>
      </c>
      <c r="C2869">
        <v>1.063149E-3</v>
      </c>
    </row>
    <row r="2870" spans="1:3" x14ac:dyDescent="0.15">
      <c r="A2870" t="s">
        <v>875</v>
      </c>
      <c r="B2870">
        <v>16</v>
      </c>
      <c r="C2870">
        <v>7.8961700000000005E-4</v>
      </c>
    </row>
    <row r="2871" spans="1:3" x14ac:dyDescent="0.15">
      <c r="A2871" t="s">
        <v>875</v>
      </c>
      <c r="B2871">
        <v>22.627400000000002</v>
      </c>
      <c r="C2871">
        <v>6.0098599999999997E-4</v>
      </c>
    </row>
    <row r="2872" spans="1:3" x14ac:dyDescent="0.15">
      <c r="A2872" t="s">
        <v>875</v>
      </c>
      <c r="B2872">
        <v>32</v>
      </c>
      <c r="C2872">
        <v>6.4536699999999999E-4</v>
      </c>
    </row>
    <row r="2873" spans="1:3" x14ac:dyDescent="0.15">
      <c r="A2873" t="s">
        <v>875</v>
      </c>
      <c r="B2873">
        <v>45.254800000000003</v>
      </c>
      <c r="C2873">
        <v>8.5018099999999998E-4</v>
      </c>
    </row>
    <row r="2874" spans="1:3" x14ac:dyDescent="0.15">
      <c r="A2874" t="s">
        <v>875</v>
      </c>
      <c r="B2874">
        <v>64</v>
      </c>
      <c r="C2874">
        <v>1.051808E-3</v>
      </c>
    </row>
    <row r="2875" spans="1:3" x14ac:dyDescent="0.15">
      <c r="A2875" t="s">
        <v>875</v>
      </c>
      <c r="B2875">
        <v>90.509699999999995</v>
      </c>
      <c r="C2875">
        <v>1.265927E-3</v>
      </c>
    </row>
    <row r="2876" spans="1:3" x14ac:dyDescent="0.15">
      <c r="A2876" t="s">
        <v>875</v>
      </c>
      <c r="B2876">
        <v>128</v>
      </c>
      <c r="C2876">
        <v>1.3149430000000001E-3</v>
      </c>
    </row>
    <row r="2877" spans="1:3" x14ac:dyDescent="0.15">
      <c r="A2877" t="s">
        <v>875</v>
      </c>
      <c r="B2877">
        <v>181.01929999999999</v>
      </c>
      <c r="C2877">
        <v>6.8199999999999999E-4</v>
      </c>
    </row>
    <row r="2878" spans="1:3" x14ac:dyDescent="0.15">
      <c r="A2878" t="s">
        <v>875</v>
      </c>
      <c r="B2878">
        <v>256</v>
      </c>
      <c r="C2878">
        <v>1.05383E-4</v>
      </c>
    </row>
    <row r="2879" spans="1:3" x14ac:dyDescent="0.15">
      <c r="A2879" t="s">
        <v>875</v>
      </c>
      <c r="B2879">
        <v>362.03870000000001</v>
      </c>
      <c r="C2879">
        <v>1.967E-6</v>
      </c>
    </row>
    <row r="2880" spans="1:3" x14ac:dyDescent="0.15">
      <c r="A2880" t="s">
        <v>875</v>
      </c>
      <c r="B2880">
        <v>512</v>
      </c>
      <c r="C2880">
        <v>2.0000000000000001E-9</v>
      </c>
    </row>
    <row r="2881" spans="1:3" x14ac:dyDescent="0.15">
      <c r="A2881" t="s">
        <v>875</v>
      </c>
      <c r="B2881">
        <v>724.07730000000004</v>
      </c>
      <c r="C2881">
        <v>0</v>
      </c>
    </row>
    <row r="2882" spans="1:3" x14ac:dyDescent="0.15">
      <c r="A2882" t="s">
        <v>876</v>
      </c>
      <c r="B2882">
        <v>2</v>
      </c>
      <c r="C2882">
        <v>1.5390880000000001E-3</v>
      </c>
    </row>
    <row r="2883" spans="1:3" x14ac:dyDescent="0.15">
      <c r="A2883" t="s">
        <v>876</v>
      </c>
      <c r="B2883">
        <v>2.8283999999999998</v>
      </c>
      <c r="C2883">
        <v>1.7325909999999999E-3</v>
      </c>
    </row>
    <row r="2884" spans="1:3" x14ac:dyDescent="0.15">
      <c r="A2884" t="s">
        <v>876</v>
      </c>
      <c r="B2884">
        <v>4</v>
      </c>
      <c r="C2884">
        <v>1.7311850000000001E-3</v>
      </c>
    </row>
    <row r="2885" spans="1:3" x14ac:dyDescent="0.15">
      <c r="A2885" t="s">
        <v>876</v>
      </c>
      <c r="B2885">
        <v>5.6569000000000003</v>
      </c>
      <c r="C2885">
        <v>1.520097E-3</v>
      </c>
    </row>
    <row r="2886" spans="1:3" x14ac:dyDescent="0.15">
      <c r="A2886" t="s">
        <v>876</v>
      </c>
      <c r="B2886">
        <v>8</v>
      </c>
      <c r="C2886">
        <v>1.168313E-3</v>
      </c>
    </row>
    <row r="2887" spans="1:3" x14ac:dyDescent="0.15">
      <c r="A2887" t="s">
        <v>876</v>
      </c>
      <c r="B2887">
        <v>11.313700000000001</v>
      </c>
      <c r="C2887">
        <v>1.033174E-3</v>
      </c>
    </row>
    <row r="2888" spans="1:3" x14ac:dyDescent="0.15">
      <c r="A2888" t="s">
        <v>876</v>
      </c>
      <c r="B2888">
        <v>16</v>
      </c>
      <c r="C2888">
        <v>1.012588E-3</v>
      </c>
    </row>
    <row r="2889" spans="1:3" x14ac:dyDescent="0.15">
      <c r="A2889" t="s">
        <v>876</v>
      </c>
      <c r="B2889">
        <v>22.627400000000002</v>
      </c>
      <c r="C2889">
        <v>1.1385729999999999E-3</v>
      </c>
    </row>
    <row r="2890" spans="1:3" x14ac:dyDescent="0.15">
      <c r="A2890" t="s">
        <v>876</v>
      </c>
      <c r="B2890">
        <v>32</v>
      </c>
      <c r="C2890">
        <v>1.1244359999999999E-3</v>
      </c>
    </row>
    <row r="2891" spans="1:3" x14ac:dyDescent="0.15">
      <c r="A2891" t="s">
        <v>876</v>
      </c>
      <c r="B2891">
        <v>45.254800000000003</v>
      </c>
      <c r="C2891">
        <v>8.6510500000000002E-4</v>
      </c>
    </row>
    <row r="2892" spans="1:3" x14ac:dyDescent="0.15">
      <c r="A2892" t="s">
        <v>876</v>
      </c>
      <c r="B2892">
        <v>64</v>
      </c>
      <c r="C2892">
        <v>8.6287799999999997E-4</v>
      </c>
    </row>
    <row r="2893" spans="1:3" x14ac:dyDescent="0.15">
      <c r="A2893" t="s">
        <v>876</v>
      </c>
      <c r="B2893">
        <v>90.509699999999995</v>
      </c>
      <c r="C2893">
        <v>1.262609E-3</v>
      </c>
    </row>
    <row r="2894" spans="1:3" x14ac:dyDescent="0.15">
      <c r="A2894" t="s">
        <v>876</v>
      </c>
      <c r="B2894">
        <v>128</v>
      </c>
      <c r="C2894">
        <v>1.3882149999999999E-3</v>
      </c>
    </row>
    <row r="2895" spans="1:3" x14ac:dyDescent="0.15">
      <c r="A2895" t="s">
        <v>876</v>
      </c>
      <c r="B2895">
        <v>181.01929999999999</v>
      </c>
      <c r="C2895">
        <v>7.1133600000000002E-4</v>
      </c>
    </row>
    <row r="2896" spans="1:3" x14ac:dyDescent="0.15">
      <c r="A2896" t="s">
        <v>876</v>
      </c>
      <c r="B2896">
        <v>256</v>
      </c>
      <c r="C2896">
        <v>1.0904900000000001E-4</v>
      </c>
    </row>
    <row r="2897" spans="1:3" x14ac:dyDescent="0.15">
      <c r="A2897" t="s">
        <v>876</v>
      </c>
      <c r="B2897">
        <v>362.03870000000001</v>
      </c>
      <c r="C2897">
        <v>2.0329999999999998E-6</v>
      </c>
    </row>
    <row r="2898" spans="1:3" x14ac:dyDescent="0.15">
      <c r="A2898" t="s">
        <v>876</v>
      </c>
      <c r="B2898">
        <v>512</v>
      </c>
      <c r="C2898">
        <v>2.0000000000000001E-9</v>
      </c>
    </row>
    <row r="2899" spans="1:3" x14ac:dyDescent="0.15">
      <c r="A2899" t="s">
        <v>876</v>
      </c>
      <c r="B2899">
        <v>724.07730000000004</v>
      </c>
      <c r="C2899">
        <v>0</v>
      </c>
    </row>
    <row r="2900" spans="1:3" x14ac:dyDescent="0.15">
      <c r="A2900" t="s">
        <v>877</v>
      </c>
      <c r="B2900">
        <v>2</v>
      </c>
      <c r="C2900">
        <v>6.9676199999999997E-4</v>
      </c>
    </row>
    <row r="2901" spans="1:3" x14ac:dyDescent="0.15">
      <c r="A2901" t="s">
        <v>877</v>
      </c>
      <c r="B2901">
        <v>2.8283999999999998</v>
      </c>
      <c r="C2901">
        <v>8.9429199999999998E-4</v>
      </c>
    </row>
    <row r="2902" spans="1:3" x14ac:dyDescent="0.15">
      <c r="A2902" t="s">
        <v>877</v>
      </c>
      <c r="B2902">
        <v>4</v>
      </c>
      <c r="C2902">
        <v>1.144929E-3</v>
      </c>
    </row>
    <row r="2903" spans="1:3" x14ac:dyDescent="0.15">
      <c r="A2903" t="s">
        <v>877</v>
      </c>
      <c r="B2903">
        <v>5.6569000000000003</v>
      </c>
      <c r="C2903">
        <v>1.2500600000000001E-3</v>
      </c>
    </row>
    <row r="2904" spans="1:3" x14ac:dyDescent="0.15">
      <c r="A2904" t="s">
        <v>877</v>
      </c>
      <c r="B2904">
        <v>8</v>
      </c>
      <c r="C2904">
        <v>1.08708E-3</v>
      </c>
    </row>
    <row r="2905" spans="1:3" x14ac:dyDescent="0.15">
      <c r="A2905" t="s">
        <v>877</v>
      </c>
      <c r="B2905">
        <v>11.313700000000001</v>
      </c>
      <c r="C2905">
        <v>8.3860200000000003E-4</v>
      </c>
    </row>
    <row r="2906" spans="1:3" x14ac:dyDescent="0.15">
      <c r="A2906" t="s">
        <v>877</v>
      </c>
      <c r="B2906">
        <v>16</v>
      </c>
      <c r="C2906">
        <v>6.8681299999999999E-4</v>
      </c>
    </row>
    <row r="2907" spans="1:3" x14ac:dyDescent="0.15">
      <c r="A2907" t="s">
        <v>877</v>
      </c>
      <c r="B2907">
        <v>22.627400000000002</v>
      </c>
      <c r="C2907">
        <v>5.1452900000000001E-4</v>
      </c>
    </row>
    <row r="2908" spans="1:3" x14ac:dyDescent="0.15">
      <c r="A2908" t="s">
        <v>877</v>
      </c>
      <c r="B2908">
        <v>32</v>
      </c>
      <c r="C2908">
        <v>3.5726900000000001E-4</v>
      </c>
    </row>
    <row r="2909" spans="1:3" x14ac:dyDescent="0.15">
      <c r="A2909" t="s">
        <v>877</v>
      </c>
      <c r="B2909">
        <v>45.254800000000003</v>
      </c>
      <c r="C2909">
        <v>3.5085699999999999E-4</v>
      </c>
    </row>
    <row r="2910" spans="1:3" x14ac:dyDescent="0.15">
      <c r="A2910" t="s">
        <v>877</v>
      </c>
      <c r="B2910">
        <v>64</v>
      </c>
      <c r="C2910">
        <v>4.9693800000000005E-4</v>
      </c>
    </row>
    <row r="2911" spans="1:3" x14ac:dyDescent="0.15">
      <c r="A2911" t="s">
        <v>877</v>
      </c>
      <c r="B2911">
        <v>90.509699999999995</v>
      </c>
      <c r="C2911">
        <v>7.1692700000000002E-4</v>
      </c>
    </row>
    <row r="2912" spans="1:3" x14ac:dyDescent="0.15">
      <c r="A2912" t="s">
        <v>877</v>
      </c>
      <c r="B2912">
        <v>128</v>
      </c>
      <c r="C2912">
        <v>7.4106499999999995E-4</v>
      </c>
    </row>
    <row r="2913" spans="1:3" x14ac:dyDescent="0.15">
      <c r="A2913" t="s">
        <v>877</v>
      </c>
      <c r="B2913">
        <v>181.01929999999999</v>
      </c>
      <c r="C2913">
        <v>3.7680199999999997E-4</v>
      </c>
    </row>
    <row r="2914" spans="1:3" x14ac:dyDescent="0.15">
      <c r="A2914" t="s">
        <v>877</v>
      </c>
      <c r="B2914">
        <v>256</v>
      </c>
      <c r="C2914">
        <v>5.7864E-5</v>
      </c>
    </row>
    <row r="2915" spans="1:3" x14ac:dyDescent="0.15">
      <c r="A2915" t="s">
        <v>877</v>
      </c>
      <c r="B2915">
        <v>362.03870000000001</v>
      </c>
      <c r="C2915">
        <v>1.079E-6</v>
      </c>
    </row>
    <row r="2916" spans="1:3" x14ac:dyDescent="0.15">
      <c r="A2916" t="s">
        <v>877</v>
      </c>
      <c r="B2916">
        <v>512</v>
      </c>
      <c r="C2916">
        <v>0</v>
      </c>
    </row>
    <row r="2917" spans="1:3" x14ac:dyDescent="0.15">
      <c r="A2917" t="s">
        <v>877</v>
      </c>
      <c r="B2917">
        <v>724.07730000000004</v>
      </c>
      <c r="C2917">
        <v>0</v>
      </c>
    </row>
    <row r="2918" spans="1:3" x14ac:dyDescent="0.15">
      <c r="A2918" t="s">
        <v>878</v>
      </c>
      <c r="B2918">
        <v>2</v>
      </c>
      <c r="C2918">
        <v>1.124168E-3</v>
      </c>
    </row>
    <row r="2919" spans="1:3" x14ac:dyDescent="0.15">
      <c r="A2919" t="s">
        <v>878</v>
      </c>
      <c r="B2919">
        <v>2.8283999999999998</v>
      </c>
      <c r="C2919">
        <v>1.256847E-3</v>
      </c>
    </row>
    <row r="2920" spans="1:3" x14ac:dyDescent="0.15">
      <c r="A2920" t="s">
        <v>878</v>
      </c>
      <c r="B2920">
        <v>4</v>
      </c>
      <c r="C2920">
        <v>1.3411849999999999E-3</v>
      </c>
    </row>
    <row r="2921" spans="1:3" x14ac:dyDescent="0.15">
      <c r="A2921" t="s">
        <v>878</v>
      </c>
      <c r="B2921">
        <v>5.6569000000000003</v>
      </c>
      <c r="C2921">
        <v>1.4592229999999999E-3</v>
      </c>
    </row>
    <row r="2922" spans="1:3" x14ac:dyDescent="0.15">
      <c r="A2922" t="s">
        <v>878</v>
      </c>
      <c r="B2922">
        <v>8</v>
      </c>
      <c r="C2922">
        <v>1.2366639999999999E-3</v>
      </c>
    </row>
    <row r="2923" spans="1:3" x14ac:dyDescent="0.15">
      <c r="A2923" t="s">
        <v>878</v>
      </c>
      <c r="B2923">
        <v>11.313700000000001</v>
      </c>
      <c r="C2923">
        <v>8.4750500000000002E-4</v>
      </c>
    </row>
    <row r="2924" spans="1:3" x14ac:dyDescent="0.15">
      <c r="A2924" t="s">
        <v>878</v>
      </c>
      <c r="B2924">
        <v>16</v>
      </c>
      <c r="C2924">
        <v>9.86268E-4</v>
      </c>
    </row>
    <row r="2925" spans="1:3" x14ac:dyDescent="0.15">
      <c r="A2925" t="s">
        <v>878</v>
      </c>
      <c r="B2925">
        <v>22.627400000000002</v>
      </c>
      <c r="C2925">
        <v>1.449976E-3</v>
      </c>
    </row>
    <row r="2926" spans="1:3" x14ac:dyDescent="0.15">
      <c r="A2926" t="s">
        <v>878</v>
      </c>
      <c r="B2926">
        <v>32</v>
      </c>
      <c r="C2926">
        <v>1.9037380000000001E-3</v>
      </c>
    </row>
    <row r="2927" spans="1:3" x14ac:dyDescent="0.15">
      <c r="A2927" t="s">
        <v>878</v>
      </c>
      <c r="B2927">
        <v>45.254800000000003</v>
      </c>
      <c r="C2927">
        <v>1.78385E-3</v>
      </c>
    </row>
    <row r="2928" spans="1:3" x14ac:dyDescent="0.15">
      <c r="A2928" t="s">
        <v>878</v>
      </c>
      <c r="B2928">
        <v>64</v>
      </c>
      <c r="C2928">
        <v>9.8430799999999993E-4</v>
      </c>
    </row>
    <row r="2929" spans="1:3" x14ac:dyDescent="0.15">
      <c r="A2929" t="s">
        <v>878</v>
      </c>
      <c r="B2929">
        <v>90.509699999999995</v>
      </c>
      <c r="C2929">
        <v>5.26813E-4</v>
      </c>
    </row>
    <row r="2930" spans="1:3" x14ac:dyDescent="0.15">
      <c r="A2930" t="s">
        <v>878</v>
      </c>
      <c r="B2930">
        <v>128</v>
      </c>
      <c r="C2930">
        <v>3.1852699999999998E-4</v>
      </c>
    </row>
    <row r="2931" spans="1:3" x14ac:dyDescent="0.15">
      <c r="A2931" t="s">
        <v>878</v>
      </c>
      <c r="B2931">
        <v>181.01929999999999</v>
      </c>
      <c r="C2931">
        <v>1.4268399999999999E-4</v>
      </c>
    </row>
    <row r="2932" spans="1:3" x14ac:dyDescent="0.15">
      <c r="A2932" t="s">
        <v>878</v>
      </c>
      <c r="B2932">
        <v>256</v>
      </c>
      <c r="C2932">
        <v>2.1795999999999999E-5</v>
      </c>
    </row>
    <row r="2933" spans="1:3" x14ac:dyDescent="0.15">
      <c r="A2933" t="s">
        <v>878</v>
      </c>
      <c r="B2933">
        <v>362.03870000000001</v>
      </c>
      <c r="C2933">
        <v>4.0699999999999998E-7</v>
      </c>
    </row>
    <row r="2934" spans="1:3" x14ac:dyDescent="0.15">
      <c r="A2934" t="s">
        <v>878</v>
      </c>
      <c r="B2934">
        <v>512</v>
      </c>
      <c r="C2934">
        <v>0</v>
      </c>
    </row>
    <row r="2935" spans="1:3" x14ac:dyDescent="0.15">
      <c r="A2935" t="s">
        <v>878</v>
      </c>
      <c r="B2935">
        <v>724.07730000000004</v>
      </c>
      <c r="C2935">
        <v>0</v>
      </c>
    </row>
    <row r="2936" spans="1:3" x14ac:dyDescent="0.15">
      <c r="A2936" t="s">
        <v>879</v>
      </c>
      <c r="B2936">
        <v>2</v>
      </c>
      <c r="C2936">
        <v>7.86322E-4</v>
      </c>
    </row>
    <row r="2937" spans="1:3" x14ac:dyDescent="0.15">
      <c r="A2937" t="s">
        <v>879</v>
      </c>
      <c r="B2937">
        <v>2.8283999999999998</v>
      </c>
      <c r="C2937">
        <v>9.5990799999999999E-4</v>
      </c>
    </row>
    <row r="2938" spans="1:3" x14ac:dyDescent="0.15">
      <c r="A2938" t="s">
        <v>879</v>
      </c>
      <c r="B2938">
        <v>4</v>
      </c>
      <c r="C2938">
        <v>1.063161E-3</v>
      </c>
    </row>
    <row r="2939" spans="1:3" x14ac:dyDescent="0.15">
      <c r="A2939" t="s">
        <v>879</v>
      </c>
      <c r="B2939">
        <v>5.6569000000000003</v>
      </c>
      <c r="C2939">
        <v>1.0540949999999999E-3</v>
      </c>
    </row>
    <row r="2940" spans="1:3" x14ac:dyDescent="0.15">
      <c r="A2940" t="s">
        <v>879</v>
      </c>
      <c r="B2940">
        <v>8</v>
      </c>
      <c r="C2940">
        <v>8.7935499999999996E-4</v>
      </c>
    </row>
    <row r="2941" spans="1:3" x14ac:dyDescent="0.15">
      <c r="A2941" t="s">
        <v>879</v>
      </c>
      <c r="B2941">
        <v>11.313700000000001</v>
      </c>
      <c r="C2941">
        <v>5.6573599999999995E-4</v>
      </c>
    </row>
    <row r="2942" spans="1:3" x14ac:dyDescent="0.15">
      <c r="A2942" t="s">
        <v>879</v>
      </c>
      <c r="B2942">
        <v>16</v>
      </c>
      <c r="C2942">
        <v>3.5489400000000002E-4</v>
      </c>
    </row>
    <row r="2943" spans="1:3" x14ac:dyDescent="0.15">
      <c r="A2943" t="s">
        <v>879</v>
      </c>
      <c r="B2943">
        <v>22.627400000000002</v>
      </c>
      <c r="C2943">
        <v>3.2405599999999998E-4</v>
      </c>
    </row>
    <row r="2944" spans="1:3" x14ac:dyDescent="0.15">
      <c r="A2944" t="s">
        <v>879</v>
      </c>
      <c r="B2944">
        <v>32</v>
      </c>
      <c r="C2944">
        <v>3.6308199999999998E-4</v>
      </c>
    </row>
    <row r="2945" spans="1:3" x14ac:dyDescent="0.15">
      <c r="A2945" t="s">
        <v>879</v>
      </c>
      <c r="B2945">
        <v>45.254800000000003</v>
      </c>
      <c r="C2945">
        <v>3.5163700000000002E-4</v>
      </c>
    </row>
    <row r="2946" spans="1:3" x14ac:dyDescent="0.15">
      <c r="A2946" t="s">
        <v>879</v>
      </c>
      <c r="B2946">
        <v>64</v>
      </c>
      <c r="C2946">
        <v>3.6575600000000001E-4</v>
      </c>
    </row>
    <row r="2947" spans="1:3" x14ac:dyDescent="0.15">
      <c r="A2947" t="s">
        <v>879</v>
      </c>
      <c r="B2947">
        <v>90.509699999999995</v>
      </c>
      <c r="C2947">
        <v>5.4115999999999995E-4</v>
      </c>
    </row>
    <row r="2948" spans="1:3" x14ac:dyDescent="0.15">
      <c r="A2948" t="s">
        <v>879</v>
      </c>
      <c r="B2948">
        <v>128</v>
      </c>
      <c r="C2948">
        <v>5.8132799999999999E-4</v>
      </c>
    </row>
    <row r="2949" spans="1:3" x14ac:dyDescent="0.15">
      <c r="A2949" t="s">
        <v>879</v>
      </c>
      <c r="B2949">
        <v>181.01929999999999</v>
      </c>
      <c r="C2949">
        <v>2.9813000000000002E-4</v>
      </c>
    </row>
    <row r="2950" spans="1:3" x14ac:dyDescent="0.15">
      <c r="A2950" t="s">
        <v>879</v>
      </c>
      <c r="B2950">
        <v>256</v>
      </c>
      <c r="C2950">
        <v>4.5841999999999999E-5</v>
      </c>
    </row>
    <row r="2951" spans="1:3" x14ac:dyDescent="0.15">
      <c r="A2951" t="s">
        <v>879</v>
      </c>
      <c r="B2951">
        <v>362.03870000000001</v>
      </c>
      <c r="C2951">
        <v>8.5499999999999997E-7</v>
      </c>
    </row>
    <row r="2952" spans="1:3" x14ac:dyDescent="0.15">
      <c r="A2952" t="s">
        <v>879</v>
      </c>
      <c r="B2952">
        <v>512</v>
      </c>
      <c r="C2952">
        <v>1.0000000000000001E-9</v>
      </c>
    </row>
    <row r="2953" spans="1:3" x14ac:dyDescent="0.15">
      <c r="A2953" t="s">
        <v>879</v>
      </c>
      <c r="B2953">
        <v>724.07730000000004</v>
      </c>
      <c r="C2953">
        <v>0</v>
      </c>
    </row>
    <row r="2954" spans="1:3" x14ac:dyDescent="0.15">
      <c r="A2954" t="s">
        <v>880</v>
      </c>
      <c r="B2954">
        <v>2</v>
      </c>
      <c r="C2954">
        <v>1.625224E-3</v>
      </c>
    </row>
    <row r="2955" spans="1:3" x14ac:dyDescent="0.15">
      <c r="A2955" t="s">
        <v>880</v>
      </c>
      <c r="B2955">
        <v>2.8283999999999998</v>
      </c>
      <c r="C2955">
        <v>1.51432E-3</v>
      </c>
    </row>
    <row r="2956" spans="1:3" x14ac:dyDescent="0.15">
      <c r="A2956" t="s">
        <v>880</v>
      </c>
      <c r="B2956">
        <v>4</v>
      </c>
      <c r="C2956">
        <v>1.311247E-3</v>
      </c>
    </row>
    <row r="2957" spans="1:3" x14ac:dyDescent="0.15">
      <c r="A2957" t="s">
        <v>880</v>
      </c>
      <c r="B2957">
        <v>5.6569000000000003</v>
      </c>
      <c r="C2957">
        <v>1.309525E-3</v>
      </c>
    </row>
    <row r="2958" spans="1:3" x14ac:dyDescent="0.15">
      <c r="A2958" t="s">
        <v>880</v>
      </c>
      <c r="B2958">
        <v>8</v>
      </c>
      <c r="C2958">
        <v>1.4067070000000001E-3</v>
      </c>
    </row>
    <row r="2959" spans="1:3" x14ac:dyDescent="0.15">
      <c r="A2959" t="s">
        <v>880</v>
      </c>
      <c r="B2959">
        <v>11.313700000000001</v>
      </c>
      <c r="C2959">
        <v>1.2365189999999999E-3</v>
      </c>
    </row>
    <row r="2960" spans="1:3" x14ac:dyDescent="0.15">
      <c r="A2960" t="s">
        <v>880</v>
      </c>
      <c r="B2960">
        <v>16</v>
      </c>
      <c r="C2960">
        <v>9.0558800000000003E-4</v>
      </c>
    </row>
    <row r="2961" spans="1:3" x14ac:dyDescent="0.15">
      <c r="A2961" t="s">
        <v>880</v>
      </c>
      <c r="B2961">
        <v>22.627400000000002</v>
      </c>
      <c r="C2961">
        <v>9.4856400000000005E-4</v>
      </c>
    </row>
    <row r="2962" spans="1:3" x14ac:dyDescent="0.15">
      <c r="A2962" t="s">
        <v>880</v>
      </c>
      <c r="B2962">
        <v>32</v>
      </c>
      <c r="C2962">
        <v>1.1331869999999999E-3</v>
      </c>
    </row>
    <row r="2963" spans="1:3" x14ac:dyDescent="0.15">
      <c r="A2963" t="s">
        <v>880</v>
      </c>
      <c r="B2963">
        <v>45.254800000000003</v>
      </c>
      <c r="C2963">
        <v>1.229806E-3</v>
      </c>
    </row>
    <row r="2964" spans="1:3" x14ac:dyDescent="0.15">
      <c r="A2964" t="s">
        <v>880</v>
      </c>
      <c r="B2964">
        <v>64</v>
      </c>
      <c r="C2964">
        <v>1.227908E-3</v>
      </c>
    </row>
    <row r="2965" spans="1:3" x14ac:dyDescent="0.15">
      <c r="A2965" t="s">
        <v>880</v>
      </c>
      <c r="B2965">
        <v>90.509699999999995</v>
      </c>
      <c r="C2965">
        <v>7.0530699999999996E-4</v>
      </c>
    </row>
    <row r="2966" spans="1:3" x14ac:dyDescent="0.15">
      <c r="A2966" t="s">
        <v>880</v>
      </c>
      <c r="B2966">
        <v>128</v>
      </c>
      <c r="C2966">
        <v>1.71657E-4</v>
      </c>
    </row>
    <row r="2967" spans="1:3" x14ac:dyDescent="0.15">
      <c r="A2967" t="s">
        <v>880</v>
      </c>
      <c r="B2967">
        <v>181.01929999999999</v>
      </c>
      <c r="C2967">
        <v>3.9446000000000001E-5</v>
      </c>
    </row>
    <row r="2968" spans="1:3" x14ac:dyDescent="0.15">
      <c r="A2968" t="s">
        <v>880</v>
      </c>
      <c r="B2968">
        <v>256</v>
      </c>
      <c r="C2968">
        <v>5.7849999999999997E-6</v>
      </c>
    </row>
    <row r="2969" spans="1:3" x14ac:dyDescent="0.15">
      <c r="A2969" t="s">
        <v>880</v>
      </c>
      <c r="B2969">
        <v>362.03870000000001</v>
      </c>
      <c r="C2969">
        <v>1.08E-7</v>
      </c>
    </row>
    <row r="2970" spans="1:3" x14ac:dyDescent="0.15">
      <c r="A2970" t="s">
        <v>880</v>
      </c>
      <c r="B2970">
        <v>512</v>
      </c>
      <c r="C2970">
        <v>0</v>
      </c>
    </row>
    <row r="2971" spans="1:3" x14ac:dyDescent="0.15">
      <c r="A2971" t="s">
        <v>880</v>
      </c>
      <c r="B2971">
        <v>724.07730000000004</v>
      </c>
      <c r="C2971">
        <v>0</v>
      </c>
    </row>
    <row r="2972" spans="1:3" x14ac:dyDescent="0.15">
      <c r="A2972" t="s">
        <v>881</v>
      </c>
      <c r="B2972">
        <v>2</v>
      </c>
      <c r="C2972">
        <v>1.387966E-3</v>
      </c>
    </row>
    <row r="2973" spans="1:3" x14ac:dyDescent="0.15">
      <c r="A2973" t="s">
        <v>881</v>
      </c>
      <c r="B2973">
        <v>2.8283999999999998</v>
      </c>
      <c r="C2973">
        <v>1.8272290000000001E-3</v>
      </c>
    </row>
    <row r="2974" spans="1:3" x14ac:dyDescent="0.15">
      <c r="A2974" t="s">
        <v>881</v>
      </c>
      <c r="B2974">
        <v>4</v>
      </c>
      <c r="C2974">
        <v>2.0736769999999999E-3</v>
      </c>
    </row>
    <row r="2975" spans="1:3" x14ac:dyDescent="0.15">
      <c r="A2975" t="s">
        <v>881</v>
      </c>
      <c r="B2975">
        <v>5.6569000000000003</v>
      </c>
      <c r="C2975">
        <v>1.9233360000000001E-3</v>
      </c>
    </row>
    <row r="2976" spans="1:3" x14ac:dyDescent="0.15">
      <c r="A2976" t="s">
        <v>881</v>
      </c>
      <c r="B2976">
        <v>8</v>
      </c>
      <c r="C2976">
        <v>1.4139860000000001E-3</v>
      </c>
    </row>
    <row r="2977" spans="1:3" x14ac:dyDescent="0.15">
      <c r="A2977" t="s">
        <v>881</v>
      </c>
      <c r="B2977">
        <v>11.313700000000001</v>
      </c>
      <c r="C2977">
        <v>1.0340519999999999E-3</v>
      </c>
    </row>
    <row r="2978" spans="1:3" x14ac:dyDescent="0.15">
      <c r="A2978" t="s">
        <v>881</v>
      </c>
      <c r="B2978">
        <v>16</v>
      </c>
      <c r="C2978">
        <v>1.0066109999999999E-3</v>
      </c>
    </row>
    <row r="2979" spans="1:3" x14ac:dyDescent="0.15">
      <c r="A2979" t="s">
        <v>881</v>
      </c>
      <c r="B2979">
        <v>22.627400000000002</v>
      </c>
      <c r="C2979">
        <v>9.4086099999999998E-4</v>
      </c>
    </row>
    <row r="2980" spans="1:3" x14ac:dyDescent="0.15">
      <c r="A2980" t="s">
        <v>881</v>
      </c>
      <c r="B2980">
        <v>32</v>
      </c>
      <c r="C2980">
        <v>7.1753699999999997E-4</v>
      </c>
    </row>
    <row r="2981" spans="1:3" x14ac:dyDescent="0.15">
      <c r="A2981" t="s">
        <v>881</v>
      </c>
      <c r="B2981">
        <v>45.254800000000003</v>
      </c>
      <c r="C2981">
        <v>6.79811E-4</v>
      </c>
    </row>
    <row r="2982" spans="1:3" x14ac:dyDescent="0.15">
      <c r="A2982" t="s">
        <v>881</v>
      </c>
      <c r="B2982">
        <v>64</v>
      </c>
      <c r="C2982">
        <v>7.0226700000000002E-4</v>
      </c>
    </row>
    <row r="2983" spans="1:3" x14ac:dyDescent="0.15">
      <c r="A2983" t="s">
        <v>881</v>
      </c>
      <c r="B2983">
        <v>90.509699999999995</v>
      </c>
      <c r="C2983">
        <v>6.7735099999999997E-4</v>
      </c>
    </row>
    <row r="2984" spans="1:3" x14ac:dyDescent="0.15">
      <c r="A2984" t="s">
        <v>881</v>
      </c>
      <c r="B2984">
        <v>128</v>
      </c>
      <c r="C2984">
        <v>6.0747799999999995E-4</v>
      </c>
    </row>
    <row r="2985" spans="1:3" x14ac:dyDescent="0.15">
      <c r="A2985" t="s">
        <v>881</v>
      </c>
      <c r="B2985">
        <v>181.01929999999999</v>
      </c>
      <c r="C2985">
        <v>3.0296000000000001E-4</v>
      </c>
    </row>
    <row r="2986" spans="1:3" x14ac:dyDescent="0.15">
      <c r="A2986" t="s">
        <v>881</v>
      </c>
      <c r="B2986">
        <v>256</v>
      </c>
      <c r="C2986">
        <v>4.6424000000000001E-5</v>
      </c>
    </row>
    <row r="2987" spans="1:3" x14ac:dyDescent="0.15">
      <c r="A2987" t="s">
        <v>881</v>
      </c>
      <c r="B2987">
        <v>362.03870000000001</v>
      </c>
      <c r="C2987">
        <v>8.6600000000000005E-7</v>
      </c>
    </row>
    <row r="2988" spans="1:3" x14ac:dyDescent="0.15">
      <c r="A2988" t="s">
        <v>881</v>
      </c>
      <c r="B2988">
        <v>512</v>
      </c>
      <c r="C2988">
        <v>1.0000000000000001E-9</v>
      </c>
    </row>
    <row r="2989" spans="1:3" x14ac:dyDescent="0.15">
      <c r="A2989" t="s">
        <v>881</v>
      </c>
      <c r="B2989">
        <v>724.07730000000004</v>
      </c>
      <c r="C2989">
        <v>0</v>
      </c>
    </row>
    <row r="2990" spans="1:3" x14ac:dyDescent="0.15">
      <c r="A2990" t="s">
        <v>882</v>
      </c>
      <c r="B2990">
        <v>2</v>
      </c>
      <c r="C2990">
        <v>1.001441E-3</v>
      </c>
    </row>
    <row r="2991" spans="1:3" x14ac:dyDescent="0.15">
      <c r="A2991" t="s">
        <v>882</v>
      </c>
      <c r="B2991">
        <v>2.8283999999999998</v>
      </c>
      <c r="C2991">
        <v>1.211218E-3</v>
      </c>
    </row>
    <row r="2992" spans="1:3" x14ac:dyDescent="0.15">
      <c r="A2992" t="s">
        <v>882</v>
      </c>
      <c r="B2992">
        <v>4</v>
      </c>
      <c r="C2992">
        <v>1.2985609999999999E-3</v>
      </c>
    </row>
    <row r="2993" spans="1:3" x14ac:dyDescent="0.15">
      <c r="A2993" t="s">
        <v>882</v>
      </c>
      <c r="B2993">
        <v>5.6569000000000003</v>
      </c>
      <c r="C2993">
        <v>1.3196010000000001E-3</v>
      </c>
    </row>
    <row r="2994" spans="1:3" x14ac:dyDescent="0.15">
      <c r="A2994" t="s">
        <v>882</v>
      </c>
      <c r="B2994">
        <v>8</v>
      </c>
      <c r="C2994">
        <v>1.3165480000000001E-3</v>
      </c>
    </row>
    <row r="2995" spans="1:3" x14ac:dyDescent="0.15">
      <c r="A2995" t="s">
        <v>882</v>
      </c>
      <c r="B2995">
        <v>11.313700000000001</v>
      </c>
      <c r="C2995">
        <v>1.2082810000000001E-3</v>
      </c>
    </row>
    <row r="2996" spans="1:3" x14ac:dyDescent="0.15">
      <c r="A2996" t="s">
        <v>882</v>
      </c>
      <c r="B2996">
        <v>16</v>
      </c>
      <c r="C2996">
        <v>9.2018899999999997E-4</v>
      </c>
    </row>
    <row r="2997" spans="1:3" x14ac:dyDescent="0.15">
      <c r="A2997" t="s">
        <v>882</v>
      </c>
      <c r="B2997">
        <v>22.627400000000002</v>
      </c>
      <c r="C2997">
        <v>8.0433000000000002E-4</v>
      </c>
    </row>
    <row r="2998" spans="1:3" x14ac:dyDescent="0.15">
      <c r="A2998" t="s">
        <v>882</v>
      </c>
      <c r="B2998">
        <v>32</v>
      </c>
      <c r="C2998">
        <v>8.4784400000000005E-4</v>
      </c>
    </row>
    <row r="2999" spans="1:3" x14ac:dyDescent="0.15">
      <c r="A2999" t="s">
        <v>882</v>
      </c>
      <c r="B2999">
        <v>45.254800000000003</v>
      </c>
      <c r="C2999">
        <v>6.6459899999999998E-4</v>
      </c>
    </row>
    <row r="3000" spans="1:3" x14ac:dyDescent="0.15">
      <c r="A3000" t="s">
        <v>882</v>
      </c>
      <c r="B3000">
        <v>64</v>
      </c>
      <c r="C3000">
        <v>4.2103699999999997E-4</v>
      </c>
    </row>
    <row r="3001" spans="1:3" x14ac:dyDescent="0.15">
      <c r="A3001" t="s">
        <v>882</v>
      </c>
      <c r="B3001">
        <v>90.509699999999995</v>
      </c>
      <c r="C3001">
        <v>1.93332E-4</v>
      </c>
    </row>
    <row r="3002" spans="1:3" x14ac:dyDescent="0.15">
      <c r="A3002" t="s">
        <v>882</v>
      </c>
      <c r="B3002">
        <v>128</v>
      </c>
      <c r="C3002">
        <v>2.9606000000000001E-5</v>
      </c>
    </row>
    <row r="3003" spans="1:3" x14ac:dyDescent="0.15">
      <c r="A3003" t="s">
        <v>882</v>
      </c>
      <c r="B3003">
        <v>181.01929999999999</v>
      </c>
      <c r="C3003">
        <v>5.5199999999999997E-7</v>
      </c>
    </row>
    <row r="3004" spans="1:3" x14ac:dyDescent="0.15">
      <c r="A3004" t="s">
        <v>882</v>
      </c>
      <c r="B3004">
        <v>256</v>
      </c>
      <c r="C3004">
        <v>0</v>
      </c>
    </row>
    <row r="3005" spans="1:3" x14ac:dyDescent="0.15">
      <c r="A3005" t="s">
        <v>882</v>
      </c>
      <c r="B3005">
        <v>362.03870000000001</v>
      </c>
      <c r="C3005">
        <v>0</v>
      </c>
    </row>
    <row r="3006" spans="1:3" x14ac:dyDescent="0.15">
      <c r="A3006" t="s">
        <v>882</v>
      </c>
      <c r="B3006">
        <v>512</v>
      </c>
      <c r="C3006">
        <v>0</v>
      </c>
    </row>
    <row r="3007" spans="1:3" x14ac:dyDescent="0.15">
      <c r="A3007" t="s">
        <v>882</v>
      </c>
      <c r="B3007">
        <v>724.07730000000004</v>
      </c>
      <c r="C3007">
        <v>0</v>
      </c>
    </row>
    <row r="3008" spans="1:3" x14ac:dyDescent="0.15">
      <c r="A3008" t="s">
        <v>883</v>
      </c>
      <c r="B3008">
        <v>2</v>
      </c>
      <c r="C3008">
        <v>1.439475E-3</v>
      </c>
    </row>
    <row r="3009" spans="1:3" x14ac:dyDescent="0.15">
      <c r="A3009" t="s">
        <v>883</v>
      </c>
      <c r="B3009">
        <v>2.8283999999999998</v>
      </c>
      <c r="C3009">
        <v>1.3481599999999999E-3</v>
      </c>
    </row>
    <row r="3010" spans="1:3" x14ac:dyDescent="0.15">
      <c r="A3010" t="s">
        <v>883</v>
      </c>
      <c r="B3010">
        <v>4</v>
      </c>
      <c r="C3010">
        <v>1.1918740000000001E-3</v>
      </c>
    </row>
    <row r="3011" spans="1:3" x14ac:dyDescent="0.15">
      <c r="A3011" t="s">
        <v>883</v>
      </c>
      <c r="B3011">
        <v>5.6569000000000003</v>
      </c>
      <c r="C3011">
        <v>1.130362E-3</v>
      </c>
    </row>
    <row r="3012" spans="1:3" x14ac:dyDescent="0.15">
      <c r="A3012" t="s">
        <v>883</v>
      </c>
      <c r="B3012">
        <v>8</v>
      </c>
      <c r="C3012">
        <v>1.0957639999999999E-3</v>
      </c>
    </row>
    <row r="3013" spans="1:3" x14ac:dyDescent="0.15">
      <c r="A3013" t="s">
        <v>883</v>
      </c>
      <c r="B3013">
        <v>11.313700000000001</v>
      </c>
      <c r="C3013">
        <v>1.0034690000000001E-3</v>
      </c>
    </row>
    <row r="3014" spans="1:3" x14ac:dyDescent="0.15">
      <c r="A3014" t="s">
        <v>883</v>
      </c>
      <c r="B3014">
        <v>16</v>
      </c>
      <c r="C3014">
        <v>8.5921000000000001E-4</v>
      </c>
    </row>
    <row r="3015" spans="1:3" x14ac:dyDescent="0.15">
      <c r="A3015" t="s">
        <v>883</v>
      </c>
      <c r="B3015">
        <v>22.627400000000002</v>
      </c>
      <c r="C3015">
        <v>6.4345799999999996E-4</v>
      </c>
    </row>
    <row r="3016" spans="1:3" x14ac:dyDescent="0.15">
      <c r="A3016" t="s">
        <v>883</v>
      </c>
      <c r="B3016">
        <v>32</v>
      </c>
      <c r="C3016">
        <v>4.4588499999999998E-4</v>
      </c>
    </row>
    <row r="3017" spans="1:3" x14ac:dyDescent="0.15">
      <c r="A3017" t="s">
        <v>883</v>
      </c>
      <c r="B3017">
        <v>45.254800000000003</v>
      </c>
      <c r="C3017">
        <v>3.58036E-4</v>
      </c>
    </row>
    <row r="3018" spans="1:3" x14ac:dyDescent="0.15">
      <c r="A3018" t="s">
        <v>883</v>
      </c>
      <c r="B3018">
        <v>64</v>
      </c>
      <c r="C3018">
        <v>2.7052899999999998E-4</v>
      </c>
    </row>
    <row r="3019" spans="1:3" x14ac:dyDescent="0.15">
      <c r="A3019" t="s">
        <v>883</v>
      </c>
      <c r="B3019">
        <v>90.509699999999995</v>
      </c>
      <c r="C3019">
        <v>1.47019E-4</v>
      </c>
    </row>
    <row r="3020" spans="1:3" x14ac:dyDescent="0.15">
      <c r="A3020" t="s">
        <v>883</v>
      </c>
      <c r="B3020">
        <v>128</v>
      </c>
      <c r="C3020">
        <v>4.7787999999999997E-5</v>
      </c>
    </row>
    <row r="3021" spans="1:3" x14ac:dyDescent="0.15">
      <c r="A3021" t="s">
        <v>883</v>
      </c>
      <c r="B3021">
        <v>181.01929999999999</v>
      </c>
      <c r="C3021">
        <v>1.4949999999999999E-5</v>
      </c>
    </row>
    <row r="3022" spans="1:3" x14ac:dyDescent="0.15">
      <c r="A3022" t="s">
        <v>883</v>
      </c>
      <c r="B3022">
        <v>256</v>
      </c>
      <c r="C3022">
        <v>2.1689999999999999E-6</v>
      </c>
    </row>
    <row r="3023" spans="1:3" x14ac:dyDescent="0.15">
      <c r="A3023" t="s">
        <v>883</v>
      </c>
      <c r="B3023">
        <v>362.03870000000001</v>
      </c>
      <c r="C3023">
        <v>4.0000000000000001E-8</v>
      </c>
    </row>
    <row r="3024" spans="1:3" x14ac:dyDescent="0.15">
      <c r="A3024" t="s">
        <v>883</v>
      </c>
      <c r="B3024">
        <v>512</v>
      </c>
      <c r="C3024">
        <v>0</v>
      </c>
    </row>
    <row r="3025" spans="1:3" x14ac:dyDescent="0.15">
      <c r="A3025" t="s">
        <v>883</v>
      </c>
      <c r="B3025">
        <v>724.07730000000004</v>
      </c>
      <c r="C3025">
        <v>0</v>
      </c>
    </row>
    <row r="3026" spans="1:3" x14ac:dyDescent="0.15">
      <c r="A3026" t="s">
        <v>883</v>
      </c>
      <c r="B3026">
        <v>2</v>
      </c>
      <c r="C3026">
        <v>6.7364699999999998E-4</v>
      </c>
    </row>
    <row r="3027" spans="1:3" x14ac:dyDescent="0.15">
      <c r="A3027" t="s">
        <v>883</v>
      </c>
      <c r="B3027">
        <v>2.8283999999999998</v>
      </c>
      <c r="C3027">
        <v>7.86288E-4</v>
      </c>
    </row>
    <row r="3028" spans="1:3" x14ac:dyDescent="0.15">
      <c r="A3028" t="s">
        <v>883</v>
      </c>
      <c r="B3028">
        <v>4</v>
      </c>
      <c r="C3028">
        <v>8.6979699999999995E-4</v>
      </c>
    </row>
    <row r="3029" spans="1:3" x14ac:dyDescent="0.15">
      <c r="A3029" t="s">
        <v>883</v>
      </c>
      <c r="B3029">
        <v>5.6569000000000003</v>
      </c>
      <c r="C3029">
        <v>8.5416599999999995E-4</v>
      </c>
    </row>
    <row r="3030" spans="1:3" x14ac:dyDescent="0.15">
      <c r="A3030" t="s">
        <v>883</v>
      </c>
      <c r="B3030">
        <v>8</v>
      </c>
      <c r="C3030">
        <v>8.2938700000000001E-4</v>
      </c>
    </row>
    <row r="3031" spans="1:3" x14ac:dyDescent="0.15">
      <c r="A3031" t="s">
        <v>883</v>
      </c>
      <c r="B3031">
        <v>11.313700000000001</v>
      </c>
      <c r="C3031">
        <v>8.7524599999999999E-4</v>
      </c>
    </row>
    <row r="3032" spans="1:3" x14ac:dyDescent="0.15">
      <c r="A3032" t="s">
        <v>883</v>
      </c>
      <c r="B3032">
        <v>16</v>
      </c>
      <c r="C3032">
        <v>8.4375800000000001E-4</v>
      </c>
    </row>
    <row r="3033" spans="1:3" x14ac:dyDescent="0.15">
      <c r="A3033" t="s">
        <v>883</v>
      </c>
      <c r="B3033">
        <v>22.627400000000002</v>
      </c>
      <c r="C3033">
        <v>7.8324600000000003E-4</v>
      </c>
    </row>
    <row r="3034" spans="1:3" x14ac:dyDescent="0.15">
      <c r="A3034" t="s">
        <v>883</v>
      </c>
      <c r="B3034">
        <v>32</v>
      </c>
      <c r="C3034">
        <v>7.77646E-4</v>
      </c>
    </row>
    <row r="3035" spans="1:3" x14ac:dyDescent="0.15">
      <c r="A3035" t="s">
        <v>883</v>
      </c>
      <c r="B3035">
        <v>45.254800000000003</v>
      </c>
      <c r="C3035">
        <v>5.6209100000000002E-4</v>
      </c>
    </row>
    <row r="3036" spans="1:3" x14ac:dyDescent="0.15">
      <c r="A3036" t="s">
        <v>883</v>
      </c>
      <c r="B3036">
        <v>64</v>
      </c>
      <c r="C3036">
        <v>2.5586499999999998E-4</v>
      </c>
    </row>
    <row r="3037" spans="1:3" x14ac:dyDescent="0.15">
      <c r="A3037" t="s">
        <v>883</v>
      </c>
      <c r="B3037">
        <v>90.509699999999995</v>
      </c>
      <c r="C3037">
        <v>2.12764E-4</v>
      </c>
    </row>
    <row r="3038" spans="1:3" x14ac:dyDescent="0.15">
      <c r="A3038" t="s">
        <v>883</v>
      </c>
      <c r="B3038">
        <v>128</v>
      </c>
      <c r="C3038">
        <v>2.01158E-4</v>
      </c>
    </row>
    <row r="3039" spans="1:3" x14ac:dyDescent="0.15">
      <c r="A3039" t="s">
        <v>883</v>
      </c>
      <c r="B3039">
        <v>181.01929999999999</v>
      </c>
      <c r="C3039">
        <v>1.02586E-4</v>
      </c>
    </row>
    <row r="3040" spans="1:3" x14ac:dyDescent="0.15">
      <c r="A3040" t="s">
        <v>883</v>
      </c>
      <c r="B3040">
        <v>256</v>
      </c>
      <c r="C3040">
        <v>1.5801E-5</v>
      </c>
    </row>
    <row r="3041" spans="1:3" x14ac:dyDescent="0.15">
      <c r="A3041" t="s">
        <v>883</v>
      </c>
      <c r="B3041">
        <v>362.03870000000001</v>
      </c>
      <c r="C3041">
        <v>2.9499999999999998E-7</v>
      </c>
    </row>
    <row r="3042" spans="1:3" x14ac:dyDescent="0.15">
      <c r="A3042" t="s">
        <v>883</v>
      </c>
      <c r="B3042">
        <v>512</v>
      </c>
      <c r="C3042">
        <v>0</v>
      </c>
    </row>
    <row r="3043" spans="1:3" x14ac:dyDescent="0.15">
      <c r="A3043" t="s">
        <v>883</v>
      </c>
      <c r="B3043">
        <v>724.07730000000004</v>
      </c>
      <c r="C3043">
        <v>0</v>
      </c>
    </row>
    <row r="3044" spans="1:3" x14ac:dyDescent="0.15">
      <c r="A3044" t="s">
        <v>885</v>
      </c>
      <c r="B3044">
        <v>2</v>
      </c>
      <c r="C3044">
        <v>5.5499E-4</v>
      </c>
    </row>
    <row r="3045" spans="1:3" x14ac:dyDescent="0.15">
      <c r="A3045" t="s">
        <v>885</v>
      </c>
      <c r="B3045">
        <v>2.8283999999999998</v>
      </c>
      <c r="C3045">
        <v>6.4010900000000003E-4</v>
      </c>
    </row>
    <row r="3046" spans="1:3" x14ac:dyDescent="0.15">
      <c r="A3046" t="s">
        <v>885</v>
      </c>
      <c r="B3046">
        <v>4</v>
      </c>
      <c r="C3046">
        <v>7.0320400000000003E-4</v>
      </c>
    </row>
    <row r="3047" spans="1:3" x14ac:dyDescent="0.15">
      <c r="A3047" t="s">
        <v>885</v>
      </c>
      <c r="B3047">
        <v>5.6569000000000003</v>
      </c>
      <c r="C3047">
        <v>7.0525999999999998E-4</v>
      </c>
    </row>
    <row r="3048" spans="1:3" x14ac:dyDescent="0.15">
      <c r="A3048" t="s">
        <v>885</v>
      </c>
      <c r="B3048">
        <v>8</v>
      </c>
      <c r="C3048">
        <v>7.1339400000000001E-4</v>
      </c>
    </row>
    <row r="3049" spans="1:3" x14ac:dyDescent="0.15">
      <c r="A3049" t="s">
        <v>885</v>
      </c>
      <c r="B3049">
        <v>11.313700000000001</v>
      </c>
      <c r="C3049">
        <v>7.2143200000000004E-4</v>
      </c>
    </row>
    <row r="3050" spans="1:3" x14ac:dyDescent="0.15">
      <c r="A3050" t="s">
        <v>885</v>
      </c>
      <c r="B3050">
        <v>16</v>
      </c>
      <c r="C3050">
        <v>6.8257799999999998E-4</v>
      </c>
    </row>
    <row r="3051" spans="1:3" x14ac:dyDescent="0.15">
      <c r="A3051" t="s">
        <v>885</v>
      </c>
      <c r="B3051">
        <v>22.627400000000002</v>
      </c>
      <c r="C3051">
        <v>5.8268600000000001E-4</v>
      </c>
    </row>
    <row r="3052" spans="1:3" x14ac:dyDescent="0.15">
      <c r="A3052" t="s">
        <v>885</v>
      </c>
      <c r="B3052">
        <v>32</v>
      </c>
      <c r="C3052">
        <v>4.92521E-4</v>
      </c>
    </row>
    <row r="3053" spans="1:3" x14ac:dyDescent="0.15">
      <c r="A3053" t="s">
        <v>885</v>
      </c>
      <c r="B3053">
        <v>45.254800000000003</v>
      </c>
      <c r="C3053">
        <v>3.52572E-4</v>
      </c>
    </row>
    <row r="3054" spans="1:3" x14ac:dyDescent="0.15">
      <c r="A3054" t="s">
        <v>885</v>
      </c>
      <c r="B3054">
        <v>64</v>
      </c>
      <c r="C3054">
        <v>1.9319300000000001E-4</v>
      </c>
    </row>
    <row r="3055" spans="1:3" x14ac:dyDescent="0.15">
      <c r="A3055" t="s">
        <v>885</v>
      </c>
      <c r="B3055">
        <v>90.509699999999995</v>
      </c>
      <c r="C3055">
        <v>1.5792000000000001E-4</v>
      </c>
    </row>
    <row r="3056" spans="1:3" x14ac:dyDescent="0.15">
      <c r="A3056" t="s">
        <v>885</v>
      </c>
      <c r="B3056">
        <v>128</v>
      </c>
      <c r="C3056">
        <v>1.6429899999999999E-4</v>
      </c>
    </row>
    <row r="3057" spans="1:3" x14ac:dyDescent="0.15">
      <c r="A3057" t="s">
        <v>885</v>
      </c>
      <c r="B3057">
        <v>181.01929999999999</v>
      </c>
      <c r="C3057">
        <v>8.5624999999999994E-5</v>
      </c>
    </row>
    <row r="3058" spans="1:3" x14ac:dyDescent="0.15">
      <c r="A3058" t="s">
        <v>885</v>
      </c>
      <c r="B3058">
        <v>256</v>
      </c>
      <c r="C3058">
        <v>1.3162E-5</v>
      </c>
    </row>
    <row r="3059" spans="1:3" x14ac:dyDescent="0.15">
      <c r="A3059" t="s">
        <v>885</v>
      </c>
      <c r="B3059">
        <v>362.03870000000001</v>
      </c>
      <c r="C3059">
        <v>2.4600000000000001E-7</v>
      </c>
    </row>
    <row r="3060" spans="1:3" x14ac:dyDescent="0.15">
      <c r="A3060" t="s">
        <v>885</v>
      </c>
      <c r="B3060">
        <v>512</v>
      </c>
      <c r="C3060">
        <v>0</v>
      </c>
    </row>
    <row r="3061" spans="1:3" x14ac:dyDescent="0.15">
      <c r="A3061" t="s">
        <v>885</v>
      </c>
      <c r="B3061">
        <v>724.07730000000004</v>
      </c>
      <c r="C3061">
        <v>0</v>
      </c>
    </row>
    <row r="3062" spans="1:3" x14ac:dyDescent="0.15">
      <c r="A3062" t="s">
        <v>886</v>
      </c>
      <c r="B3062">
        <v>2</v>
      </c>
      <c r="C3062">
        <v>6.9121299999999998E-4</v>
      </c>
    </row>
    <row r="3063" spans="1:3" x14ac:dyDescent="0.15">
      <c r="A3063" t="s">
        <v>886</v>
      </c>
      <c r="B3063">
        <v>2.8283999999999998</v>
      </c>
      <c r="C3063">
        <v>8.7139200000000002E-4</v>
      </c>
    </row>
    <row r="3064" spans="1:3" x14ac:dyDescent="0.15">
      <c r="A3064" t="s">
        <v>886</v>
      </c>
      <c r="B3064">
        <v>4</v>
      </c>
      <c r="C3064">
        <v>8.6886999999999999E-4</v>
      </c>
    </row>
    <row r="3065" spans="1:3" x14ac:dyDescent="0.15">
      <c r="A3065" t="s">
        <v>886</v>
      </c>
      <c r="B3065">
        <v>5.6569000000000003</v>
      </c>
      <c r="C3065">
        <v>7.7081899999999995E-4</v>
      </c>
    </row>
    <row r="3066" spans="1:3" x14ac:dyDescent="0.15">
      <c r="A3066" t="s">
        <v>886</v>
      </c>
      <c r="B3066">
        <v>8</v>
      </c>
      <c r="C3066">
        <v>8.2748299999999995E-4</v>
      </c>
    </row>
    <row r="3067" spans="1:3" x14ac:dyDescent="0.15">
      <c r="A3067" t="s">
        <v>886</v>
      </c>
      <c r="B3067">
        <v>11.313700000000001</v>
      </c>
      <c r="C3067">
        <v>8.2384000000000005E-4</v>
      </c>
    </row>
    <row r="3068" spans="1:3" x14ac:dyDescent="0.15">
      <c r="A3068" t="s">
        <v>886</v>
      </c>
      <c r="B3068">
        <v>16</v>
      </c>
      <c r="C3068">
        <v>6.2401999999999998E-4</v>
      </c>
    </row>
    <row r="3069" spans="1:3" x14ac:dyDescent="0.15">
      <c r="A3069" t="s">
        <v>886</v>
      </c>
      <c r="B3069">
        <v>22.627400000000002</v>
      </c>
      <c r="C3069">
        <v>5.2605900000000005E-4</v>
      </c>
    </row>
    <row r="3070" spans="1:3" x14ac:dyDescent="0.15">
      <c r="A3070" t="s">
        <v>886</v>
      </c>
      <c r="B3070">
        <v>32</v>
      </c>
      <c r="C3070">
        <v>5.2541800000000004E-4</v>
      </c>
    </row>
    <row r="3071" spans="1:3" x14ac:dyDescent="0.15">
      <c r="A3071" t="s">
        <v>886</v>
      </c>
      <c r="B3071">
        <v>45.254800000000003</v>
      </c>
      <c r="C3071">
        <v>5.0992599999999996E-4</v>
      </c>
    </row>
    <row r="3072" spans="1:3" x14ac:dyDescent="0.15">
      <c r="A3072" t="s">
        <v>886</v>
      </c>
      <c r="B3072">
        <v>64</v>
      </c>
      <c r="C3072">
        <v>5.5706099999999997E-4</v>
      </c>
    </row>
    <row r="3073" spans="1:3" x14ac:dyDescent="0.15">
      <c r="A3073" t="s">
        <v>886</v>
      </c>
      <c r="B3073">
        <v>90.509699999999995</v>
      </c>
      <c r="C3073">
        <v>7.2094100000000001E-4</v>
      </c>
    </row>
    <row r="3074" spans="1:3" x14ac:dyDescent="0.15">
      <c r="A3074" t="s">
        <v>886</v>
      </c>
      <c r="B3074">
        <v>128</v>
      </c>
      <c r="C3074">
        <v>7.4162299999999996E-4</v>
      </c>
    </row>
    <row r="3075" spans="1:3" x14ac:dyDescent="0.15">
      <c r="A3075" t="s">
        <v>886</v>
      </c>
      <c r="B3075">
        <v>181.01929999999999</v>
      </c>
      <c r="C3075">
        <v>3.7801099999999998E-4</v>
      </c>
    </row>
    <row r="3076" spans="1:3" x14ac:dyDescent="0.15">
      <c r="A3076" t="s">
        <v>886</v>
      </c>
      <c r="B3076">
        <v>256</v>
      </c>
      <c r="C3076">
        <v>5.8060000000000003E-5</v>
      </c>
    </row>
    <row r="3077" spans="1:3" x14ac:dyDescent="0.15">
      <c r="A3077" t="s">
        <v>886</v>
      </c>
      <c r="B3077">
        <v>362.03870000000001</v>
      </c>
      <c r="C3077">
        <v>1.083E-6</v>
      </c>
    </row>
    <row r="3078" spans="1:3" x14ac:dyDescent="0.15">
      <c r="A3078" t="s">
        <v>886</v>
      </c>
      <c r="B3078">
        <v>512</v>
      </c>
      <c r="C3078">
        <v>0</v>
      </c>
    </row>
    <row r="3079" spans="1:3" x14ac:dyDescent="0.15">
      <c r="A3079" t="s">
        <v>886</v>
      </c>
      <c r="B3079">
        <v>724.07730000000004</v>
      </c>
      <c r="C3079">
        <v>0</v>
      </c>
    </row>
    <row r="3080" spans="1:3" x14ac:dyDescent="0.15">
      <c r="A3080" t="s">
        <v>887</v>
      </c>
      <c r="B3080">
        <v>2</v>
      </c>
      <c r="C3080">
        <v>9.3553400000000002E-4</v>
      </c>
    </row>
    <row r="3081" spans="1:3" x14ac:dyDescent="0.15">
      <c r="A3081" t="s">
        <v>887</v>
      </c>
      <c r="B3081">
        <v>2.8283999999999998</v>
      </c>
      <c r="C3081">
        <v>1.2196819999999999E-3</v>
      </c>
    </row>
    <row r="3082" spans="1:3" x14ac:dyDescent="0.15">
      <c r="A3082" t="s">
        <v>887</v>
      </c>
      <c r="B3082">
        <v>4</v>
      </c>
      <c r="C3082">
        <v>1.461384E-3</v>
      </c>
    </row>
    <row r="3083" spans="1:3" x14ac:dyDescent="0.15">
      <c r="A3083" t="s">
        <v>887</v>
      </c>
      <c r="B3083">
        <v>5.6569000000000003</v>
      </c>
      <c r="C3083">
        <v>1.468474E-3</v>
      </c>
    </row>
    <row r="3084" spans="1:3" x14ac:dyDescent="0.15">
      <c r="A3084" t="s">
        <v>887</v>
      </c>
      <c r="B3084">
        <v>8</v>
      </c>
      <c r="C3084">
        <v>1.1999070000000001E-3</v>
      </c>
    </row>
    <row r="3085" spans="1:3" x14ac:dyDescent="0.15">
      <c r="A3085" t="s">
        <v>887</v>
      </c>
      <c r="B3085">
        <v>11.313700000000001</v>
      </c>
      <c r="C3085">
        <v>8.65262E-4</v>
      </c>
    </row>
    <row r="3086" spans="1:3" x14ac:dyDescent="0.15">
      <c r="A3086" t="s">
        <v>887</v>
      </c>
      <c r="B3086">
        <v>16</v>
      </c>
      <c r="C3086">
        <v>6.7388799999999998E-4</v>
      </c>
    </row>
    <row r="3087" spans="1:3" x14ac:dyDescent="0.15">
      <c r="A3087" t="s">
        <v>887</v>
      </c>
      <c r="B3087">
        <v>22.627400000000002</v>
      </c>
      <c r="C3087">
        <v>4.9878800000000001E-4</v>
      </c>
    </row>
    <row r="3088" spans="1:3" x14ac:dyDescent="0.15">
      <c r="A3088" t="s">
        <v>887</v>
      </c>
      <c r="B3088">
        <v>32</v>
      </c>
      <c r="C3088">
        <v>4.52528E-4</v>
      </c>
    </row>
    <row r="3089" spans="1:3" x14ac:dyDescent="0.15">
      <c r="A3089" t="s">
        <v>887</v>
      </c>
      <c r="B3089">
        <v>45.254800000000003</v>
      </c>
      <c r="C3089">
        <v>4.9945299999999996E-4</v>
      </c>
    </row>
    <row r="3090" spans="1:3" x14ac:dyDescent="0.15">
      <c r="A3090" t="s">
        <v>887</v>
      </c>
      <c r="B3090">
        <v>64</v>
      </c>
      <c r="C3090">
        <v>6.0587E-4</v>
      </c>
    </row>
    <row r="3091" spans="1:3" x14ac:dyDescent="0.15">
      <c r="A3091" t="s">
        <v>887</v>
      </c>
      <c r="B3091">
        <v>90.509699999999995</v>
      </c>
      <c r="C3091">
        <v>8.3090200000000001E-4</v>
      </c>
    </row>
    <row r="3092" spans="1:3" x14ac:dyDescent="0.15">
      <c r="A3092" t="s">
        <v>887</v>
      </c>
      <c r="B3092">
        <v>128</v>
      </c>
      <c r="C3092">
        <v>8.5490000000000002E-4</v>
      </c>
    </row>
    <row r="3093" spans="1:3" x14ac:dyDescent="0.15">
      <c r="A3093" t="s">
        <v>887</v>
      </c>
      <c r="B3093">
        <v>181.01929999999999</v>
      </c>
      <c r="C3093">
        <v>4.3562000000000001E-4</v>
      </c>
    </row>
    <row r="3094" spans="1:3" x14ac:dyDescent="0.15">
      <c r="A3094" t="s">
        <v>887</v>
      </c>
      <c r="B3094">
        <v>256</v>
      </c>
      <c r="C3094">
        <v>6.6966999999999998E-5</v>
      </c>
    </row>
    <row r="3095" spans="1:3" x14ac:dyDescent="0.15">
      <c r="A3095" t="s">
        <v>887</v>
      </c>
      <c r="B3095">
        <v>362.03870000000001</v>
      </c>
      <c r="C3095">
        <v>1.249E-6</v>
      </c>
    </row>
    <row r="3096" spans="1:3" x14ac:dyDescent="0.15">
      <c r="A3096" t="s">
        <v>887</v>
      </c>
      <c r="B3096">
        <v>512</v>
      </c>
      <c r="C3096">
        <v>0</v>
      </c>
    </row>
    <row r="3097" spans="1:3" x14ac:dyDescent="0.15">
      <c r="A3097" t="s">
        <v>887</v>
      </c>
      <c r="B3097">
        <v>724.07730000000004</v>
      </c>
      <c r="C3097">
        <v>0</v>
      </c>
    </row>
    <row r="3098" spans="1:3" x14ac:dyDescent="0.15">
      <c r="A3098" t="s">
        <v>888</v>
      </c>
      <c r="B3098">
        <v>2</v>
      </c>
      <c r="C3098">
        <v>8.7818800000000002E-4</v>
      </c>
    </row>
    <row r="3099" spans="1:3" x14ac:dyDescent="0.15">
      <c r="A3099" t="s">
        <v>888</v>
      </c>
      <c r="B3099">
        <v>2.8283999999999998</v>
      </c>
      <c r="C3099">
        <v>1.1466390000000001E-3</v>
      </c>
    </row>
    <row r="3100" spans="1:3" x14ac:dyDescent="0.15">
      <c r="A3100" t="s">
        <v>888</v>
      </c>
      <c r="B3100">
        <v>4</v>
      </c>
      <c r="C3100">
        <v>1.2817029999999999E-3</v>
      </c>
    </row>
    <row r="3101" spans="1:3" x14ac:dyDescent="0.15">
      <c r="A3101" t="s">
        <v>888</v>
      </c>
      <c r="B3101">
        <v>5.6569000000000003</v>
      </c>
      <c r="C3101">
        <v>1.2318889999999999E-3</v>
      </c>
    </row>
    <row r="3102" spans="1:3" x14ac:dyDescent="0.15">
      <c r="A3102" t="s">
        <v>888</v>
      </c>
      <c r="B3102">
        <v>8</v>
      </c>
      <c r="C3102">
        <v>1.205533E-3</v>
      </c>
    </row>
    <row r="3103" spans="1:3" x14ac:dyDescent="0.15">
      <c r="A3103" t="s">
        <v>888</v>
      </c>
      <c r="B3103">
        <v>11.313700000000001</v>
      </c>
      <c r="C3103">
        <v>9.9816199999999992E-4</v>
      </c>
    </row>
    <row r="3104" spans="1:3" x14ac:dyDescent="0.15">
      <c r="A3104" t="s">
        <v>888</v>
      </c>
      <c r="B3104">
        <v>16</v>
      </c>
      <c r="C3104">
        <v>8.9270400000000002E-4</v>
      </c>
    </row>
    <row r="3105" spans="1:3" x14ac:dyDescent="0.15">
      <c r="A3105" t="s">
        <v>888</v>
      </c>
      <c r="B3105">
        <v>22.627400000000002</v>
      </c>
      <c r="C3105">
        <v>1.1652839999999999E-3</v>
      </c>
    </row>
    <row r="3106" spans="1:3" x14ac:dyDescent="0.15">
      <c r="A3106" t="s">
        <v>888</v>
      </c>
      <c r="B3106">
        <v>32</v>
      </c>
      <c r="C3106">
        <v>1.6516619999999999E-3</v>
      </c>
    </row>
    <row r="3107" spans="1:3" x14ac:dyDescent="0.15">
      <c r="A3107" t="s">
        <v>888</v>
      </c>
      <c r="B3107">
        <v>45.254800000000003</v>
      </c>
      <c r="C3107">
        <v>2.0899899999999999E-3</v>
      </c>
    </row>
    <row r="3108" spans="1:3" x14ac:dyDescent="0.15">
      <c r="A3108" t="s">
        <v>888</v>
      </c>
      <c r="B3108">
        <v>64</v>
      </c>
      <c r="C3108">
        <v>1.8726540000000001E-3</v>
      </c>
    </row>
    <row r="3109" spans="1:3" x14ac:dyDescent="0.15">
      <c r="A3109" t="s">
        <v>888</v>
      </c>
      <c r="B3109">
        <v>90.509699999999995</v>
      </c>
      <c r="C3109">
        <v>8.82883E-4</v>
      </c>
    </row>
    <row r="3110" spans="1:3" x14ac:dyDescent="0.15">
      <c r="A3110" t="s">
        <v>888</v>
      </c>
      <c r="B3110">
        <v>128</v>
      </c>
      <c r="C3110">
        <v>3.2956899999999999E-4</v>
      </c>
    </row>
    <row r="3111" spans="1:3" x14ac:dyDescent="0.15">
      <c r="A3111" t="s">
        <v>888</v>
      </c>
      <c r="B3111">
        <v>181.01929999999999</v>
      </c>
      <c r="C3111">
        <v>1.71254E-4</v>
      </c>
    </row>
    <row r="3112" spans="1:3" x14ac:dyDescent="0.15">
      <c r="A3112" t="s">
        <v>888</v>
      </c>
      <c r="B3112">
        <v>256</v>
      </c>
      <c r="C3112">
        <v>2.641E-5</v>
      </c>
    </row>
    <row r="3113" spans="1:3" x14ac:dyDescent="0.15">
      <c r="A3113" t="s">
        <v>888</v>
      </c>
      <c r="B3113">
        <v>362.03870000000001</v>
      </c>
      <c r="C3113">
        <v>4.9299999999999998E-7</v>
      </c>
    </row>
    <row r="3114" spans="1:3" x14ac:dyDescent="0.15">
      <c r="A3114" t="s">
        <v>888</v>
      </c>
      <c r="B3114">
        <v>512</v>
      </c>
      <c r="C3114">
        <v>0</v>
      </c>
    </row>
    <row r="3115" spans="1:3" x14ac:dyDescent="0.15">
      <c r="A3115" t="s">
        <v>888</v>
      </c>
      <c r="B3115">
        <v>724.07730000000004</v>
      </c>
      <c r="C3115">
        <v>0</v>
      </c>
    </row>
    <row r="3116" spans="1:3" x14ac:dyDescent="0.15">
      <c r="A3116" t="s">
        <v>888</v>
      </c>
      <c r="B3116">
        <v>2</v>
      </c>
      <c r="C3116">
        <v>1.0065919999999999E-3</v>
      </c>
    </row>
    <row r="3117" spans="1:3" x14ac:dyDescent="0.15">
      <c r="A3117" t="s">
        <v>888</v>
      </c>
      <c r="B3117">
        <v>2.8283999999999998</v>
      </c>
      <c r="C3117">
        <v>1.312061E-3</v>
      </c>
    </row>
    <row r="3118" spans="1:3" x14ac:dyDescent="0.15">
      <c r="A3118" t="s">
        <v>888</v>
      </c>
      <c r="B3118">
        <v>4</v>
      </c>
      <c r="C3118">
        <v>1.4657439999999999E-3</v>
      </c>
    </row>
    <row r="3119" spans="1:3" x14ac:dyDescent="0.15">
      <c r="A3119" t="s">
        <v>888</v>
      </c>
      <c r="B3119">
        <v>5.6569000000000003</v>
      </c>
      <c r="C3119">
        <v>1.4114450000000001E-3</v>
      </c>
    </row>
    <row r="3120" spans="1:3" x14ac:dyDescent="0.15">
      <c r="A3120" t="s">
        <v>888</v>
      </c>
      <c r="B3120">
        <v>8</v>
      </c>
      <c r="C3120">
        <v>1.3837179999999999E-3</v>
      </c>
    </row>
    <row r="3121" spans="1:3" x14ac:dyDescent="0.15">
      <c r="A3121" t="s">
        <v>888</v>
      </c>
      <c r="B3121">
        <v>11.313700000000001</v>
      </c>
      <c r="C3121">
        <v>1.146935E-3</v>
      </c>
    </row>
    <row r="3122" spans="1:3" x14ac:dyDescent="0.15">
      <c r="A3122" t="s">
        <v>888</v>
      </c>
      <c r="B3122">
        <v>16</v>
      </c>
      <c r="C3122">
        <v>1.0252970000000001E-3</v>
      </c>
    </row>
    <row r="3123" spans="1:3" x14ac:dyDescent="0.15">
      <c r="A3123" t="s">
        <v>888</v>
      </c>
      <c r="B3123">
        <v>22.627400000000002</v>
      </c>
      <c r="C3123">
        <v>1.3375629999999999E-3</v>
      </c>
    </row>
    <row r="3124" spans="1:3" x14ac:dyDescent="0.15">
      <c r="A3124" t="s">
        <v>888</v>
      </c>
      <c r="B3124">
        <v>32</v>
      </c>
      <c r="C3124">
        <v>1.8991850000000001E-3</v>
      </c>
    </row>
    <row r="3125" spans="1:3" x14ac:dyDescent="0.15">
      <c r="A3125" t="s">
        <v>888</v>
      </c>
      <c r="B3125">
        <v>45.254800000000003</v>
      </c>
      <c r="C3125">
        <v>2.4021210000000001E-3</v>
      </c>
    </row>
    <row r="3126" spans="1:3" x14ac:dyDescent="0.15">
      <c r="A3126" t="s">
        <v>888</v>
      </c>
      <c r="B3126">
        <v>64</v>
      </c>
      <c r="C3126">
        <v>2.1495910000000002E-3</v>
      </c>
    </row>
    <row r="3127" spans="1:3" x14ac:dyDescent="0.15">
      <c r="A3127" t="s">
        <v>888</v>
      </c>
      <c r="B3127">
        <v>90.509699999999995</v>
      </c>
      <c r="C3127">
        <v>1.0099309999999999E-3</v>
      </c>
    </row>
    <row r="3128" spans="1:3" x14ac:dyDescent="0.15">
      <c r="A3128" t="s">
        <v>888</v>
      </c>
      <c r="B3128">
        <v>128</v>
      </c>
      <c r="C3128">
        <v>3.69914E-4</v>
      </c>
    </row>
    <row r="3129" spans="1:3" x14ac:dyDescent="0.15">
      <c r="A3129" t="s">
        <v>888</v>
      </c>
      <c r="B3129">
        <v>181.01929999999999</v>
      </c>
      <c r="C3129">
        <v>1.9273200000000001E-4</v>
      </c>
    </row>
    <row r="3130" spans="1:3" x14ac:dyDescent="0.15">
      <c r="A3130" t="s">
        <v>888</v>
      </c>
      <c r="B3130">
        <v>256</v>
      </c>
      <c r="C3130">
        <v>2.9730000000000002E-5</v>
      </c>
    </row>
    <row r="3131" spans="1:3" x14ac:dyDescent="0.15">
      <c r="A3131" t="s">
        <v>888</v>
      </c>
      <c r="B3131">
        <v>362.03870000000001</v>
      </c>
      <c r="C3131">
        <v>5.5400000000000001E-7</v>
      </c>
    </row>
    <row r="3132" spans="1:3" x14ac:dyDescent="0.15">
      <c r="A3132" t="s">
        <v>888</v>
      </c>
      <c r="B3132">
        <v>512</v>
      </c>
      <c r="C3132">
        <v>0</v>
      </c>
    </row>
    <row r="3133" spans="1:3" x14ac:dyDescent="0.15">
      <c r="A3133" t="s">
        <v>888</v>
      </c>
      <c r="B3133">
        <v>724.07730000000004</v>
      </c>
      <c r="C3133">
        <v>0</v>
      </c>
    </row>
    <row r="3134" spans="1:3" x14ac:dyDescent="0.15">
      <c r="A3134" t="s">
        <v>889</v>
      </c>
      <c r="B3134">
        <v>2</v>
      </c>
      <c r="C3134">
        <v>1.115507E-3</v>
      </c>
    </row>
    <row r="3135" spans="1:3" x14ac:dyDescent="0.15">
      <c r="A3135" t="s">
        <v>889</v>
      </c>
      <c r="B3135">
        <v>2.8283999999999998</v>
      </c>
      <c r="C3135">
        <v>1.3974390000000001E-3</v>
      </c>
    </row>
    <row r="3136" spans="1:3" x14ac:dyDescent="0.15">
      <c r="A3136" t="s">
        <v>889</v>
      </c>
      <c r="B3136">
        <v>4</v>
      </c>
      <c r="C3136">
        <v>1.5704060000000001E-3</v>
      </c>
    </row>
    <row r="3137" spans="1:3" x14ac:dyDescent="0.15">
      <c r="A3137" t="s">
        <v>889</v>
      </c>
      <c r="B3137">
        <v>5.6569000000000003</v>
      </c>
      <c r="C3137">
        <v>1.497588E-3</v>
      </c>
    </row>
    <row r="3138" spans="1:3" x14ac:dyDescent="0.15">
      <c r="A3138" t="s">
        <v>889</v>
      </c>
      <c r="B3138">
        <v>8</v>
      </c>
      <c r="C3138">
        <v>1.125986E-3</v>
      </c>
    </row>
    <row r="3139" spans="1:3" x14ac:dyDescent="0.15">
      <c r="A3139" t="s">
        <v>889</v>
      </c>
      <c r="B3139">
        <v>11.313700000000001</v>
      </c>
      <c r="C3139">
        <v>8.1523399999999997E-4</v>
      </c>
    </row>
    <row r="3140" spans="1:3" x14ac:dyDescent="0.15">
      <c r="A3140" t="s">
        <v>889</v>
      </c>
      <c r="B3140">
        <v>16</v>
      </c>
      <c r="C3140">
        <v>6.8253699999999999E-4</v>
      </c>
    </row>
    <row r="3141" spans="1:3" x14ac:dyDescent="0.15">
      <c r="A3141" t="s">
        <v>889</v>
      </c>
      <c r="B3141">
        <v>22.627400000000002</v>
      </c>
      <c r="C3141">
        <v>6.4570100000000004E-4</v>
      </c>
    </row>
    <row r="3142" spans="1:3" x14ac:dyDescent="0.15">
      <c r="A3142" t="s">
        <v>889</v>
      </c>
      <c r="B3142">
        <v>32</v>
      </c>
      <c r="C3142">
        <v>7.23006E-4</v>
      </c>
    </row>
    <row r="3143" spans="1:3" x14ac:dyDescent="0.15">
      <c r="A3143" t="s">
        <v>889</v>
      </c>
      <c r="B3143">
        <v>45.254800000000003</v>
      </c>
      <c r="C3143">
        <v>7.82969E-4</v>
      </c>
    </row>
    <row r="3144" spans="1:3" x14ac:dyDescent="0.15">
      <c r="A3144" t="s">
        <v>889</v>
      </c>
      <c r="B3144">
        <v>64</v>
      </c>
      <c r="C3144">
        <v>8.4829100000000004E-4</v>
      </c>
    </row>
    <row r="3145" spans="1:3" x14ac:dyDescent="0.15">
      <c r="A3145" t="s">
        <v>889</v>
      </c>
      <c r="B3145">
        <v>90.509699999999995</v>
      </c>
      <c r="C3145">
        <v>8.6271999999999998E-4</v>
      </c>
    </row>
    <row r="3146" spans="1:3" x14ac:dyDescent="0.15">
      <c r="A3146" t="s">
        <v>889</v>
      </c>
      <c r="B3146">
        <v>128</v>
      </c>
      <c r="C3146">
        <v>7.6744400000000005E-4</v>
      </c>
    </row>
    <row r="3147" spans="1:3" x14ac:dyDescent="0.15">
      <c r="A3147" t="s">
        <v>889</v>
      </c>
      <c r="B3147">
        <v>181.01929999999999</v>
      </c>
      <c r="C3147">
        <v>3.7843300000000001E-4</v>
      </c>
    </row>
    <row r="3148" spans="1:3" x14ac:dyDescent="0.15">
      <c r="A3148" t="s">
        <v>889</v>
      </c>
      <c r="B3148">
        <v>256</v>
      </c>
      <c r="C3148">
        <v>5.7657E-5</v>
      </c>
    </row>
    <row r="3149" spans="1:3" x14ac:dyDescent="0.15">
      <c r="A3149" t="s">
        <v>889</v>
      </c>
      <c r="B3149">
        <v>362.03870000000001</v>
      </c>
      <c r="C3149">
        <v>1.074E-6</v>
      </c>
    </row>
    <row r="3150" spans="1:3" x14ac:dyDescent="0.15">
      <c r="A3150" t="s">
        <v>889</v>
      </c>
      <c r="B3150">
        <v>512</v>
      </c>
      <c r="C3150">
        <v>2.0000000000000001E-9</v>
      </c>
    </row>
    <row r="3151" spans="1:3" x14ac:dyDescent="0.15">
      <c r="A3151" t="s">
        <v>889</v>
      </c>
      <c r="B3151">
        <v>724.07730000000004</v>
      </c>
      <c r="C3151">
        <v>0</v>
      </c>
    </row>
    <row r="3152" spans="1:3" x14ac:dyDescent="0.15">
      <c r="A3152" t="s">
        <v>890</v>
      </c>
      <c r="B3152">
        <v>2</v>
      </c>
      <c r="C3152">
        <v>1.0185750000000001E-3</v>
      </c>
    </row>
    <row r="3153" spans="1:3" x14ac:dyDescent="0.15">
      <c r="A3153" t="s">
        <v>890</v>
      </c>
      <c r="B3153">
        <v>2.8283999999999998</v>
      </c>
      <c r="C3153">
        <v>1.1399579999999999E-3</v>
      </c>
    </row>
    <row r="3154" spans="1:3" x14ac:dyDescent="0.15">
      <c r="A3154" t="s">
        <v>890</v>
      </c>
      <c r="B3154">
        <v>4</v>
      </c>
      <c r="C3154">
        <v>1.264315E-3</v>
      </c>
    </row>
    <row r="3155" spans="1:3" x14ac:dyDescent="0.15">
      <c r="A3155" t="s">
        <v>890</v>
      </c>
      <c r="B3155">
        <v>5.6569000000000003</v>
      </c>
      <c r="C3155">
        <v>1.30024E-3</v>
      </c>
    </row>
    <row r="3156" spans="1:3" x14ac:dyDescent="0.15">
      <c r="A3156" t="s">
        <v>890</v>
      </c>
      <c r="B3156">
        <v>8</v>
      </c>
      <c r="C3156">
        <v>1.2001169999999999E-3</v>
      </c>
    </row>
    <row r="3157" spans="1:3" x14ac:dyDescent="0.15">
      <c r="A3157" t="s">
        <v>890</v>
      </c>
      <c r="B3157">
        <v>11.313700000000001</v>
      </c>
      <c r="C3157">
        <v>1.0634450000000001E-3</v>
      </c>
    </row>
    <row r="3158" spans="1:3" x14ac:dyDescent="0.15">
      <c r="A3158" t="s">
        <v>890</v>
      </c>
      <c r="B3158">
        <v>16</v>
      </c>
      <c r="C3158">
        <v>9.7333000000000001E-4</v>
      </c>
    </row>
    <row r="3159" spans="1:3" x14ac:dyDescent="0.15">
      <c r="A3159" t="s">
        <v>890</v>
      </c>
      <c r="B3159">
        <v>22.627400000000002</v>
      </c>
      <c r="C3159">
        <v>8.6370100000000003E-4</v>
      </c>
    </row>
    <row r="3160" spans="1:3" x14ac:dyDescent="0.15">
      <c r="A3160" t="s">
        <v>890</v>
      </c>
      <c r="B3160">
        <v>32</v>
      </c>
      <c r="C3160">
        <v>6.3117800000000003E-4</v>
      </c>
    </row>
    <row r="3161" spans="1:3" x14ac:dyDescent="0.15">
      <c r="A3161" t="s">
        <v>890</v>
      </c>
      <c r="B3161">
        <v>45.254800000000003</v>
      </c>
      <c r="C3161">
        <v>5.1022000000000003E-4</v>
      </c>
    </row>
    <row r="3162" spans="1:3" x14ac:dyDescent="0.15">
      <c r="A3162" t="s">
        <v>890</v>
      </c>
      <c r="B3162">
        <v>64</v>
      </c>
      <c r="C3162">
        <v>5.3868700000000004E-4</v>
      </c>
    </row>
    <row r="3163" spans="1:3" x14ac:dyDescent="0.15">
      <c r="A3163" t="s">
        <v>890</v>
      </c>
      <c r="B3163">
        <v>90.509699999999995</v>
      </c>
      <c r="C3163">
        <v>4.88173E-4</v>
      </c>
    </row>
    <row r="3164" spans="1:3" x14ac:dyDescent="0.15">
      <c r="A3164" t="s">
        <v>890</v>
      </c>
      <c r="B3164">
        <v>128</v>
      </c>
      <c r="C3164">
        <v>4.2499699999999998E-4</v>
      </c>
    </row>
    <row r="3165" spans="1:3" x14ac:dyDescent="0.15">
      <c r="A3165" t="s">
        <v>890</v>
      </c>
      <c r="B3165">
        <v>181.01929999999999</v>
      </c>
      <c r="C3165">
        <v>2.1354800000000001E-4</v>
      </c>
    </row>
    <row r="3166" spans="1:3" x14ac:dyDescent="0.15">
      <c r="A3166" t="s">
        <v>890</v>
      </c>
      <c r="B3166">
        <v>256</v>
      </c>
      <c r="C3166">
        <v>3.2796999999999998E-5</v>
      </c>
    </row>
    <row r="3167" spans="1:3" x14ac:dyDescent="0.15">
      <c r="A3167" t="s">
        <v>890</v>
      </c>
      <c r="B3167">
        <v>362.03870000000001</v>
      </c>
      <c r="C3167">
        <v>6.1200000000000003E-7</v>
      </c>
    </row>
    <row r="3168" spans="1:3" x14ac:dyDescent="0.15">
      <c r="A3168" t="s">
        <v>890</v>
      </c>
      <c r="B3168">
        <v>512</v>
      </c>
      <c r="C3168">
        <v>0</v>
      </c>
    </row>
    <row r="3169" spans="1:3" x14ac:dyDescent="0.15">
      <c r="A3169" t="s">
        <v>890</v>
      </c>
      <c r="B3169">
        <v>724.07730000000004</v>
      </c>
      <c r="C3169">
        <v>0</v>
      </c>
    </row>
    <row r="3170" spans="1:3" x14ac:dyDescent="0.15">
      <c r="A3170" t="s">
        <v>891</v>
      </c>
      <c r="B3170">
        <v>2</v>
      </c>
      <c r="C3170">
        <v>1.127498E-3</v>
      </c>
    </row>
    <row r="3171" spans="1:3" x14ac:dyDescent="0.15">
      <c r="A3171" t="s">
        <v>891</v>
      </c>
      <c r="B3171">
        <v>2.8283999999999998</v>
      </c>
      <c r="C3171">
        <v>1.3360830000000001E-3</v>
      </c>
    </row>
    <row r="3172" spans="1:3" x14ac:dyDescent="0.15">
      <c r="A3172" t="s">
        <v>891</v>
      </c>
      <c r="B3172">
        <v>4</v>
      </c>
      <c r="C3172">
        <v>1.4454450000000001E-3</v>
      </c>
    </row>
    <row r="3173" spans="1:3" x14ac:dyDescent="0.15">
      <c r="A3173" t="s">
        <v>891</v>
      </c>
      <c r="B3173">
        <v>5.6569000000000003</v>
      </c>
      <c r="C3173">
        <v>1.3977639999999999E-3</v>
      </c>
    </row>
    <row r="3174" spans="1:3" x14ac:dyDescent="0.15">
      <c r="A3174" t="s">
        <v>891</v>
      </c>
      <c r="B3174">
        <v>8</v>
      </c>
      <c r="C3174">
        <v>1.2267249999999999E-3</v>
      </c>
    </row>
    <row r="3175" spans="1:3" x14ac:dyDescent="0.15">
      <c r="A3175" t="s">
        <v>891</v>
      </c>
      <c r="B3175">
        <v>11.313700000000001</v>
      </c>
      <c r="C3175">
        <v>1.0697549999999999E-3</v>
      </c>
    </row>
    <row r="3176" spans="1:3" x14ac:dyDescent="0.15">
      <c r="A3176" t="s">
        <v>891</v>
      </c>
      <c r="B3176">
        <v>16</v>
      </c>
      <c r="C3176">
        <v>9.4603600000000003E-4</v>
      </c>
    </row>
    <row r="3177" spans="1:3" x14ac:dyDescent="0.15">
      <c r="A3177" t="s">
        <v>891</v>
      </c>
      <c r="B3177">
        <v>22.627400000000002</v>
      </c>
      <c r="C3177">
        <v>7.4557699999999998E-4</v>
      </c>
    </row>
    <row r="3178" spans="1:3" x14ac:dyDescent="0.15">
      <c r="A3178" t="s">
        <v>891</v>
      </c>
      <c r="B3178">
        <v>32</v>
      </c>
      <c r="C3178">
        <v>6.0696700000000003E-4</v>
      </c>
    </row>
    <row r="3179" spans="1:3" x14ac:dyDescent="0.15">
      <c r="A3179" t="s">
        <v>891</v>
      </c>
      <c r="B3179">
        <v>45.254800000000003</v>
      </c>
      <c r="C3179">
        <v>5.9276100000000003E-4</v>
      </c>
    </row>
    <row r="3180" spans="1:3" x14ac:dyDescent="0.15">
      <c r="A3180" t="s">
        <v>891</v>
      </c>
      <c r="B3180">
        <v>64</v>
      </c>
      <c r="C3180">
        <v>6.2798800000000001E-4</v>
      </c>
    </row>
    <row r="3181" spans="1:3" x14ac:dyDescent="0.15">
      <c r="A3181" t="s">
        <v>891</v>
      </c>
      <c r="B3181">
        <v>90.509699999999995</v>
      </c>
      <c r="C3181">
        <v>6.0800999999999997E-4</v>
      </c>
    </row>
    <row r="3182" spans="1:3" x14ac:dyDescent="0.15">
      <c r="A3182" t="s">
        <v>891</v>
      </c>
      <c r="B3182">
        <v>128</v>
      </c>
      <c r="C3182">
        <v>5.4655700000000003E-4</v>
      </c>
    </row>
    <row r="3183" spans="1:3" x14ac:dyDescent="0.15">
      <c r="A3183" t="s">
        <v>891</v>
      </c>
      <c r="B3183">
        <v>181.01929999999999</v>
      </c>
      <c r="C3183">
        <v>2.7381399999999999E-4</v>
      </c>
    </row>
    <row r="3184" spans="1:3" x14ac:dyDescent="0.15">
      <c r="A3184" t="s">
        <v>891</v>
      </c>
      <c r="B3184">
        <v>256</v>
      </c>
      <c r="C3184">
        <v>4.2067000000000002E-5</v>
      </c>
    </row>
    <row r="3185" spans="1:3" x14ac:dyDescent="0.15">
      <c r="A3185" t="s">
        <v>891</v>
      </c>
      <c r="B3185">
        <v>362.03870000000001</v>
      </c>
      <c r="C3185">
        <v>7.85E-7</v>
      </c>
    </row>
    <row r="3186" spans="1:3" x14ac:dyDescent="0.15">
      <c r="A3186" t="s">
        <v>891</v>
      </c>
      <c r="B3186">
        <v>512</v>
      </c>
      <c r="C3186">
        <v>0</v>
      </c>
    </row>
    <row r="3187" spans="1:3" x14ac:dyDescent="0.15">
      <c r="A3187" t="s">
        <v>891</v>
      </c>
      <c r="B3187">
        <v>724.07730000000004</v>
      </c>
      <c r="C3187">
        <v>0</v>
      </c>
    </row>
    <row r="3188" spans="1:3" x14ac:dyDescent="0.15">
      <c r="A3188" t="s">
        <v>892</v>
      </c>
      <c r="B3188">
        <v>2</v>
      </c>
      <c r="C3188">
        <v>1.5839960000000001E-3</v>
      </c>
    </row>
    <row r="3189" spans="1:3" x14ac:dyDescent="0.15">
      <c r="A3189" t="s">
        <v>892</v>
      </c>
      <c r="B3189">
        <v>2.8283999999999998</v>
      </c>
      <c r="C3189">
        <v>1.938936E-3</v>
      </c>
    </row>
    <row r="3190" spans="1:3" x14ac:dyDescent="0.15">
      <c r="A3190" t="s">
        <v>892</v>
      </c>
      <c r="B3190">
        <v>4</v>
      </c>
      <c r="C3190">
        <v>2.2764600000000001E-3</v>
      </c>
    </row>
    <row r="3191" spans="1:3" x14ac:dyDescent="0.15">
      <c r="A3191" t="s">
        <v>892</v>
      </c>
      <c r="B3191">
        <v>5.6569000000000003</v>
      </c>
      <c r="C3191">
        <v>2.5325759999999999E-3</v>
      </c>
    </row>
    <row r="3192" spans="1:3" x14ac:dyDescent="0.15">
      <c r="A3192" t="s">
        <v>892</v>
      </c>
      <c r="B3192">
        <v>8</v>
      </c>
      <c r="C3192">
        <v>2.524887E-3</v>
      </c>
    </row>
    <row r="3193" spans="1:3" x14ac:dyDescent="0.15">
      <c r="A3193" t="s">
        <v>892</v>
      </c>
      <c r="B3193">
        <v>11.313700000000001</v>
      </c>
      <c r="C3193">
        <v>2.245623E-3</v>
      </c>
    </row>
    <row r="3194" spans="1:3" x14ac:dyDescent="0.15">
      <c r="A3194" t="s">
        <v>892</v>
      </c>
      <c r="B3194">
        <v>16</v>
      </c>
      <c r="C3194">
        <v>1.7047080000000001E-3</v>
      </c>
    </row>
    <row r="3195" spans="1:3" x14ac:dyDescent="0.15">
      <c r="A3195" t="s">
        <v>892</v>
      </c>
      <c r="B3195">
        <v>22.627400000000002</v>
      </c>
      <c r="C3195">
        <v>1.0887309999999999E-3</v>
      </c>
    </row>
    <row r="3196" spans="1:3" x14ac:dyDescent="0.15">
      <c r="A3196" t="s">
        <v>892</v>
      </c>
      <c r="B3196">
        <v>32</v>
      </c>
      <c r="C3196">
        <v>1.1447370000000001E-3</v>
      </c>
    </row>
    <row r="3197" spans="1:3" x14ac:dyDescent="0.15">
      <c r="A3197" t="s">
        <v>892</v>
      </c>
      <c r="B3197">
        <v>45.254800000000003</v>
      </c>
      <c r="C3197">
        <v>1.5514120000000001E-3</v>
      </c>
    </row>
    <row r="3198" spans="1:3" x14ac:dyDescent="0.15">
      <c r="A3198" t="s">
        <v>892</v>
      </c>
      <c r="B3198">
        <v>64</v>
      </c>
      <c r="C3198">
        <v>1.6218490000000001E-3</v>
      </c>
    </row>
    <row r="3199" spans="1:3" x14ac:dyDescent="0.15">
      <c r="A3199" t="s">
        <v>892</v>
      </c>
      <c r="B3199">
        <v>90.509699999999995</v>
      </c>
      <c r="C3199">
        <v>1.105218E-3</v>
      </c>
    </row>
    <row r="3200" spans="1:3" x14ac:dyDescent="0.15">
      <c r="A3200" t="s">
        <v>892</v>
      </c>
      <c r="B3200">
        <v>128</v>
      </c>
      <c r="C3200">
        <v>8.0392899999999999E-4</v>
      </c>
    </row>
    <row r="3201" spans="1:3" x14ac:dyDescent="0.15">
      <c r="A3201" t="s">
        <v>892</v>
      </c>
      <c r="B3201">
        <v>181.01929999999999</v>
      </c>
      <c r="C3201">
        <v>4.03576E-4</v>
      </c>
    </row>
    <row r="3202" spans="1:3" x14ac:dyDescent="0.15">
      <c r="A3202" t="s">
        <v>892</v>
      </c>
      <c r="B3202">
        <v>256</v>
      </c>
      <c r="C3202">
        <v>6.1956000000000001E-5</v>
      </c>
    </row>
    <row r="3203" spans="1:3" x14ac:dyDescent="0.15">
      <c r="A3203" t="s">
        <v>892</v>
      </c>
      <c r="B3203">
        <v>362.03870000000001</v>
      </c>
      <c r="C3203">
        <v>1.155E-6</v>
      </c>
    </row>
    <row r="3204" spans="1:3" x14ac:dyDescent="0.15">
      <c r="A3204" t="s">
        <v>892</v>
      </c>
      <c r="B3204">
        <v>512</v>
      </c>
      <c r="C3204">
        <v>0</v>
      </c>
    </row>
    <row r="3205" spans="1:3" x14ac:dyDescent="0.15">
      <c r="A3205" t="s">
        <v>892</v>
      </c>
      <c r="B3205">
        <v>724.07730000000004</v>
      </c>
      <c r="C3205">
        <v>0</v>
      </c>
    </row>
    <row r="3206" spans="1:3" x14ac:dyDescent="0.15">
      <c r="A3206" t="s">
        <v>893</v>
      </c>
      <c r="B3206">
        <v>2</v>
      </c>
      <c r="C3206">
        <v>1.228229E-3</v>
      </c>
    </row>
    <row r="3207" spans="1:3" x14ac:dyDescent="0.15">
      <c r="A3207" t="s">
        <v>893</v>
      </c>
      <c r="B3207">
        <v>2.8283999999999998</v>
      </c>
      <c r="C3207">
        <v>1.680866E-3</v>
      </c>
    </row>
    <row r="3208" spans="1:3" x14ac:dyDescent="0.15">
      <c r="A3208" t="s">
        <v>893</v>
      </c>
      <c r="B3208">
        <v>4</v>
      </c>
      <c r="C3208">
        <v>1.8184329999999999E-3</v>
      </c>
    </row>
    <row r="3209" spans="1:3" x14ac:dyDescent="0.15">
      <c r="A3209" t="s">
        <v>893</v>
      </c>
      <c r="B3209">
        <v>5.6569000000000003</v>
      </c>
      <c r="C3209">
        <v>1.30908E-3</v>
      </c>
    </row>
    <row r="3210" spans="1:3" x14ac:dyDescent="0.15">
      <c r="A3210" t="s">
        <v>893</v>
      </c>
      <c r="B3210">
        <v>8</v>
      </c>
      <c r="C3210">
        <v>8.2982300000000004E-4</v>
      </c>
    </row>
    <row r="3211" spans="1:3" x14ac:dyDescent="0.15">
      <c r="A3211" t="s">
        <v>893</v>
      </c>
      <c r="B3211">
        <v>11.313700000000001</v>
      </c>
      <c r="C3211">
        <v>8.1442199999999998E-4</v>
      </c>
    </row>
    <row r="3212" spans="1:3" x14ac:dyDescent="0.15">
      <c r="A3212" t="s">
        <v>893</v>
      </c>
      <c r="B3212">
        <v>16</v>
      </c>
      <c r="C3212">
        <v>8.74565E-4</v>
      </c>
    </row>
    <row r="3213" spans="1:3" x14ac:dyDescent="0.15">
      <c r="A3213" t="s">
        <v>893</v>
      </c>
      <c r="B3213">
        <v>22.627400000000002</v>
      </c>
      <c r="C3213">
        <v>1.08412E-3</v>
      </c>
    </row>
    <row r="3214" spans="1:3" x14ac:dyDescent="0.15">
      <c r="A3214" t="s">
        <v>893</v>
      </c>
      <c r="B3214">
        <v>32</v>
      </c>
      <c r="C3214">
        <v>1.37874E-3</v>
      </c>
    </row>
    <row r="3215" spans="1:3" x14ac:dyDescent="0.15">
      <c r="A3215" t="s">
        <v>893</v>
      </c>
      <c r="B3215">
        <v>45.254800000000003</v>
      </c>
      <c r="C3215">
        <v>1.7043169999999999E-3</v>
      </c>
    </row>
    <row r="3216" spans="1:3" x14ac:dyDescent="0.15">
      <c r="A3216" t="s">
        <v>893</v>
      </c>
      <c r="B3216">
        <v>64</v>
      </c>
      <c r="C3216">
        <v>1.8988130000000001E-3</v>
      </c>
    </row>
    <row r="3217" spans="1:3" x14ac:dyDescent="0.15">
      <c r="A3217" t="s">
        <v>893</v>
      </c>
      <c r="B3217">
        <v>90.509699999999995</v>
      </c>
      <c r="C3217">
        <v>1.6092420000000001E-3</v>
      </c>
    </row>
    <row r="3218" spans="1:3" x14ac:dyDescent="0.15">
      <c r="A3218" t="s">
        <v>893</v>
      </c>
      <c r="B3218">
        <v>128</v>
      </c>
      <c r="C3218">
        <v>1.3619630000000001E-3</v>
      </c>
    </row>
    <row r="3219" spans="1:3" x14ac:dyDescent="0.15">
      <c r="A3219" t="s">
        <v>893</v>
      </c>
      <c r="B3219">
        <v>181.01929999999999</v>
      </c>
      <c r="C3219">
        <v>6.9305300000000001E-4</v>
      </c>
    </row>
    <row r="3220" spans="1:3" x14ac:dyDescent="0.15">
      <c r="A3220" t="s">
        <v>893</v>
      </c>
      <c r="B3220">
        <v>256</v>
      </c>
      <c r="C3220">
        <v>1.0697899999999999E-4</v>
      </c>
    </row>
    <row r="3221" spans="1:3" x14ac:dyDescent="0.15">
      <c r="A3221" t="s">
        <v>893</v>
      </c>
      <c r="B3221">
        <v>362.03870000000001</v>
      </c>
      <c r="C3221">
        <v>1.9970000000000001E-6</v>
      </c>
    </row>
    <row r="3222" spans="1:3" x14ac:dyDescent="0.15">
      <c r="A3222" t="s">
        <v>893</v>
      </c>
      <c r="B3222">
        <v>512</v>
      </c>
      <c r="C3222">
        <v>2.0000000000000001E-9</v>
      </c>
    </row>
    <row r="3223" spans="1:3" x14ac:dyDescent="0.15">
      <c r="A3223" t="s">
        <v>893</v>
      </c>
      <c r="B3223">
        <v>724.07730000000004</v>
      </c>
      <c r="C3223">
        <v>0</v>
      </c>
    </row>
    <row r="3224" spans="1:3" x14ac:dyDescent="0.15">
      <c r="A3224" t="s">
        <v>894</v>
      </c>
      <c r="B3224">
        <v>2</v>
      </c>
      <c r="C3224">
        <v>4.9776099999999999E-4</v>
      </c>
    </row>
    <row r="3225" spans="1:3" x14ac:dyDescent="0.15">
      <c r="A3225" t="s">
        <v>894</v>
      </c>
      <c r="B3225">
        <v>2.8283999999999998</v>
      </c>
      <c r="C3225">
        <v>5.52725E-4</v>
      </c>
    </row>
    <row r="3226" spans="1:3" x14ac:dyDescent="0.15">
      <c r="A3226" t="s">
        <v>894</v>
      </c>
      <c r="B3226">
        <v>4</v>
      </c>
      <c r="C3226">
        <v>6.1293999999999997E-4</v>
      </c>
    </row>
    <row r="3227" spans="1:3" x14ac:dyDescent="0.15">
      <c r="A3227" t="s">
        <v>894</v>
      </c>
      <c r="B3227">
        <v>5.6569000000000003</v>
      </c>
      <c r="C3227">
        <v>6.2431900000000002E-4</v>
      </c>
    </row>
    <row r="3228" spans="1:3" x14ac:dyDescent="0.15">
      <c r="A3228" t="s">
        <v>894</v>
      </c>
      <c r="B3228">
        <v>8</v>
      </c>
      <c r="C3228">
        <v>5.8996099999999996E-4</v>
      </c>
    </row>
    <row r="3229" spans="1:3" x14ac:dyDescent="0.15">
      <c r="A3229" t="s">
        <v>894</v>
      </c>
      <c r="B3229">
        <v>11.313700000000001</v>
      </c>
      <c r="C3229">
        <v>5.5690999999999998E-4</v>
      </c>
    </row>
    <row r="3230" spans="1:3" x14ac:dyDescent="0.15">
      <c r="A3230" t="s">
        <v>894</v>
      </c>
      <c r="B3230">
        <v>16</v>
      </c>
      <c r="C3230">
        <v>4.9442699999999997E-4</v>
      </c>
    </row>
    <row r="3231" spans="1:3" x14ac:dyDescent="0.15">
      <c r="A3231" t="s">
        <v>894</v>
      </c>
      <c r="B3231">
        <v>22.627400000000002</v>
      </c>
      <c r="C3231">
        <v>3.9394899999999999E-4</v>
      </c>
    </row>
    <row r="3232" spans="1:3" x14ac:dyDescent="0.15">
      <c r="A3232" t="s">
        <v>894</v>
      </c>
      <c r="B3232">
        <v>32</v>
      </c>
      <c r="C3232">
        <v>2.9458400000000002E-4</v>
      </c>
    </row>
    <row r="3233" spans="1:3" x14ac:dyDescent="0.15">
      <c r="A3233" t="s">
        <v>894</v>
      </c>
      <c r="B3233">
        <v>45.254800000000003</v>
      </c>
      <c r="C3233">
        <v>1.8737499999999999E-4</v>
      </c>
    </row>
    <row r="3234" spans="1:3" x14ac:dyDescent="0.15">
      <c r="A3234" t="s">
        <v>894</v>
      </c>
      <c r="B3234">
        <v>64</v>
      </c>
      <c r="C3234">
        <v>1.0336E-4</v>
      </c>
    </row>
    <row r="3235" spans="1:3" x14ac:dyDescent="0.15">
      <c r="A3235" t="s">
        <v>894</v>
      </c>
      <c r="B3235">
        <v>90.509699999999995</v>
      </c>
      <c r="C3235">
        <v>5.7373000000000001E-5</v>
      </c>
    </row>
    <row r="3236" spans="1:3" x14ac:dyDescent="0.15">
      <c r="A3236" t="s">
        <v>894</v>
      </c>
      <c r="B3236">
        <v>128</v>
      </c>
      <c r="C3236">
        <v>2.4332E-5</v>
      </c>
    </row>
    <row r="3237" spans="1:3" x14ac:dyDescent="0.15">
      <c r="A3237" t="s">
        <v>894</v>
      </c>
      <c r="B3237">
        <v>181.01929999999999</v>
      </c>
      <c r="C3237">
        <v>1.0715E-5</v>
      </c>
    </row>
    <row r="3238" spans="1:3" x14ac:dyDescent="0.15">
      <c r="A3238" t="s">
        <v>894</v>
      </c>
      <c r="B3238">
        <v>256</v>
      </c>
      <c r="C3238">
        <v>1.708E-6</v>
      </c>
    </row>
    <row r="3239" spans="1:3" x14ac:dyDescent="0.15">
      <c r="A3239" t="s">
        <v>894</v>
      </c>
      <c r="B3239">
        <v>362.03870000000001</v>
      </c>
      <c r="C3239">
        <v>3.2000000000000002E-8</v>
      </c>
    </row>
    <row r="3240" spans="1:3" x14ac:dyDescent="0.15">
      <c r="A3240" t="s">
        <v>894</v>
      </c>
      <c r="B3240">
        <v>512</v>
      </c>
      <c r="C3240">
        <v>0</v>
      </c>
    </row>
    <row r="3241" spans="1:3" x14ac:dyDescent="0.15">
      <c r="A3241" t="s">
        <v>894</v>
      </c>
      <c r="B3241">
        <v>724.07730000000004</v>
      </c>
      <c r="C3241">
        <v>0</v>
      </c>
    </row>
    <row r="3242" spans="1:3" x14ac:dyDescent="0.15">
      <c r="A3242" t="s">
        <v>895</v>
      </c>
      <c r="B3242">
        <v>2</v>
      </c>
      <c r="C3242">
        <v>9.2183800000000002E-4</v>
      </c>
    </row>
    <row r="3243" spans="1:3" x14ac:dyDescent="0.15">
      <c r="A3243" t="s">
        <v>895</v>
      </c>
      <c r="B3243">
        <v>2.8283999999999998</v>
      </c>
      <c r="C3243">
        <v>1.062227E-3</v>
      </c>
    </row>
    <row r="3244" spans="1:3" x14ac:dyDescent="0.15">
      <c r="A3244" t="s">
        <v>895</v>
      </c>
      <c r="B3244">
        <v>4</v>
      </c>
      <c r="C3244">
        <v>1.200261E-3</v>
      </c>
    </row>
    <row r="3245" spans="1:3" x14ac:dyDescent="0.15">
      <c r="A3245" t="s">
        <v>895</v>
      </c>
      <c r="B3245">
        <v>5.6569000000000003</v>
      </c>
      <c r="C3245">
        <v>1.2309720000000001E-3</v>
      </c>
    </row>
    <row r="3246" spans="1:3" x14ac:dyDescent="0.15">
      <c r="A3246" t="s">
        <v>895</v>
      </c>
      <c r="B3246">
        <v>8</v>
      </c>
      <c r="C3246">
        <v>1.1264280000000001E-3</v>
      </c>
    </row>
    <row r="3247" spans="1:3" x14ac:dyDescent="0.15">
      <c r="A3247" t="s">
        <v>895</v>
      </c>
      <c r="B3247">
        <v>11.313700000000001</v>
      </c>
      <c r="C3247">
        <v>9.4434399999999996E-4</v>
      </c>
    </row>
    <row r="3248" spans="1:3" x14ac:dyDescent="0.15">
      <c r="A3248" t="s">
        <v>895</v>
      </c>
      <c r="B3248">
        <v>16</v>
      </c>
      <c r="C3248">
        <v>7.7079299999999998E-4</v>
      </c>
    </row>
    <row r="3249" spans="1:3" x14ac:dyDescent="0.15">
      <c r="A3249" t="s">
        <v>895</v>
      </c>
      <c r="B3249">
        <v>22.627400000000002</v>
      </c>
      <c r="C3249">
        <v>6.1396200000000001E-4</v>
      </c>
    </row>
    <row r="3250" spans="1:3" x14ac:dyDescent="0.15">
      <c r="A3250" t="s">
        <v>895</v>
      </c>
      <c r="B3250">
        <v>32</v>
      </c>
      <c r="C3250">
        <v>5.0732999999999996E-4</v>
      </c>
    </row>
    <row r="3251" spans="1:3" x14ac:dyDescent="0.15">
      <c r="A3251" t="s">
        <v>895</v>
      </c>
      <c r="B3251">
        <v>45.254800000000003</v>
      </c>
      <c r="C3251">
        <v>4.5902200000000001E-4</v>
      </c>
    </row>
    <row r="3252" spans="1:3" x14ac:dyDescent="0.15">
      <c r="A3252" t="s">
        <v>895</v>
      </c>
      <c r="B3252">
        <v>64</v>
      </c>
      <c r="C3252">
        <v>3.86423E-4</v>
      </c>
    </row>
    <row r="3253" spans="1:3" x14ac:dyDescent="0.15">
      <c r="A3253" t="s">
        <v>895</v>
      </c>
      <c r="B3253">
        <v>90.509699999999995</v>
      </c>
      <c r="C3253">
        <v>2.0848899999999999E-4</v>
      </c>
    </row>
    <row r="3254" spans="1:3" x14ac:dyDescent="0.15">
      <c r="A3254" t="s">
        <v>895</v>
      </c>
      <c r="B3254">
        <v>128</v>
      </c>
      <c r="C3254">
        <v>1.19435E-4</v>
      </c>
    </row>
    <row r="3255" spans="1:3" x14ac:dyDescent="0.15">
      <c r="A3255" t="s">
        <v>895</v>
      </c>
      <c r="B3255">
        <v>181.01929999999999</v>
      </c>
      <c r="C3255">
        <v>5.9287999999999999E-5</v>
      </c>
    </row>
    <row r="3256" spans="1:3" x14ac:dyDescent="0.15">
      <c r="A3256" t="s">
        <v>895</v>
      </c>
      <c r="B3256">
        <v>256</v>
      </c>
      <c r="C3256">
        <v>9.0510000000000002E-6</v>
      </c>
    </row>
    <row r="3257" spans="1:3" x14ac:dyDescent="0.15">
      <c r="A3257" t="s">
        <v>895</v>
      </c>
      <c r="B3257">
        <v>362.03870000000001</v>
      </c>
      <c r="C3257">
        <v>1.6899999999999999E-7</v>
      </c>
    </row>
    <row r="3258" spans="1:3" x14ac:dyDescent="0.15">
      <c r="A3258" t="s">
        <v>895</v>
      </c>
      <c r="B3258">
        <v>512</v>
      </c>
      <c r="C3258">
        <v>0</v>
      </c>
    </row>
    <row r="3259" spans="1:3" x14ac:dyDescent="0.15">
      <c r="A3259" t="s">
        <v>895</v>
      </c>
      <c r="B3259">
        <v>724.07730000000004</v>
      </c>
      <c r="C3259">
        <v>0</v>
      </c>
    </row>
    <row r="3260" spans="1:3" x14ac:dyDescent="0.15">
      <c r="A3260" t="s">
        <v>896</v>
      </c>
      <c r="B3260">
        <v>2</v>
      </c>
      <c r="C3260">
        <v>9.6831700000000001E-4</v>
      </c>
    </row>
    <row r="3261" spans="1:3" x14ac:dyDescent="0.15">
      <c r="A3261" t="s">
        <v>896</v>
      </c>
      <c r="B3261">
        <v>2.8283999999999998</v>
      </c>
      <c r="C3261">
        <v>1.2845140000000001E-3</v>
      </c>
    </row>
    <row r="3262" spans="1:3" x14ac:dyDescent="0.15">
      <c r="A3262" t="s">
        <v>896</v>
      </c>
      <c r="B3262">
        <v>4</v>
      </c>
      <c r="C3262">
        <v>1.5022290000000001E-3</v>
      </c>
    </row>
    <row r="3263" spans="1:3" x14ac:dyDescent="0.15">
      <c r="A3263" t="s">
        <v>896</v>
      </c>
      <c r="B3263">
        <v>5.6569000000000003</v>
      </c>
      <c r="C3263">
        <v>1.490222E-3</v>
      </c>
    </row>
    <row r="3264" spans="1:3" x14ac:dyDescent="0.15">
      <c r="A3264" t="s">
        <v>896</v>
      </c>
      <c r="B3264">
        <v>8</v>
      </c>
      <c r="C3264">
        <v>1.273417E-3</v>
      </c>
    </row>
    <row r="3265" spans="1:3" x14ac:dyDescent="0.15">
      <c r="A3265" t="s">
        <v>896</v>
      </c>
      <c r="B3265">
        <v>11.313700000000001</v>
      </c>
      <c r="C3265">
        <v>1.07766E-3</v>
      </c>
    </row>
    <row r="3266" spans="1:3" x14ac:dyDescent="0.15">
      <c r="A3266" t="s">
        <v>896</v>
      </c>
      <c r="B3266">
        <v>16</v>
      </c>
      <c r="C3266">
        <v>9.0956399999999997E-4</v>
      </c>
    </row>
    <row r="3267" spans="1:3" x14ac:dyDescent="0.15">
      <c r="A3267" t="s">
        <v>896</v>
      </c>
      <c r="B3267">
        <v>22.627400000000002</v>
      </c>
      <c r="C3267">
        <v>8.6946500000000004E-4</v>
      </c>
    </row>
    <row r="3268" spans="1:3" x14ac:dyDescent="0.15">
      <c r="A3268" t="s">
        <v>896</v>
      </c>
      <c r="B3268">
        <v>32</v>
      </c>
      <c r="C3268">
        <v>9.4309500000000002E-4</v>
      </c>
    </row>
    <row r="3269" spans="1:3" x14ac:dyDescent="0.15">
      <c r="A3269" t="s">
        <v>896</v>
      </c>
      <c r="B3269">
        <v>45.254800000000003</v>
      </c>
      <c r="C3269">
        <v>9.6175399999999999E-4</v>
      </c>
    </row>
    <row r="3270" spans="1:3" x14ac:dyDescent="0.15">
      <c r="A3270" t="s">
        <v>896</v>
      </c>
      <c r="B3270">
        <v>64</v>
      </c>
      <c r="C3270">
        <v>8.5488999999999997E-4</v>
      </c>
    </row>
    <row r="3271" spans="1:3" x14ac:dyDescent="0.15">
      <c r="A3271" t="s">
        <v>896</v>
      </c>
      <c r="B3271">
        <v>90.509699999999995</v>
      </c>
      <c r="C3271">
        <v>4.6240700000000002E-4</v>
      </c>
    </row>
    <row r="3272" spans="1:3" x14ac:dyDescent="0.15">
      <c r="A3272" t="s">
        <v>896</v>
      </c>
      <c r="B3272">
        <v>128</v>
      </c>
      <c r="C3272">
        <v>2.2959900000000001E-4</v>
      </c>
    </row>
    <row r="3273" spans="1:3" x14ac:dyDescent="0.15">
      <c r="A3273" t="s">
        <v>896</v>
      </c>
      <c r="B3273">
        <v>181.01929999999999</v>
      </c>
      <c r="C3273">
        <v>1.10677E-4</v>
      </c>
    </row>
    <row r="3274" spans="1:3" x14ac:dyDescent="0.15">
      <c r="A3274" t="s">
        <v>896</v>
      </c>
      <c r="B3274">
        <v>256</v>
      </c>
      <c r="C3274">
        <v>1.6838999999999999E-5</v>
      </c>
    </row>
    <row r="3275" spans="1:3" x14ac:dyDescent="0.15">
      <c r="A3275" t="s">
        <v>896</v>
      </c>
      <c r="B3275">
        <v>362.03870000000001</v>
      </c>
      <c r="C3275">
        <v>3.1399999999999998E-7</v>
      </c>
    </row>
    <row r="3276" spans="1:3" x14ac:dyDescent="0.15">
      <c r="A3276" t="s">
        <v>896</v>
      </c>
      <c r="B3276">
        <v>512</v>
      </c>
      <c r="C3276">
        <v>0</v>
      </c>
    </row>
    <row r="3277" spans="1:3" x14ac:dyDescent="0.15">
      <c r="A3277" t="s">
        <v>896</v>
      </c>
      <c r="B3277">
        <v>724.07730000000004</v>
      </c>
      <c r="C3277">
        <v>0</v>
      </c>
    </row>
    <row r="3278" spans="1:3" x14ac:dyDescent="0.15">
      <c r="A3278" t="s">
        <v>897</v>
      </c>
      <c r="B3278">
        <v>2</v>
      </c>
      <c r="C3278">
        <v>6.6250100000000002E-4</v>
      </c>
    </row>
    <row r="3279" spans="1:3" x14ac:dyDescent="0.15">
      <c r="A3279" t="s">
        <v>897</v>
      </c>
      <c r="B3279">
        <v>2.8283999999999998</v>
      </c>
      <c r="C3279">
        <v>8.9202499999999996E-4</v>
      </c>
    </row>
    <row r="3280" spans="1:3" x14ac:dyDescent="0.15">
      <c r="A3280" t="s">
        <v>897</v>
      </c>
      <c r="B3280">
        <v>4</v>
      </c>
      <c r="C3280">
        <v>1.067288E-3</v>
      </c>
    </row>
    <row r="3281" spans="1:3" x14ac:dyDescent="0.15">
      <c r="A3281" t="s">
        <v>897</v>
      </c>
      <c r="B3281">
        <v>5.6569000000000003</v>
      </c>
      <c r="C3281">
        <v>1.0699100000000001E-3</v>
      </c>
    </row>
    <row r="3282" spans="1:3" x14ac:dyDescent="0.15">
      <c r="A3282" t="s">
        <v>897</v>
      </c>
      <c r="B3282">
        <v>8</v>
      </c>
      <c r="C3282">
        <v>1.095768E-3</v>
      </c>
    </row>
    <row r="3283" spans="1:3" x14ac:dyDescent="0.15">
      <c r="A3283" t="s">
        <v>897</v>
      </c>
      <c r="B3283">
        <v>11.313700000000001</v>
      </c>
      <c r="C3283">
        <v>1.0775520000000001E-3</v>
      </c>
    </row>
    <row r="3284" spans="1:3" x14ac:dyDescent="0.15">
      <c r="A3284" t="s">
        <v>897</v>
      </c>
      <c r="B3284">
        <v>16</v>
      </c>
      <c r="C3284">
        <v>9.3746200000000002E-4</v>
      </c>
    </row>
    <row r="3285" spans="1:3" x14ac:dyDescent="0.15">
      <c r="A3285" t="s">
        <v>897</v>
      </c>
      <c r="B3285">
        <v>22.627400000000002</v>
      </c>
      <c r="C3285">
        <v>8.4539499999999998E-4</v>
      </c>
    </row>
    <row r="3286" spans="1:3" x14ac:dyDescent="0.15">
      <c r="A3286" t="s">
        <v>897</v>
      </c>
      <c r="B3286">
        <v>32</v>
      </c>
      <c r="C3286">
        <v>7.8364899999999998E-4</v>
      </c>
    </row>
    <row r="3287" spans="1:3" x14ac:dyDescent="0.15">
      <c r="A3287" t="s">
        <v>897</v>
      </c>
      <c r="B3287">
        <v>45.254800000000003</v>
      </c>
      <c r="C3287">
        <v>8.1953899999999999E-4</v>
      </c>
    </row>
    <row r="3288" spans="1:3" x14ac:dyDescent="0.15">
      <c r="A3288" t="s">
        <v>897</v>
      </c>
      <c r="B3288">
        <v>64</v>
      </c>
      <c r="C3288">
        <v>7.9974500000000003E-4</v>
      </c>
    </row>
    <row r="3289" spans="1:3" x14ac:dyDescent="0.15">
      <c r="A3289" t="s">
        <v>897</v>
      </c>
      <c r="B3289">
        <v>90.509699999999995</v>
      </c>
      <c r="C3289">
        <v>5.6647999999999996E-4</v>
      </c>
    </row>
    <row r="3290" spans="1:3" x14ac:dyDescent="0.15">
      <c r="A3290" t="s">
        <v>897</v>
      </c>
      <c r="B3290">
        <v>128</v>
      </c>
      <c r="C3290">
        <v>4.3731599999999999E-4</v>
      </c>
    </row>
    <row r="3291" spans="1:3" x14ac:dyDescent="0.15">
      <c r="A3291" t="s">
        <v>897</v>
      </c>
      <c r="B3291">
        <v>181.01929999999999</v>
      </c>
      <c r="C3291">
        <v>2.1765700000000001E-4</v>
      </c>
    </row>
    <row r="3292" spans="1:3" x14ac:dyDescent="0.15">
      <c r="A3292" t="s">
        <v>897</v>
      </c>
      <c r="B3292">
        <v>256</v>
      </c>
      <c r="C3292">
        <v>3.3308E-5</v>
      </c>
    </row>
    <row r="3293" spans="1:3" x14ac:dyDescent="0.15">
      <c r="A3293" t="s">
        <v>897</v>
      </c>
      <c r="B3293">
        <v>362.03870000000001</v>
      </c>
      <c r="C3293">
        <v>6.2099999999999996E-7</v>
      </c>
    </row>
    <row r="3294" spans="1:3" x14ac:dyDescent="0.15">
      <c r="A3294" t="s">
        <v>897</v>
      </c>
      <c r="B3294">
        <v>512</v>
      </c>
      <c r="C3294">
        <v>0</v>
      </c>
    </row>
    <row r="3295" spans="1:3" x14ac:dyDescent="0.15">
      <c r="A3295" t="s">
        <v>897</v>
      </c>
      <c r="B3295">
        <v>724.07730000000004</v>
      </c>
      <c r="C3295">
        <v>0</v>
      </c>
    </row>
    <row r="3296" spans="1:3" x14ac:dyDescent="0.15">
      <c r="A3296" t="s">
        <v>898</v>
      </c>
      <c r="B3296">
        <v>2</v>
      </c>
      <c r="C3296">
        <v>2.1111010000000002E-3</v>
      </c>
    </row>
    <row r="3297" spans="1:3" x14ac:dyDescent="0.15">
      <c r="A3297" t="s">
        <v>898</v>
      </c>
      <c r="B3297">
        <v>2.8283999999999998</v>
      </c>
      <c r="C3297">
        <v>2.3462349999999999E-3</v>
      </c>
    </row>
    <row r="3298" spans="1:3" x14ac:dyDescent="0.15">
      <c r="A3298" t="s">
        <v>898</v>
      </c>
      <c r="B3298">
        <v>4</v>
      </c>
      <c r="C3298">
        <v>2.3823080000000001E-3</v>
      </c>
    </row>
    <row r="3299" spans="1:3" x14ac:dyDescent="0.15">
      <c r="A3299" t="s">
        <v>898</v>
      </c>
      <c r="B3299">
        <v>5.6569000000000003</v>
      </c>
      <c r="C3299">
        <v>2.224906E-3</v>
      </c>
    </row>
    <row r="3300" spans="1:3" x14ac:dyDescent="0.15">
      <c r="A3300" t="s">
        <v>898</v>
      </c>
      <c r="B3300">
        <v>8</v>
      </c>
      <c r="C3300">
        <v>1.9782559999999999E-3</v>
      </c>
    </row>
    <row r="3301" spans="1:3" x14ac:dyDescent="0.15">
      <c r="A3301" t="s">
        <v>898</v>
      </c>
      <c r="B3301">
        <v>11.313700000000001</v>
      </c>
      <c r="C3301">
        <v>1.760005E-3</v>
      </c>
    </row>
    <row r="3302" spans="1:3" x14ac:dyDescent="0.15">
      <c r="A3302" t="s">
        <v>898</v>
      </c>
      <c r="B3302">
        <v>16</v>
      </c>
      <c r="C3302">
        <v>1.5616370000000001E-3</v>
      </c>
    </row>
    <row r="3303" spans="1:3" x14ac:dyDescent="0.15">
      <c r="A3303" t="s">
        <v>898</v>
      </c>
      <c r="B3303">
        <v>22.627400000000002</v>
      </c>
      <c r="C3303">
        <v>1.1863399999999999E-3</v>
      </c>
    </row>
    <row r="3304" spans="1:3" x14ac:dyDescent="0.15">
      <c r="A3304" t="s">
        <v>898</v>
      </c>
      <c r="B3304">
        <v>32</v>
      </c>
      <c r="C3304">
        <v>9.4840799999999998E-4</v>
      </c>
    </row>
    <row r="3305" spans="1:3" x14ac:dyDescent="0.15">
      <c r="A3305" t="s">
        <v>898</v>
      </c>
      <c r="B3305">
        <v>45.254800000000003</v>
      </c>
      <c r="C3305">
        <v>9.3858500000000003E-4</v>
      </c>
    </row>
    <row r="3306" spans="1:3" x14ac:dyDescent="0.15">
      <c r="A3306" t="s">
        <v>898</v>
      </c>
      <c r="B3306">
        <v>64</v>
      </c>
      <c r="C3306">
        <v>9.0577699999999997E-4</v>
      </c>
    </row>
    <row r="3307" spans="1:3" x14ac:dyDescent="0.15">
      <c r="A3307" t="s">
        <v>898</v>
      </c>
      <c r="B3307">
        <v>90.509699999999995</v>
      </c>
      <c r="C3307">
        <v>8.5028800000000004E-4</v>
      </c>
    </row>
    <row r="3308" spans="1:3" x14ac:dyDescent="0.15">
      <c r="A3308" t="s">
        <v>898</v>
      </c>
      <c r="B3308">
        <v>128</v>
      </c>
      <c r="C3308">
        <v>6.9989800000000001E-4</v>
      </c>
    </row>
    <row r="3309" spans="1:3" x14ac:dyDescent="0.15">
      <c r="A3309" t="s">
        <v>898</v>
      </c>
      <c r="B3309">
        <v>181.01929999999999</v>
      </c>
      <c r="C3309">
        <v>3.4158399999999997E-4</v>
      </c>
    </row>
    <row r="3310" spans="1:3" x14ac:dyDescent="0.15">
      <c r="A3310" t="s">
        <v>898</v>
      </c>
      <c r="B3310">
        <v>256</v>
      </c>
      <c r="C3310">
        <v>5.2373999999999997E-5</v>
      </c>
    </row>
    <row r="3311" spans="1:3" x14ac:dyDescent="0.15">
      <c r="A3311" t="s">
        <v>898</v>
      </c>
      <c r="B3311">
        <v>362.03870000000001</v>
      </c>
      <c r="C3311">
        <v>9.7699999999999992E-7</v>
      </c>
    </row>
    <row r="3312" spans="1:3" x14ac:dyDescent="0.15">
      <c r="A3312" t="s">
        <v>898</v>
      </c>
      <c r="B3312">
        <v>512</v>
      </c>
      <c r="C3312">
        <v>1.0000000000000001E-9</v>
      </c>
    </row>
    <row r="3313" spans="1:3" x14ac:dyDescent="0.15">
      <c r="A3313" t="s">
        <v>898</v>
      </c>
      <c r="B3313">
        <v>724.07730000000004</v>
      </c>
      <c r="C3313">
        <v>0</v>
      </c>
    </row>
    <row r="3314" spans="1:3" x14ac:dyDescent="0.15">
      <c r="A3314" t="s">
        <v>899</v>
      </c>
      <c r="B3314">
        <v>2</v>
      </c>
      <c r="C3314">
        <v>8.25875E-4</v>
      </c>
    </row>
    <row r="3315" spans="1:3" x14ac:dyDescent="0.15">
      <c r="A3315" t="s">
        <v>899</v>
      </c>
      <c r="B3315">
        <v>2.8283999999999998</v>
      </c>
      <c r="C3315">
        <v>8.6322299999999999E-4</v>
      </c>
    </row>
    <row r="3316" spans="1:3" x14ac:dyDescent="0.15">
      <c r="A3316" t="s">
        <v>899</v>
      </c>
      <c r="B3316">
        <v>4</v>
      </c>
      <c r="C3316">
        <v>8.8716800000000003E-4</v>
      </c>
    </row>
    <row r="3317" spans="1:3" x14ac:dyDescent="0.15">
      <c r="A3317" t="s">
        <v>899</v>
      </c>
      <c r="B3317">
        <v>5.6569000000000003</v>
      </c>
      <c r="C3317">
        <v>8.4786200000000001E-4</v>
      </c>
    </row>
    <row r="3318" spans="1:3" x14ac:dyDescent="0.15">
      <c r="A3318" t="s">
        <v>899</v>
      </c>
      <c r="B3318">
        <v>8</v>
      </c>
      <c r="C3318">
        <v>7.6010599999999998E-4</v>
      </c>
    </row>
    <row r="3319" spans="1:3" x14ac:dyDescent="0.15">
      <c r="A3319" t="s">
        <v>899</v>
      </c>
      <c r="B3319">
        <v>11.313700000000001</v>
      </c>
      <c r="C3319">
        <v>6.7444300000000005E-4</v>
      </c>
    </row>
    <row r="3320" spans="1:3" x14ac:dyDescent="0.15">
      <c r="A3320" t="s">
        <v>899</v>
      </c>
      <c r="B3320">
        <v>16</v>
      </c>
      <c r="C3320">
        <v>5.9810400000000002E-4</v>
      </c>
    </row>
    <row r="3321" spans="1:3" x14ac:dyDescent="0.15">
      <c r="A3321" t="s">
        <v>899</v>
      </c>
      <c r="B3321">
        <v>22.627400000000002</v>
      </c>
      <c r="C3321">
        <v>5.2175699999999997E-4</v>
      </c>
    </row>
    <row r="3322" spans="1:3" x14ac:dyDescent="0.15">
      <c r="A3322" t="s">
        <v>899</v>
      </c>
      <c r="B3322">
        <v>32</v>
      </c>
      <c r="C3322">
        <v>4.4364900000000001E-4</v>
      </c>
    </row>
    <row r="3323" spans="1:3" x14ac:dyDescent="0.15">
      <c r="A3323" t="s">
        <v>899</v>
      </c>
      <c r="B3323">
        <v>45.254800000000003</v>
      </c>
      <c r="C3323">
        <v>3.4162599999999998E-4</v>
      </c>
    </row>
    <row r="3324" spans="1:3" x14ac:dyDescent="0.15">
      <c r="A3324" t="s">
        <v>899</v>
      </c>
      <c r="B3324">
        <v>64</v>
      </c>
      <c r="C3324">
        <v>1.97956E-4</v>
      </c>
    </row>
    <row r="3325" spans="1:3" x14ac:dyDescent="0.15">
      <c r="A3325" t="s">
        <v>899</v>
      </c>
      <c r="B3325">
        <v>90.509699999999995</v>
      </c>
      <c r="C3325">
        <v>1.1171300000000001E-4</v>
      </c>
    </row>
    <row r="3326" spans="1:3" x14ac:dyDescent="0.15">
      <c r="A3326" t="s">
        <v>899</v>
      </c>
      <c r="B3326">
        <v>128</v>
      </c>
      <c r="C3326">
        <v>8.5587999999999994E-5</v>
      </c>
    </row>
    <row r="3327" spans="1:3" x14ac:dyDescent="0.15">
      <c r="A3327" t="s">
        <v>899</v>
      </c>
      <c r="B3327">
        <v>181.01929999999999</v>
      </c>
      <c r="C3327">
        <v>4.3414000000000001E-5</v>
      </c>
    </row>
    <row r="3328" spans="1:3" x14ac:dyDescent="0.15">
      <c r="A3328" t="s">
        <v>899</v>
      </c>
      <c r="B3328">
        <v>256</v>
      </c>
      <c r="C3328">
        <v>6.708E-6</v>
      </c>
    </row>
    <row r="3329" spans="1:3" x14ac:dyDescent="0.15">
      <c r="A3329" t="s">
        <v>899</v>
      </c>
      <c r="B3329">
        <v>362.03870000000001</v>
      </c>
      <c r="C3329">
        <v>1.2499999999999999E-7</v>
      </c>
    </row>
    <row r="3330" spans="1:3" x14ac:dyDescent="0.15">
      <c r="A3330" t="s">
        <v>899</v>
      </c>
      <c r="B3330">
        <v>512</v>
      </c>
      <c r="C3330">
        <v>0</v>
      </c>
    </row>
    <row r="3331" spans="1:3" x14ac:dyDescent="0.15">
      <c r="A3331" t="s">
        <v>899</v>
      </c>
      <c r="B3331">
        <v>724.07730000000004</v>
      </c>
      <c r="C3331">
        <v>0</v>
      </c>
    </row>
    <row r="3332" spans="1:3" x14ac:dyDescent="0.15">
      <c r="A3332" t="s">
        <v>900</v>
      </c>
      <c r="B3332">
        <v>2</v>
      </c>
      <c r="C3332">
        <v>1.5895869999999999E-3</v>
      </c>
    </row>
    <row r="3333" spans="1:3" x14ac:dyDescent="0.15">
      <c r="A3333" t="s">
        <v>900</v>
      </c>
      <c r="B3333">
        <v>2.8283999999999998</v>
      </c>
      <c r="C3333">
        <v>1.882917E-3</v>
      </c>
    </row>
    <row r="3334" spans="1:3" x14ac:dyDescent="0.15">
      <c r="A3334" t="s">
        <v>900</v>
      </c>
      <c r="B3334">
        <v>4</v>
      </c>
      <c r="C3334">
        <v>1.950273E-3</v>
      </c>
    </row>
    <row r="3335" spans="1:3" x14ac:dyDescent="0.15">
      <c r="A3335" t="s">
        <v>900</v>
      </c>
      <c r="B3335">
        <v>5.6569000000000003</v>
      </c>
      <c r="C3335">
        <v>1.7757630000000001E-3</v>
      </c>
    </row>
    <row r="3336" spans="1:3" x14ac:dyDescent="0.15">
      <c r="A3336" t="s">
        <v>900</v>
      </c>
      <c r="B3336">
        <v>8</v>
      </c>
      <c r="C3336">
        <v>1.4689E-3</v>
      </c>
    </row>
    <row r="3337" spans="1:3" x14ac:dyDescent="0.15">
      <c r="A3337" t="s">
        <v>900</v>
      </c>
      <c r="B3337">
        <v>11.313700000000001</v>
      </c>
      <c r="C3337">
        <v>1.186016E-3</v>
      </c>
    </row>
    <row r="3338" spans="1:3" x14ac:dyDescent="0.15">
      <c r="A3338" t="s">
        <v>900</v>
      </c>
      <c r="B3338">
        <v>16</v>
      </c>
      <c r="C3338">
        <v>9.7577799999999995E-4</v>
      </c>
    </row>
    <row r="3339" spans="1:3" x14ac:dyDescent="0.15">
      <c r="A3339" t="s">
        <v>900</v>
      </c>
      <c r="B3339">
        <v>22.627400000000002</v>
      </c>
      <c r="C3339">
        <v>7.1675600000000003E-4</v>
      </c>
    </row>
    <row r="3340" spans="1:3" x14ac:dyDescent="0.15">
      <c r="A3340" t="s">
        <v>900</v>
      </c>
      <c r="B3340">
        <v>32</v>
      </c>
      <c r="C3340">
        <v>7.1043500000000004E-4</v>
      </c>
    </row>
    <row r="3341" spans="1:3" x14ac:dyDescent="0.15">
      <c r="A3341" t="s">
        <v>900</v>
      </c>
      <c r="B3341">
        <v>45.254800000000003</v>
      </c>
      <c r="C3341">
        <v>9.2708700000000005E-4</v>
      </c>
    </row>
    <row r="3342" spans="1:3" x14ac:dyDescent="0.15">
      <c r="A3342" t="s">
        <v>900</v>
      </c>
      <c r="B3342">
        <v>64</v>
      </c>
      <c r="C3342">
        <v>9.4372300000000004E-4</v>
      </c>
    </row>
    <row r="3343" spans="1:3" x14ac:dyDescent="0.15">
      <c r="A3343" t="s">
        <v>900</v>
      </c>
      <c r="B3343">
        <v>90.509699999999995</v>
      </c>
      <c r="C3343">
        <v>7.1215000000000004E-4</v>
      </c>
    </row>
    <row r="3344" spans="1:3" x14ac:dyDescent="0.15">
      <c r="A3344" t="s">
        <v>900</v>
      </c>
      <c r="B3344">
        <v>128</v>
      </c>
      <c r="C3344">
        <v>6.0727700000000003E-4</v>
      </c>
    </row>
    <row r="3345" spans="1:3" x14ac:dyDescent="0.15">
      <c r="A3345" t="s">
        <v>900</v>
      </c>
      <c r="B3345">
        <v>181.01929999999999</v>
      </c>
      <c r="C3345">
        <v>3.0951399999999999E-4</v>
      </c>
    </row>
    <row r="3346" spans="1:3" x14ac:dyDescent="0.15">
      <c r="A3346" t="s">
        <v>900</v>
      </c>
      <c r="B3346">
        <v>256</v>
      </c>
      <c r="C3346">
        <v>4.7590999999999999E-5</v>
      </c>
    </row>
    <row r="3347" spans="1:3" x14ac:dyDescent="0.15">
      <c r="A3347" t="s">
        <v>900</v>
      </c>
      <c r="B3347">
        <v>362.03870000000001</v>
      </c>
      <c r="C3347">
        <v>8.8800000000000001E-7</v>
      </c>
    </row>
    <row r="3348" spans="1:3" x14ac:dyDescent="0.15">
      <c r="A3348" t="s">
        <v>900</v>
      </c>
      <c r="B3348">
        <v>512</v>
      </c>
      <c r="C3348">
        <v>1.0000000000000001E-9</v>
      </c>
    </row>
    <row r="3349" spans="1:3" x14ac:dyDescent="0.15">
      <c r="A3349" t="s">
        <v>900</v>
      </c>
      <c r="B3349">
        <v>724.07730000000004</v>
      </c>
      <c r="C3349">
        <v>0</v>
      </c>
    </row>
    <row r="3350" spans="1:3" x14ac:dyDescent="0.15">
      <c r="A3350" t="s">
        <v>901</v>
      </c>
      <c r="B3350">
        <v>2</v>
      </c>
      <c r="C3350">
        <v>1.3453199999999999E-3</v>
      </c>
    </row>
    <row r="3351" spans="1:3" x14ac:dyDescent="0.15">
      <c r="A3351" t="s">
        <v>901</v>
      </c>
      <c r="B3351">
        <v>2.8283999999999998</v>
      </c>
      <c r="C3351">
        <v>1.171035E-3</v>
      </c>
    </row>
    <row r="3352" spans="1:3" x14ac:dyDescent="0.15">
      <c r="A3352" t="s">
        <v>901</v>
      </c>
      <c r="B3352">
        <v>4</v>
      </c>
      <c r="C3352">
        <v>1.0199639999999999E-3</v>
      </c>
    </row>
    <row r="3353" spans="1:3" x14ac:dyDescent="0.15">
      <c r="A3353" t="s">
        <v>901</v>
      </c>
      <c r="B3353">
        <v>5.6569000000000003</v>
      </c>
      <c r="C3353">
        <v>8.9304100000000002E-4</v>
      </c>
    </row>
    <row r="3354" spans="1:3" x14ac:dyDescent="0.15">
      <c r="A3354" t="s">
        <v>901</v>
      </c>
      <c r="B3354">
        <v>8</v>
      </c>
      <c r="C3354">
        <v>7.6763600000000003E-4</v>
      </c>
    </row>
    <row r="3355" spans="1:3" x14ac:dyDescent="0.15">
      <c r="A3355" t="s">
        <v>901</v>
      </c>
      <c r="B3355">
        <v>11.313700000000001</v>
      </c>
      <c r="C3355">
        <v>6.2996299999999999E-4</v>
      </c>
    </row>
    <row r="3356" spans="1:3" x14ac:dyDescent="0.15">
      <c r="A3356" t="s">
        <v>901</v>
      </c>
      <c r="B3356">
        <v>16</v>
      </c>
      <c r="C3356">
        <v>4.5681999999999998E-4</v>
      </c>
    </row>
    <row r="3357" spans="1:3" x14ac:dyDescent="0.15">
      <c r="A3357" t="s">
        <v>901</v>
      </c>
      <c r="B3357">
        <v>22.627400000000002</v>
      </c>
      <c r="C3357">
        <v>3.0239600000000002E-4</v>
      </c>
    </row>
    <row r="3358" spans="1:3" x14ac:dyDescent="0.15">
      <c r="A3358" t="s">
        <v>901</v>
      </c>
      <c r="B3358">
        <v>32</v>
      </c>
      <c r="C3358">
        <v>2.0632499999999999E-4</v>
      </c>
    </row>
    <row r="3359" spans="1:3" x14ac:dyDescent="0.15">
      <c r="A3359" t="s">
        <v>901</v>
      </c>
      <c r="B3359">
        <v>45.254800000000003</v>
      </c>
      <c r="C3359">
        <v>1.5536799999999999E-4</v>
      </c>
    </row>
    <row r="3360" spans="1:3" x14ac:dyDescent="0.15">
      <c r="A3360" t="s">
        <v>901</v>
      </c>
      <c r="B3360">
        <v>64</v>
      </c>
      <c r="C3360">
        <v>1.15925E-4</v>
      </c>
    </row>
    <row r="3361" spans="1:3" x14ac:dyDescent="0.15">
      <c r="A3361" t="s">
        <v>901</v>
      </c>
      <c r="B3361">
        <v>90.509699999999995</v>
      </c>
      <c r="C3361">
        <v>1.34184E-4</v>
      </c>
    </row>
    <row r="3362" spans="1:3" x14ac:dyDescent="0.15">
      <c r="A3362" t="s">
        <v>901</v>
      </c>
      <c r="B3362">
        <v>128</v>
      </c>
      <c r="C3362">
        <v>1.5291799999999999E-4</v>
      </c>
    </row>
    <row r="3363" spans="1:3" x14ac:dyDescent="0.15">
      <c r="A3363" t="s">
        <v>901</v>
      </c>
      <c r="B3363">
        <v>181.01929999999999</v>
      </c>
      <c r="C3363">
        <v>8.0846000000000005E-5</v>
      </c>
    </row>
    <row r="3364" spans="1:3" x14ac:dyDescent="0.15">
      <c r="A3364" t="s">
        <v>901</v>
      </c>
      <c r="B3364">
        <v>256</v>
      </c>
      <c r="C3364">
        <v>1.2520999999999999E-5</v>
      </c>
    </row>
    <row r="3365" spans="1:3" x14ac:dyDescent="0.15">
      <c r="A3365" t="s">
        <v>901</v>
      </c>
      <c r="B3365">
        <v>362.03870000000001</v>
      </c>
      <c r="C3365">
        <v>2.34E-7</v>
      </c>
    </row>
    <row r="3366" spans="1:3" x14ac:dyDescent="0.15">
      <c r="A3366" t="s">
        <v>901</v>
      </c>
      <c r="B3366">
        <v>512</v>
      </c>
      <c r="C3366">
        <v>1.0000000000000001E-9</v>
      </c>
    </row>
    <row r="3367" spans="1:3" x14ac:dyDescent="0.15">
      <c r="A3367" t="s">
        <v>901</v>
      </c>
      <c r="B3367">
        <v>724.07730000000004</v>
      </c>
      <c r="C3367">
        <v>0</v>
      </c>
    </row>
    <row r="3368" spans="1:3" x14ac:dyDescent="0.15">
      <c r="A3368" t="s">
        <v>902</v>
      </c>
      <c r="B3368">
        <v>2</v>
      </c>
      <c r="C3368">
        <v>1.044403E-3</v>
      </c>
    </row>
    <row r="3369" spans="1:3" x14ac:dyDescent="0.15">
      <c r="A3369" t="s">
        <v>902</v>
      </c>
      <c r="B3369">
        <v>2.8283999999999998</v>
      </c>
      <c r="C3369">
        <v>1.289973E-3</v>
      </c>
    </row>
    <row r="3370" spans="1:3" x14ac:dyDescent="0.15">
      <c r="A3370" t="s">
        <v>902</v>
      </c>
      <c r="B3370">
        <v>4</v>
      </c>
      <c r="C3370">
        <v>1.383652E-3</v>
      </c>
    </row>
    <row r="3371" spans="1:3" x14ac:dyDescent="0.15">
      <c r="A3371" t="s">
        <v>902</v>
      </c>
      <c r="B3371">
        <v>5.6569000000000003</v>
      </c>
      <c r="C3371">
        <v>1.3150620000000001E-3</v>
      </c>
    </row>
    <row r="3372" spans="1:3" x14ac:dyDescent="0.15">
      <c r="A3372" t="s">
        <v>902</v>
      </c>
      <c r="B3372">
        <v>8</v>
      </c>
      <c r="C3372">
        <v>1.1215680000000001E-3</v>
      </c>
    </row>
    <row r="3373" spans="1:3" x14ac:dyDescent="0.15">
      <c r="A3373" t="s">
        <v>902</v>
      </c>
      <c r="B3373">
        <v>11.313700000000001</v>
      </c>
      <c r="C3373">
        <v>8.0604600000000004E-4</v>
      </c>
    </row>
    <row r="3374" spans="1:3" x14ac:dyDescent="0.15">
      <c r="A3374" t="s">
        <v>902</v>
      </c>
      <c r="B3374">
        <v>16</v>
      </c>
      <c r="C3374">
        <v>5.6694500000000001E-4</v>
      </c>
    </row>
    <row r="3375" spans="1:3" x14ac:dyDescent="0.15">
      <c r="A3375" t="s">
        <v>902</v>
      </c>
      <c r="B3375">
        <v>22.627400000000002</v>
      </c>
      <c r="C3375">
        <v>5.0422599999999998E-4</v>
      </c>
    </row>
    <row r="3376" spans="1:3" x14ac:dyDescent="0.15">
      <c r="A3376" t="s">
        <v>902</v>
      </c>
      <c r="B3376">
        <v>32</v>
      </c>
      <c r="C3376">
        <v>5.2452800000000002E-4</v>
      </c>
    </row>
    <row r="3377" spans="1:3" x14ac:dyDescent="0.15">
      <c r="A3377" t="s">
        <v>902</v>
      </c>
      <c r="B3377">
        <v>45.254800000000003</v>
      </c>
      <c r="C3377">
        <v>5.0085600000000004E-4</v>
      </c>
    </row>
    <row r="3378" spans="1:3" x14ac:dyDescent="0.15">
      <c r="A3378" t="s">
        <v>902</v>
      </c>
      <c r="B3378">
        <v>64</v>
      </c>
      <c r="C3378">
        <v>4.6167199999999999E-4</v>
      </c>
    </row>
    <row r="3379" spans="1:3" x14ac:dyDescent="0.15">
      <c r="A3379" t="s">
        <v>902</v>
      </c>
      <c r="B3379">
        <v>90.509699999999995</v>
      </c>
      <c r="C3379">
        <v>3.4612E-4</v>
      </c>
    </row>
    <row r="3380" spans="1:3" x14ac:dyDescent="0.15">
      <c r="A3380" t="s">
        <v>902</v>
      </c>
      <c r="B3380">
        <v>128</v>
      </c>
      <c r="C3380">
        <v>2.6221000000000003E-4</v>
      </c>
    </row>
    <row r="3381" spans="1:3" x14ac:dyDescent="0.15">
      <c r="A3381" t="s">
        <v>902</v>
      </c>
      <c r="B3381">
        <v>181.01929999999999</v>
      </c>
      <c r="C3381">
        <v>1.32123E-4</v>
      </c>
    </row>
    <row r="3382" spans="1:3" x14ac:dyDescent="0.15">
      <c r="A3382" t="s">
        <v>902</v>
      </c>
      <c r="B3382">
        <v>256</v>
      </c>
      <c r="C3382">
        <v>2.0290999999999999E-5</v>
      </c>
    </row>
    <row r="3383" spans="1:3" x14ac:dyDescent="0.15">
      <c r="A3383" t="s">
        <v>902</v>
      </c>
      <c r="B3383">
        <v>362.03870000000001</v>
      </c>
      <c r="C3383">
        <v>3.7899999999999999E-7</v>
      </c>
    </row>
    <row r="3384" spans="1:3" x14ac:dyDescent="0.15">
      <c r="A3384" t="s">
        <v>902</v>
      </c>
      <c r="B3384">
        <v>512</v>
      </c>
      <c r="C3384">
        <v>0</v>
      </c>
    </row>
    <row r="3385" spans="1:3" x14ac:dyDescent="0.15">
      <c r="A3385" t="s">
        <v>902</v>
      </c>
      <c r="B3385">
        <v>724.07730000000004</v>
      </c>
      <c r="C3385">
        <v>0</v>
      </c>
    </row>
    <row r="3386" spans="1:3" x14ac:dyDescent="0.15">
      <c r="A3386" t="s">
        <v>903</v>
      </c>
      <c r="B3386">
        <v>2</v>
      </c>
      <c r="C3386">
        <v>7.7010100000000003E-4</v>
      </c>
    </row>
    <row r="3387" spans="1:3" x14ac:dyDescent="0.15">
      <c r="A3387" t="s">
        <v>903</v>
      </c>
      <c r="B3387">
        <v>2.8283999999999998</v>
      </c>
      <c r="C3387">
        <v>9.1189000000000005E-4</v>
      </c>
    </row>
    <row r="3388" spans="1:3" x14ac:dyDescent="0.15">
      <c r="A3388" t="s">
        <v>903</v>
      </c>
      <c r="B3388">
        <v>4</v>
      </c>
      <c r="C3388">
        <v>9.771300000000001E-4</v>
      </c>
    </row>
    <row r="3389" spans="1:3" x14ac:dyDescent="0.15">
      <c r="A3389" t="s">
        <v>903</v>
      </c>
      <c r="B3389">
        <v>5.6569000000000003</v>
      </c>
      <c r="C3389">
        <v>1.009371E-3</v>
      </c>
    </row>
    <row r="3390" spans="1:3" x14ac:dyDescent="0.15">
      <c r="A3390" t="s">
        <v>903</v>
      </c>
      <c r="B3390">
        <v>8</v>
      </c>
      <c r="C3390">
        <v>9.958600000000001E-4</v>
      </c>
    </row>
    <row r="3391" spans="1:3" x14ac:dyDescent="0.15">
      <c r="A3391" t="s">
        <v>903</v>
      </c>
      <c r="B3391">
        <v>11.313700000000001</v>
      </c>
      <c r="C3391">
        <v>9.1536999999999999E-4</v>
      </c>
    </row>
    <row r="3392" spans="1:3" x14ac:dyDescent="0.15">
      <c r="A3392" t="s">
        <v>903</v>
      </c>
      <c r="B3392">
        <v>16</v>
      </c>
      <c r="C3392">
        <v>7.6926200000000005E-4</v>
      </c>
    </row>
    <row r="3393" spans="1:3" x14ac:dyDescent="0.15">
      <c r="A3393" t="s">
        <v>903</v>
      </c>
      <c r="B3393">
        <v>22.627400000000002</v>
      </c>
      <c r="C3393">
        <v>5.7270300000000004E-4</v>
      </c>
    </row>
    <row r="3394" spans="1:3" x14ac:dyDescent="0.15">
      <c r="A3394" t="s">
        <v>903</v>
      </c>
      <c r="B3394">
        <v>32</v>
      </c>
      <c r="C3394">
        <v>3.9177999999999999E-4</v>
      </c>
    </row>
    <row r="3395" spans="1:3" x14ac:dyDescent="0.15">
      <c r="A3395" t="s">
        <v>903</v>
      </c>
      <c r="B3395">
        <v>45.254800000000003</v>
      </c>
      <c r="C3395">
        <v>2.2466700000000001E-4</v>
      </c>
    </row>
    <row r="3396" spans="1:3" x14ac:dyDescent="0.15">
      <c r="A3396" t="s">
        <v>903</v>
      </c>
      <c r="B3396">
        <v>64</v>
      </c>
      <c r="C3396">
        <v>1.04388E-4</v>
      </c>
    </row>
    <row r="3397" spans="1:3" x14ac:dyDescent="0.15">
      <c r="A3397" t="s">
        <v>903</v>
      </c>
      <c r="B3397">
        <v>90.509699999999995</v>
      </c>
      <c r="C3397">
        <v>4.2262999999999998E-5</v>
      </c>
    </row>
    <row r="3398" spans="1:3" x14ac:dyDescent="0.15">
      <c r="A3398" t="s">
        <v>903</v>
      </c>
      <c r="B3398">
        <v>128</v>
      </c>
      <c r="C3398">
        <v>6.3679999999999998E-6</v>
      </c>
    </row>
    <row r="3399" spans="1:3" x14ac:dyDescent="0.15">
      <c r="A3399" t="s">
        <v>903</v>
      </c>
      <c r="B3399">
        <v>181.01929999999999</v>
      </c>
      <c r="C3399">
        <v>1.1899999999999999E-7</v>
      </c>
    </row>
    <row r="3400" spans="1:3" x14ac:dyDescent="0.15">
      <c r="A3400" t="s">
        <v>903</v>
      </c>
      <c r="B3400">
        <v>256</v>
      </c>
      <c r="C3400">
        <v>0</v>
      </c>
    </row>
    <row r="3401" spans="1:3" x14ac:dyDescent="0.15">
      <c r="A3401" t="s">
        <v>903</v>
      </c>
      <c r="B3401">
        <v>362.03870000000001</v>
      </c>
      <c r="C3401">
        <v>0</v>
      </c>
    </row>
    <row r="3402" spans="1:3" x14ac:dyDescent="0.15">
      <c r="A3402" t="s">
        <v>903</v>
      </c>
      <c r="B3402">
        <v>512</v>
      </c>
      <c r="C3402">
        <v>0</v>
      </c>
    </row>
    <row r="3403" spans="1:3" x14ac:dyDescent="0.15">
      <c r="A3403" t="s">
        <v>903</v>
      </c>
      <c r="B3403">
        <v>724.07730000000004</v>
      </c>
      <c r="C3403">
        <v>0</v>
      </c>
    </row>
    <row r="3404" spans="1:3" x14ac:dyDescent="0.15">
      <c r="A3404" t="s">
        <v>904</v>
      </c>
      <c r="B3404">
        <v>2</v>
      </c>
      <c r="C3404">
        <v>2.0560769999999999E-3</v>
      </c>
    </row>
    <row r="3405" spans="1:3" x14ac:dyDescent="0.15">
      <c r="A3405" t="s">
        <v>904</v>
      </c>
      <c r="B3405">
        <v>2.8283999999999998</v>
      </c>
      <c r="C3405">
        <v>2.5622539999999999E-3</v>
      </c>
    </row>
    <row r="3406" spans="1:3" x14ac:dyDescent="0.15">
      <c r="A3406" t="s">
        <v>904</v>
      </c>
      <c r="B3406">
        <v>4</v>
      </c>
      <c r="C3406">
        <v>2.7917409999999999E-3</v>
      </c>
    </row>
    <row r="3407" spans="1:3" x14ac:dyDescent="0.15">
      <c r="A3407" t="s">
        <v>904</v>
      </c>
      <c r="B3407">
        <v>5.6569000000000003</v>
      </c>
      <c r="C3407">
        <v>2.6578700000000001E-3</v>
      </c>
    </row>
    <row r="3408" spans="1:3" x14ac:dyDescent="0.15">
      <c r="A3408" t="s">
        <v>904</v>
      </c>
      <c r="B3408">
        <v>8</v>
      </c>
      <c r="C3408">
        <v>2.200755E-3</v>
      </c>
    </row>
    <row r="3409" spans="1:3" x14ac:dyDescent="0.15">
      <c r="A3409" t="s">
        <v>904</v>
      </c>
      <c r="B3409">
        <v>11.313700000000001</v>
      </c>
      <c r="C3409">
        <v>1.680534E-3</v>
      </c>
    </row>
    <row r="3410" spans="1:3" x14ac:dyDescent="0.15">
      <c r="A3410" t="s">
        <v>904</v>
      </c>
      <c r="B3410">
        <v>16</v>
      </c>
      <c r="C3410">
        <v>1.332967E-3</v>
      </c>
    </row>
    <row r="3411" spans="1:3" x14ac:dyDescent="0.15">
      <c r="A3411" t="s">
        <v>904</v>
      </c>
      <c r="B3411">
        <v>22.627400000000002</v>
      </c>
      <c r="C3411">
        <v>9.0724999999999996E-4</v>
      </c>
    </row>
    <row r="3412" spans="1:3" x14ac:dyDescent="0.15">
      <c r="A3412" t="s">
        <v>904</v>
      </c>
      <c r="B3412">
        <v>32</v>
      </c>
      <c r="C3412">
        <v>7.4871300000000003E-4</v>
      </c>
    </row>
    <row r="3413" spans="1:3" x14ac:dyDescent="0.15">
      <c r="A3413" t="s">
        <v>904</v>
      </c>
      <c r="B3413">
        <v>45.254800000000003</v>
      </c>
      <c r="C3413">
        <v>8.8428599999999997E-4</v>
      </c>
    </row>
    <row r="3414" spans="1:3" x14ac:dyDescent="0.15">
      <c r="A3414" t="s">
        <v>904</v>
      </c>
      <c r="B3414">
        <v>64</v>
      </c>
      <c r="C3414">
        <v>1.2653899999999999E-3</v>
      </c>
    </row>
    <row r="3415" spans="1:3" x14ac:dyDescent="0.15">
      <c r="A3415" t="s">
        <v>904</v>
      </c>
      <c r="B3415">
        <v>90.509699999999995</v>
      </c>
      <c r="C3415">
        <v>1.7011979999999999E-3</v>
      </c>
    </row>
    <row r="3416" spans="1:3" x14ac:dyDescent="0.15">
      <c r="A3416" t="s">
        <v>904</v>
      </c>
      <c r="B3416">
        <v>128</v>
      </c>
      <c r="C3416">
        <v>1.6431869999999999E-3</v>
      </c>
    </row>
    <row r="3417" spans="1:3" x14ac:dyDescent="0.15">
      <c r="A3417" t="s">
        <v>904</v>
      </c>
      <c r="B3417">
        <v>181.01929999999999</v>
      </c>
      <c r="C3417">
        <v>8.2565700000000004E-4</v>
      </c>
    </row>
    <row r="3418" spans="1:3" x14ac:dyDescent="0.15">
      <c r="A3418" t="s">
        <v>904</v>
      </c>
      <c r="B3418">
        <v>256</v>
      </c>
      <c r="C3418">
        <v>1.2685600000000001E-4</v>
      </c>
    </row>
    <row r="3419" spans="1:3" x14ac:dyDescent="0.15">
      <c r="A3419" t="s">
        <v>904</v>
      </c>
      <c r="B3419">
        <v>362.03870000000001</v>
      </c>
      <c r="C3419">
        <v>2.3659999999999999E-6</v>
      </c>
    </row>
    <row r="3420" spans="1:3" x14ac:dyDescent="0.15">
      <c r="A3420" t="s">
        <v>904</v>
      </c>
      <c r="B3420">
        <v>512</v>
      </c>
      <c r="C3420">
        <v>1.0000000000000001E-9</v>
      </c>
    </row>
    <row r="3421" spans="1:3" x14ac:dyDescent="0.15">
      <c r="A3421" t="s">
        <v>904</v>
      </c>
      <c r="B3421">
        <v>724.07730000000004</v>
      </c>
      <c r="C3421">
        <v>0</v>
      </c>
    </row>
    <row r="3422" spans="1:3" x14ac:dyDescent="0.15">
      <c r="A3422" t="s">
        <v>905</v>
      </c>
      <c r="B3422">
        <v>2</v>
      </c>
      <c r="C3422">
        <v>1.049014E-3</v>
      </c>
    </row>
    <row r="3423" spans="1:3" x14ac:dyDescent="0.15">
      <c r="A3423" t="s">
        <v>905</v>
      </c>
      <c r="B3423">
        <v>2.8283999999999998</v>
      </c>
      <c r="C3423">
        <v>1.3137369999999999E-3</v>
      </c>
    </row>
    <row r="3424" spans="1:3" x14ac:dyDescent="0.15">
      <c r="A3424" t="s">
        <v>905</v>
      </c>
      <c r="B3424">
        <v>4</v>
      </c>
      <c r="C3424">
        <v>1.459255E-3</v>
      </c>
    </row>
    <row r="3425" spans="1:3" x14ac:dyDescent="0.15">
      <c r="A3425" t="s">
        <v>905</v>
      </c>
      <c r="B3425">
        <v>5.6569000000000003</v>
      </c>
      <c r="C3425">
        <v>1.3343300000000001E-3</v>
      </c>
    </row>
    <row r="3426" spans="1:3" x14ac:dyDescent="0.15">
      <c r="A3426" t="s">
        <v>905</v>
      </c>
      <c r="B3426">
        <v>8</v>
      </c>
      <c r="C3426">
        <v>1.051298E-3</v>
      </c>
    </row>
    <row r="3427" spans="1:3" x14ac:dyDescent="0.15">
      <c r="A3427" t="s">
        <v>905</v>
      </c>
      <c r="B3427">
        <v>11.313700000000001</v>
      </c>
      <c r="C3427">
        <v>9.0300600000000003E-4</v>
      </c>
    </row>
    <row r="3428" spans="1:3" x14ac:dyDescent="0.15">
      <c r="A3428" t="s">
        <v>905</v>
      </c>
      <c r="B3428">
        <v>16</v>
      </c>
      <c r="C3428">
        <v>7.4736699999999997E-4</v>
      </c>
    </row>
    <row r="3429" spans="1:3" x14ac:dyDescent="0.15">
      <c r="A3429" t="s">
        <v>905</v>
      </c>
      <c r="B3429">
        <v>22.627400000000002</v>
      </c>
      <c r="C3429">
        <v>6.1700899999999996E-4</v>
      </c>
    </row>
    <row r="3430" spans="1:3" x14ac:dyDescent="0.15">
      <c r="A3430" t="s">
        <v>905</v>
      </c>
      <c r="B3430">
        <v>32</v>
      </c>
      <c r="C3430">
        <v>7.0993E-4</v>
      </c>
    </row>
    <row r="3431" spans="1:3" x14ac:dyDescent="0.15">
      <c r="A3431" t="s">
        <v>905</v>
      </c>
      <c r="B3431">
        <v>45.254800000000003</v>
      </c>
      <c r="C3431">
        <v>9.4264499999999998E-4</v>
      </c>
    </row>
    <row r="3432" spans="1:3" x14ac:dyDescent="0.15">
      <c r="A3432" t="s">
        <v>905</v>
      </c>
      <c r="B3432">
        <v>64</v>
      </c>
      <c r="C3432">
        <v>1.0451099999999999E-3</v>
      </c>
    </row>
    <row r="3433" spans="1:3" x14ac:dyDescent="0.15">
      <c r="A3433" t="s">
        <v>905</v>
      </c>
      <c r="B3433">
        <v>90.509699999999995</v>
      </c>
      <c r="C3433">
        <v>9.7015999999999997E-4</v>
      </c>
    </row>
    <row r="3434" spans="1:3" x14ac:dyDescent="0.15">
      <c r="A3434" t="s">
        <v>905</v>
      </c>
      <c r="B3434">
        <v>128</v>
      </c>
      <c r="C3434">
        <v>8.5324200000000004E-4</v>
      </c>
    </row>
    <row r="3435" spans="1:3" x14ac:dyDescent="0.15">
      <c r="A3435" t="s">
        <v>905</v>
      </c>
      <c r="B3435">
        <v>181.01929999999999</v>
      </c>
      <c r="C3435">
        <v>4.2487900000000002E-4</v>
      </c>
    </row>
    <row r="3436" spans="1:3" x14ac:dyDescent="0.15">
      <c r="A3436" t="s">
        <v>905</v>
      </c>
      <c r="B3436">
        <v>256</v>
      </c>
      <c r="C3436">
        <v>6.5022000000000002E-5</v>
      </c>
    </row>
    <row r="3437" spans="1:3" x14ac:dyDescent="0.15">
      <c r="A3437" t="s">
        <v>905</v>
      </c>
      <c r="B3437">
        <v>362.03870000000001</v>
      </c>
      <c r="C3437">
        <v>1.212E-6</v>
      </c>
    </row>
    <row r="3438" spans="1:3" x14ac:dyDescent="0.15">
      <c r="A3438" t="s">
        <v>905</v>
      </c>
      <c r="B3438">
        <v>512</v>
      </c>
      <c r="C3438">
        <v>0</v>
      </c>
    </row>
    <row r="3439" spans="1:3" x14ac:dyDescent="0.15">
      <c r="A3439" t="s">
        <v>905</v>
      </c>
      <c r="B3439">
        <v>724.07730000000004</v>
      </c>
      <c r="C3439">
        <v>0</v>
      </c>
    </row>
    <row r="3440" spans="1:3" x14ac:dyDescent="0.15">
      <c r="A3440" t="s">
        <v>906</v>
      </c>
      <c r="B3440">
        <v>2</v>
      </c>
      <c r="C3440">
        <v>5.6422700000000004E-4</v>
      </c>
    </row>
    <row r="3441" spans="1:3" x14ac:dyDescent="0.15">
      <c r="A3441" t="s">
        <v>906</v>
      </c>
      <c r="B3441">
        <v>2.8283999999999998</v>
      </c>
      <c r="C3441">
        <v>6.8188899999999998E-4</v>
      </c>
    </row>
    <row r="3442" spans="1:3" x14ac:dyDescent="0.15">
      <c r="A3442" t="s">
        <v>906</v>
      </c>
      <c r="B3442">
        <v>4</v>
      </c>
      <c r="C3442">
        <v>6.8245000000000003E-4</v>
      </c>
    </row>
    <row r="3443" spans="1:3" x14ac:dyDescent="0.15">
      <c r="A3443" t="s">
        <v>906</v>
      </c>
      <c r="B3443">
        <v>5.6569000000000003</v>
      </c>
      <c r="C3443">
        <v>5.5559399999999997E-4</v>
      </c>
    </row>
    <row r="3444" spans="1:3" x14ac:dyDescent="0.15">
      <c r="A3444" t="s">
        <v>906</v>
      </c>
      <c r="B3444">
        <v>8</v>
      </c>
      <c r="C3444">
        <v>4.5300000000000001E-4</v>
      </c>
    </row>
    <row r="3445" spans="1:3" x14ac:dyDescent="0.15">
      <c r="A3445" t="s">
        <v>906</v>
      </c>
      <c r="B3445">
        <v>11.313700000000001</v>
      </c>
      <c r="C3445">
        <v>4.2204200000000002E-4</v>
      </c>
    </row>
    <row r="3446" spans="1:3" x14ac:dyDescent="0.15">
      <c r="A3446" t="s">
        <v>906</v>
      </c>
      <c r="B3446">
        <v>16</v>
      </c>
      <c r="C3446">
        <v>3.8578700000000001E-4</v>
      </c>
    </row>
    <row r="3447" spans="1:3" x14ac:dyDescent="0.15">
      <c r="A3447" t="s">
        <v>906</v>
      </c>
      <c r="B3447">
        <v>22.627400000000002</v>
      </c>
      <c r="C3447">
        <v>3.7176800000000002E-4</v>
      </c>
    </row>
    <row r="3448" spans="1:3" x14ac:dyDescent="0.15">
      <c r="A3448" t="s">
        <v>906</v>
      </c>
      <c r="B3448">
        <v>32</v>
      </c>
      <c r="C3448">
        <v>3.7255099999999999E-4</v>
      </c>
    </row>
    <row r="3449" spans="1:3" x14ac:dyDescent="0.15">
      <c r="A3449" t="s">
        <v>906</v>
      </c>
      <c r="B3449">
        <v>45.254800000000003</v>
      </c>
      <c r="C3449">
        <v>3.3865399999999997E-4</v>
      </c>
    </row>
    <row r="3450" spans="1:3" x14ac:dyDescent="0.15">
      <c r="A3450" t="s">
        <v>906</v>
      </c>
      <c r="B3450">
        <v>64</v>
      </c>
      <c r="C3450">
        <v>2.55839E-4</v>
      </c>
    </row>
    <row r="3451" spans="1:3" x14ac:dyDescent="0.15">
      <c r="A3451" t="s">
        <v>906</v>
      </c>
      <c r="B3451">
        <v>90.509699999999995</v>
      </c>
      <c r="C3451">
        <v>1.20951E-4</v>
      </c>
    </row>
    <row r="3452" spans="1:3" x14ac:dyDescent="0.15">
      <c r="A3452" t="s">
        <v>906</v>
      </c>
      <c r="B3452">
        <v>128</v>
      </c>
      <c r="C3452">
        <v>1.8410000000000002E-5</v>
      </c>
    </row>
    <row r="3453" spans="1:3" x14ac:dyDescent="0.15">
      <c r="A3453" t="s">
        <v>906</v>
      </c>
      <c r="B3453">
        <v>181.01929999999999</v>
      </c>
      <c r="C3453">
        <v>3.4299999999999999E-7</v>
      </c>
    </row>
    <row r="3454" spans="1:3" x14ac:dyDescent="0.15">
      <c r="A3454" t="s">
        <v>906</v>
      </c>
      <c r="B3454">
        <v>256</v>
      </c>
      <c r="C3454">
        <v>0</v>
      </c>
    </row>
    <row r="3455" spans="1:3" x14ac:dyDescent="0.15">
      <c r="A3455" t="s">
        <v>906</v>
      </c>
      <c r="B3455">
        <v>362.03870000000001</v>
      </c>
      <c r="C3455">
        <v>0</v>
      </c>
    </row>
    <row r="3456" spans="1:3" x14ac:dyDescent="0.15">
      <c r="A3456" t="s">
        <v>906</v>
      </c>
      <c r="B3456">
        <v>512</v>
      </c>
      <c r="C3456">
        <v>0</v>
      </c>
    </row>
    <row r="3457" spans="1:3" x14ac:dyDescent="0.15">
      <c r="A3457" t="s">
        <v>906</v>
      </c>
      <c r="B3457">
        <v>724.07730000000004</v>
      </c>
      <c r="C3457">
        <v>0</v>
      </c>
    </row>
    <row r="3458" spans="1:3" x14ac:dyDescent="0.15">
      <c r="A3458" t="s">
        <v>907</v>
      </c>
      <c r="B3458">
        <v>2</v>
      </c>
      <c r="C3458">
        <v>1.7187350000000001E-3</v>
      </c>
    </row>
    <row r="3459" spans="1:3" x14ac:dyDescent="0.15">
      <c r="A3459" t="s">
        <v>907</v>
      </c>
      <c r="B3459">
        <v>2.8283999999999998</v>
      </c>
      <c r="C3459">
        <v>1.5342450000000001E-3</v>
      </c>
    </row>
    <row r="3460" spans="1:3" x14ac:dyDescent="0.15">
      <c r="A3460" t="s">
        <v>907</v>
      </c>
      <c r="B3460">
        <v>4</v>
      </c>
      <c r="C3460">
        <v>1.2896680000000001E-3</v>
      </c>
    </row>
    <row r="3461" spans="1:3" x14ac:dyDescent="0.15">
      <c r="A3461" t="s">
        <v>907</v>
      </c>
      <c r="B3461">
        <v>5.6569000000000003</v>
      </c>
      <c r="C3461">
        <v>1.1850070000000001E-3</v>
      </c>
    </row>
    <row r="3462" spans="1:3" x14ac:dyDescent="0.15">
      <c r="A3462" t="s">
        <v>907</v>
      </c>
      <c r="B3462">
        <v>8</v>
      </c>
      <c r="C3462">
        <v>1.2101239999999999E-3</v>
      </c>
    </row>
    <row r="3463" spans="1:3" x14ac:dyDescent="0.15">
      <c r="A3463" t="s">
        <v>907</v>
      </c>
      <c r="B3463">
        <v>11.313700000000001</v>
      </c>
      <c r="C3463">
        <v>1.228701E-3</v>
      </c>
    </row>
    <row r="3464" spans="1:3" x14ac:dyDescent="0.15">
      <c r="A3464" t="s">
        <v>907</v>
      </c>
      <c r="B3464">
        <v>16</v>
      </c>
      <c r="C3464">
        <v>1.177862E-3</v>
      </c>
    </row>
    <row r="3465" spans="1:3" x14ac:dyDescent="0.15">
      <c r="A3465" t="s">
        <v>907</v>
      </c>
      <c r="B3465">
        <v>22.627400000000002</v>
      </c>
      <c r="C3465">
        <v>1.253079E-3</v>
      </c>
    </row>
    <row r="3466" spans="1:3" x14ac:dyDescent="0.15">
      <c r="A3466" t="s">
        <v>907</v>
      </c>
      <c r="B3466">
        <v>32</v>
      </c>
      <c r="C3466">
        <v>1.3312759999999999E-3</v>
      </c>
    </row>
    <row r="3467" spans="1:3" x14ac:dyDescent="0.15">
      <c r="A3467" t="s">
        <v>907</v>
      </c>
      <c r="B3467">
        <v>45.254800000000003</v>
      </c>
      <c r="C3467">
        <v>1.4694319999999999E-3</v>
      </c>
    </row>
    <row r="3468" spans="1:3" x14ac:dyDescent="0.15">
      <c r="A3468" t="s">
        <v>907</v>
      </c>
      <c r="B3468">
        <v>64</v>
      </c>
      <c r="C3468">
        <v>1.3087369999999999E-3</v>
      </c>
    </row>
    <row r="3469" spans="1:3" x14ac:dyDescent="0.15">
      <c r="A3469" t="s">
        <v>907</v>
      </c>
      <c r="B3469">
        <v>90.509699999999995</v>
      </c>
      <c r="C3469">
        <v>5.9595899999999996E-4</v>
      </c>
    </row>
    <row r="3470" spans="1:3" x14ac:dyDescent="0.15">
      <c r="A3470" t="s">
        <v>907</v>
      </c>
      <c r="B3470">
        <v>128</v>
      </c>
      <c r="C3470">
        <v>1.20492E-4</v>
      </c>
    </row>
    <row r="3471" spans="1:3" x14ac:dyDescent="0.15">
      <c r="A3471" t="s">
        <v>907</v>
      </c>
      <c r="B3471">
        <v>181.01929999999999</v>
      </c>
      <c r="C3471">
        <v>6.3052000000000006E-5</v>
      </c>
    </row>
    <row r="3472" spans="1:3" x14ac:dyDescent="0.15">
      <c r="A3472" t="s">
        <v>907</v>
      </c>
      <c r="B3472">
        <v>256</v>
      </c>
      <c r="C3472">
        <v>9.8099999999999992E-6</v>
      </c>
    </row>
    <row r="3473" spans="1:3" x14ac:dyDescent="0.15">
      <c r="A3473" t="s">
        <v>907</v>
      </c>
      <c r="B3473">
        <v>362.03870000000001</v>
      </c>
      <c r="C3473">
        <v>1.8300000000000001E-7</v>
      </c>
    </row>
    <row r="3474" spans="1:3" x14ac:dyDescent="0.15">
      <c r="A3474" t="s">
        <v>907</v>
      </c>
      <c r="B3474">
        <v>512</v>
      </c>
      <c r="C3474">
        <v>0</v>
      </c>
    </row>
    <row r="3475" spans="1:3" x14ac:dyDescent="0.15">
      <c r="A3475" t="s">
        <v>907</v>
      </c>
      <c r="B3475">
        <v>724.07730000000004</v>
      </c>
      <c r="C3475">
        <v>0</v>
      </c>
    </row>
    <row r="3476" spans="1:3" x14ac:dyDescent="0.15">
      <c r="A3476" t="s">
        <v>908</v>
      </c>
      <c r="B3476">
        <v>2</v>
      </c>
      <c r="C3476">
        <v>8.7936799999999995E-4</v>
      </c>
    </row>
    <row r="3477" spans="1:3" x14ac:dyDescent="0.15">
      <c r="A3477" t="s">
        <v>908</v>
      </c>
      <c r="B3477">
        <v>2.8283999999999998</v>
      </c>
      <c r="C3477">
        <v>1.014949E-3</v>
      </c>
    </row>
    <row r="3478" spans="1:3" x14ac:dyDescent="0.15">
      <c r="A3478" t="s">
        <v>908</v>
      </c>
      <c r="B3478">
        <v>4</v>
      </c>
      <c r="C3478">
        <v>1.1375039999999999E-3</v>
      </c>
    </row>
    <row r="3479" spans="1:3" x14ac:dyDescent="0.15">
      <c r="A3479" t="s">
        <v>908</v>
      </c>
      <c r="B3479">
        <v>5.6569000000000003</v>
      </c>
      <c r="C3479">
        <v>1.30904E-3</v>
      </c>
    </row>
    <row r="3480" spans="1:3" x14ac:dyDescent="0.15">
      <c r="A3480" t="s">
        <v>908</v>
      </c>
      <c r="B3480">
        <v>8</v>
      </c>
      <c r="C3480">
        <v>1.2106619999999999E-3</v>
      </c>
    </row>
    <row r="3481" spans="1:3" x14ac:dyDescent="0.15">
      <c r="A3481" t="s">
        <v>908</v>
      </c>
      <c r="B3481">
        <v>11.313700000000001</v>
      </c>
      <c r="C3481">
        <v>9.9875900000000011E-4</v>
      </c>
    </row>
    <row r="3482" spans="1:3" x14ac:dyDescent="0.15">
      <c r="A3482" t="s">
        <v>908</v>
      </c>
      <c r="B3482">
        <v>16</v>
      </c>
      <c r="C3482">
        <v>1.118272E-3</v>
      </c>
    </row>
    <row r="3483" spans="1:3" x14ac:dyDescent="0.15">
      <c r="A3483" t="s">
        <v>908</v>
      </c>
      <c r="B3483">
        <v>22.627400000000002</v>
      </c>
      <c r="C3483">
        <v>1.1339989999999999E-3</v>
      </c>
    </row>
    <row r="3484" spans="1:3" x14ac:dyDescent="0.15">
      <c r="A3484" t="s">
        <v>908</v>
      </c>
      <c r="B3484">
        <v>32</v>
      </c>
      <c r="C3484">
        <v>8.9483900000000003E-4</v>
      </c>
    </row>
    <row r="3485" spans="1:3" x14ac:dyDescent="0.15">
      <c r="A3485" t="s">
        <v>908</v>
      </c>
      <c r="B3485">
        <v>45.254800000000003</v>
      </c>
      <c r="C3485">
        <v>1.0706730000000001E-3</v>
      </c>
    </row>
    <row r="3486" spans="1:3" x14ac:dyDescent="0.15">
      <c r="A3486" t="s">
        <v>908</v>
      </c>
      <c r="B3486">
        <v>64</v>
      </c>
      <c r="C3486">
        <v>1.3352769999999999E-3</v>
      </c>
    </row>
    <row r="3487" spans="1:3" x14ac:dyDescent="0.15">
      <c r="A3487" t="s">
        <v>908</v>
      </c>
      <c r="B3487">
        <v>90.509699999999995</v>
      </c>
      <c r="C3487">
        <v>1.147028E-3</v>
      </c>
    </row>
    <row r="3488" spans="1:3" x14ac:dyDescent="0.15">
      <c r="A3488" t="s">
        <v>908</v>
      </c>
      <c r="B3488">
        <v>128</v>
      </c>
      <c r="C3488">
        <v>7.3656700000000004E-4</v>
      </c>
    </row>
    <row r="3489" spans="1:3" x14ac:dyDescent="0.15">
      <c r="A3489" t="s">
        <v>908</v>
      </c>
      <c r="B3489">
        <v>181.01929999999999</v>
      </c>
      <c r="C3489">
        <v>3.3571600000000001E-4</v>
      </c>
    </row>
    <row r="3490" spans="1:3" x14ac:dyDescent="0.15">
      <c r="A3490" t="s">
        <v>908</v>
      </c>
      <c r="B3490">
        <v>256</v>
      </c>
      <c r="C3490">
        <v>5.1399E-5</v>
      </c>
    </row>
    <row r="3491" spans="1:3" x14ac:dyDescent="0.15">
      <c r="A3491" t="s">
        <v>908</v>
      </c>
      <c r="B3491">
        <v>362.03870000000001</v>
      </c>
      <c r="C3491">
        <v>9.5900000000000005E-7</v>
      </c>
    </row>
    <row r="3492" spans="1:3" x14ac:dyDescent="0.15">
      <c r="A3492" t="s">
        <v>908</v>
      </c>
      <c r="B3492">
        <v>512</v>
      </c>
      <c r="C3492">
        <v>0</v>
      </c>
    </row>
    <row r="3493" spans="1:3" x14ac:dyDescent="0.15">
      <c r="A3493" t="s">
        <v>908</v>
      </c>
      <c r="B3493">
        <v>724.07730000000004</v>
      </c>
      <c r="C3493">
        <v>0</v>
      </c>
    </row>
    <row r="3494" spans="1:3" x14ac:dyDescent="0.15">
      <c r="A3494" t="s">
        <v>909</v>
      </c>
      <c r="B3494">
        <v>2</v>
      </c>
      <c r="C3494">
        <v>1.3098160000000001E-3</v>
      </c>
    </row>
    <row r="3495" spans="1:3" x14ac:dyDescent="0.15">
      <c r="A3495" t="s">
        <v>909</v>
      </c>
      <c r="B3495">
        <v>2.8283999999999998</v>
      </c>
      <c r="C3495">
        <v>1.5273960000000001E-3</v>
      </c>
    </row>
    <row r="3496" spans="1:3" x14ac:dyDescent="0.15">
      <c r="A3496" t="s">
        <v>909</v>
      </c>
      <c r="B3496">
        <v>4</v>
      </c>
      <c r="C3496">
        <v>1.493121E-3</v>
      </c>
    </row>
    <row r="3497" spans="1:3" x14ac:dyDescent="0.15">
      <c r="A3497" t="s">
        <v>909</v>
      </c>
      <c r="B3497">
        <v>5.6569000000000003</v>
      </c>
      <c r="C3497">
        <v>1.26311E-3</v>
      </c>
    </row>
    <row r="3498" spans="1:3" x14ac:dyDescent="0.15">
      <c r="A3498" t="s">
        <v>909</v>
      </c>
      <c r="B3498">
        <v>8</v>
      </c>
      <c r="C3498">
        <v>1.1113900000000001E-3</v>
      </c>
    </row>
    <row r="3499" spans="1:3" x14ac:dyDescent="0.15">
      <c r="A3499" t="s">
        <v>909</v>
      </c>
      <c r="B3499">
        <v>11.313700000000001</v>
      </c>
      <c r="C3499">
        <v>9.6572300000000004E-4</v>
      </c>
    </row>
    <row r="3500" spans="1:3" x14ac:dyDescent="0.15">
      <c r="A3500" t="s">
        <v>909</v>
      </c>
      <c r="B3500">
        <v>16</v>
      </c>
      <c r="C3500">
        <v>1.0288700000000001E-3</v>
      </c>
    </row>
    <row r="3501" spans="1:3" x14ac:dyDescent="0.15">
      <c r="A3501" t="s">
        <v>909</v>
      </c>
      <c r="B3501">
        <v>22.627400000000002</v>
      </c>
      <c r="C3501">
        <v>1.252986E-3</v>
      </c>
    </row>
    <row r="3502" spans="1:3" x14ac:dyDescent="0.15">
      <c r="A3502" t="s">
        <v>909</v>
      </c>
      <c r="B3502">
        <v>32</v>
      </c>
      <c r="C3502">
        <v>1.218743E-3</v>
      </c>
    </row>
    <row r="3503" spans="1:3" x14ac:dyDescent="0.15">
      <c r="A3503" t="s">
        <v>909</v>
      </c>
      <c r="B3503">
        <v>45.254800000000003</v>
      </c>
      <c r="C3503">
        <v>8.4019699999999999E-4</v>
      </c>
    </row>
    <row r="3504" spans="1:3" x14ac:dyDescent="0.15">
      <c r="A3504" t="s">
        <v>909</v>
      </c>
      <c r="B3504">
        <v>64</v>
      </c>
      <c r="C3504">
        <v>5.82995E-4</v>
      </c>
    </row>
    <row r="3505" spans="1:3" x14ac:dyDescent="0.15">
      <c r="A3505" t="s">
        <v>909</v>
      </c>
      <c r="B3505">
        <v>90.509699999999995</v>
      </c>
      <c r="C3505">
        <v>2.8685100000000002E-4</v>
      </c>
    </row>
    <row r="3506" spans="1:3" x14ac:dyDescent="0.15">
      <c r="A3506" t="s">
        <v>909</v>
      </c>
      <c r="B3506">
        <v>128</v>
      </c>
      <c r="C3506">
        <v>4.4109000000000001E-5</v>
      </c>
    </row>
    <row r="3507" spans="1:3" x14ac:dyDescent="0.15">
      <c r="A3507" t="s">
        <v>909</v>
      </c>
      <c r="B3507">
        <v>181.01929999999999</v>
      </c>
      <c r="C3507">
        <v>8.23E-7</v>
      </c>
    </row>
    <row r="3508" spans="1:3" x14ac:dyDescent="0.15">
      <c r="A3508" t="s">
        <v>909</v>
      </c>
      <c r="B3508">
        <v>256</v>
      </c>
      <c r="C3508">
        <v>0</v>
      </c>
    </row>
    <row r="3509" spans="1:3" x14ac:dyDescent="0.15">
      <c r="A3509" t="s">
        <v>909</v>
      </c>
      <c r="B3509">
        <v>362.03870000000001</v>
      </c>
      <c r="C3509">
        <v>0</v>
      </c>
    </row>
    <row r="3510" spans="1:3" x14ac:dyDescent="0.15">
      <c r="A3510" t="s">
        <v>909</v>
      </c>
      <c r="B3510">
        <v>512</v>
      </c>
      <c r="C3510">
        <v>0</v>
      </c>
    </row>
    <row r="3511" spans="1:3" x14ac:dyDescent="0.15">
      <c r="A3511" t="s">
        <v>909</v>
      </c>
      <c r="B3511">
        <v>724.07730000000004</v>
      </c>
      <c r="C3511">
        <v>0</v>
      </c>
    </row>
    <row r="3512" spans="1:3" x14ac:dyDescent="0.15">
      <c r="A3512" t="s">
        <v>910</v>
      </c>
      <c r="B3512">
        <v>2</v>
      </c>
      <c r="C3512">
        <v>6.2076600000000003E-4</v>
      </c>
    </row>
    <row r="3513" spans="1:3" x14ac:dyDescent="0.15">
      <c r="A3513" t="s">
        <v>910</v>
      </c>
      <c r="B3513">
        <v>2.8283999999999998</v>
      </c>
      <c r="C3513">
        <v>6.8951799999999997E-4</v>
      </c>
    </row>
    <row r="3514" spans="1:3" x14ac:dyDescent="0.15">
      <c r="A3514" t="s">
        <v>910</v>
      </c>
      <c r="B3514">
        <v>4</v>
      </c>
      <c r="C3514">
        <v>7.1172800000000001E-4</v>
      </c>
    </row>
    <row r="3515" spans="1:3" x14ac:dyDescent="0.15">
      <c r="A3515" t="s">
        <v>910</v>
      </c>
      <c r="B3515">
        <v>5.6569000000000003</v>
      </c>
      <c r="C3515">
        <v>6.8281699999999995E-4</v>
      </c>
    </row>
    <row r="3516" spans="1:3" x14ac:dyDescent="0.15">
      <c r="A3516" t="s">
        <v>910</v>
      </c>
      <c r="B3516">
        <v>8</v>
      </c>
      <c r="C3516">
        <v>6.5083999999999997E-4</v>
      </c>
    </row>
    <row r="3517" spans="1:3" x14ac:dyDescent="0.15">
      <c r="A3517" t="s">
        <v>910</v>
      </c>
      <c r="B3517">
        <v>11.313700000000001</v>
      </c>
      <c r="C3517">
        <v>6.1417399999999999E-4</v>
      </c>
    </row>
    <row r="3518" spans="1:3" x14ac:dyDescent="0.15">
      <c r="A3518" t="s">
        <v>910</v>
      </c>
      <c r="B3518">
        <v>16</v>
      </c>
      <c r="C3518">
        <v>5.3929599999999998E-4</v>
      </c>
    </row>
    <row r="3519" spans="1:3" x14ac:dyDescent="0.15">
      <c r="A3519" t="s">
        <v>910</v>
      </c>
      <c r="B3519">
        <v>22.627400000000002</v>
      </c>
      <c r="C3519">
        <v>4.16387E-4</v>
      </c>
    </row>
    <row r="3520" spans="1:3" x14ac:dyDescent="0.15">
      <c r="A3520" t="s">
        <v>910</v>
      </c>
      <c r="B3520">
        <v>32</v>
      </c>
      <c r="C3520">
        <v>2.7856799999999998E-4</v>
      </c>
    </row>
    <row r="3521" spans="1:3" x14ac:dyDescent="0.15">
      <c r="A3521" t="s">
        <v>910</v>
      </c>
      <c r="B3521">
        <v>45.254800000000003</v>
      </c>
      <c r="C3521">
        <v>1.96388E-4</v>
      </c>
    </row>
    <row r="3522" spans="1:3" x14ac:dyDescent="0.15">
      <c r="A3522" t="s">
        <v>910</v>
      </c>
      <c r="B3522">
        <v>64</v>
      </c>
      <c r="C3522">
        <v>1.29441E-4</v>
      </c>
    </row>
    <row r="3523" spans="1:3" x14ac:dyDescent="0.15">
      <c r="A3523" t="s">
        <v>910</v>
      </c>
      <c r="B3523">
        <v>90.509699999999995</v>
      </c>
      <c r="C3523">
        <v>6.6245E-5</v>
      </c>
    </row>
    <row r="3524" spans="1:3" x14ac:dyDescent="0.15">
      <c r="A3524" t="s">
        <v>910</v>
      </c>
      <c r="B3524">
        <v>128</v>
      </c>
      <c r="C3524">
        <v>4.0436999999999999E-5</v>
      </c>
    </row>
    <row r="3525" spans="1:3" x14ac:dyDescent="0.15">
      <c r="A3525" t="s">
        <v>910</v>
      </c>
      <c r="B3525">
        <v>181.01929999999999</v>
      </c>
      <c r="C3525">
        <v>1.8326999999999999E-5</v>
      </c>
    </row>
    <row r="3526" spans="1:3" x14ac:dyDescent="0.15">
      <c r="A3526" t="s">
        <v>910</v>
      </c>
      <c r="B3526">
        <v>256</v>
      </c>
      <c r="C3526">
        <v>2.7199999999999998E-6</v>
      </c>
    </row>
    <row r="3527" spans="1:3" x14ac:dyDescent="0.15">
      <c r="A3527" t="s">
        <v>910</v>
      </c>
      <c r="B3527">
        <v>362.03870000000001</v>
      </c>
      <c r="C3527">
        <v>5.1E-8</v>
      </c>
    </row>
    <row r="3528" spans="1:3" x14ac:dyDescent="0.15">
      <c r="A3528" t="s">
        <v>910</v>
      </c>
      <c r="B3528">
        <v>512</v>
      </c>
      <c r="C3528">
        <v>0</v>
      </c>
    </row>
    <row r="3529" spans="1:3" x14ac:dyDescent="0.15">
      <c r="A3529" t="s">
        <v>910</v>
      </c>
      <c r="B3529">
        <v>724.07730000000004</v>
      </c>
      <c r="C3529">
        <v>0</v>
      </c>
    </row>
    <row r="3530" spans="1:3" x14ac:dyDescent="0.15">
      <c r="A3530" t="s">
        <v>911</v>
      </c>
      <c r="B3530">
        <v>2</v>
      </c>
      <c r="C3530">
        <v>1.0000000000000001E-9</v>
      </c>
    </row>
    <row r="3531" spans="1:3" x14ac:dyDescent="0.15">
      <c r="A3531" t="s">
        <v>911</v>
      </c>
      <c r="B3531">
        <v>2.8283999999999998</v>
      </c>
      <c r="C3531">
        <v>1.0000000000000001E-9</v>
      </c>
    </row>
    <row r="3532" spans="1:3" x14ac:dyDescent="0.15">
      <c r="A3532" t="s">
        <v>911</v>
      </c>
      <c r="B3532">
        <v>4</v>
      </c>
      <c r="C3532">
        <v>1.0000000000000001E-9</v>
      </c>
    </row>
    <row r="3533" spans="1:3" x14ac:dyDescent="0.15">
      <c r="A3533" t="s">
        <v>911</v>
      </c>
      <c r="B3533">
        <v>5.6569000000000003</v>
      </c>
      <c r="C3533">
        <v>1.0000000000000001E-9</v>
      </c>
    </row>
    <row r="3534" spans="1:3" x14ac:dyDescent="0.15">
      <c r="A3534" t="s">
        <v>911</v>
      </c>
      <c r="B3534">
        <v>8</v>
      </c>
      <c r="C3534">
        <v>0</v>
      </c>
    </row>
    <row r="3535" spans="1:3" x14ac:dyDescent="0.15">
      <c r="A3535" t="s">
        <v>911</v>
      </c>
      <c r="B3535">
        <v>11.313700000000001</v>
      </c>
      <c r="C3535">
        <v>0</v>
      </c>
    </row>
    <row r="3536" spans="1:3" x14ac:dyDescent="0.15">
      <c r="A3536" t="s">
        <v>911</v>
      </c>
      <c r="B3536">
        <v>16</v>
      </c>
      <c r="C3536">
        <v>0</v>
      </c>
    </row>
    <row r="3537" spans="1:3" x14ac:dyDescent="0.15">
      <c r="A3537" t="s">
        <v>911</v>
      </c>
      <c r="B3537">
        <v>22.627400000000002</v>
      </c>
      <c r="C3537">
        <v>0</v>
      </c>
    </row>
    <row r="3538" spans="1:3" x14ac:dyDescent="0.15">
      <c r="A3538" t="s">
        <v>911</v>
      </c>
      <c r="B3538">
        <v>32</v>
      </c>
      <c r="C3538">
        <v>0</v>
      </c>
    </row>
    <row r="3539" spans="1:3" x14ac:dyDescent="0.15">
      <c r="A3539" t="s">
        <v>911</v>
      </c>
      <c r="B3539">
        <v>45.254800000000003</v>
      </c>
      <c r="C3539">
        <v>0</v>
      </c>
    </row>
    <row r="3540" spans="1:3" x14ac:dyDescent="0.15">
      <c r="A3540" t="s">
        <v>911</v>
      </c>
      <c r="B3540">
        <v>64</v>
      </c>
      <c r="C3540">
        <v>0</v>
      </c>
    </row>
    <row r="3541" spans="1:3" x14ac:dyDescent="0.15">
      <c r="A3541" t="s">
        <v>911</v>
      </c>
      <c r="B3541">
        <v>90.509699999999995</v>
      </c>
      <c r="C3541">
        <v>0</v>
      </c>
    </row>
    <row r="3542" spans="1:3" x14ac:dyDescent="0.15">
      <c r="A3542" t="s">
        <v>911</v>
      </c>
      <c r="B3542">
        <v>128</v>
      </c>
      <c r="C3542">
        <v>0</v>
      </c>
    </row>
    <row r="3543" spans="1:3" x14ac:dyDescent="0.15">
      <c r="A3543" t="s">
        <v>911</v>
      </c>
      <c r="B3543">
        <v>181.01929999999999</v>
      </c>
      <c r="C3543">
        <v>0</v>
      </c>
    </row>
    <row r="3544" spans="1:3" x14ac:dyDescent="0.15">
      <c r="A3544" t="s">
        <v>911</v>
      </c>
      <c r="B3544">
        <v>256</v>
      </c>
      <c r="C3544">
        <v>0</v>
      </c>
    </row>
    <row r="3545" spans="1:3" x14ac:dyDescent="0.15">
      <c r="A3545" t="s">
        <v>911</v>
      </c>
      <c r="B3545">
        <v>362.03870000000001</v>
      </c>
      <c r="C3545">
        <v>0</v>
      </c>
    </row>
    <row r="3546" spans="1:3" x14ac:dyDescent="0.15">
      <c r="A3546" t="s">
        <v>911</v>
      </c>
      <c r="B3546">
        <v>512</v>
      </c>
      <c r="C3546">
        <v>0</v>
      </c>
    </row>
    <row r="3547" spans="1:3" x14ac:dyDescent="0.15">
      <c r="A3547" t="s">
        <v>911</v>
      </c>
      <c r="B3547">
        <v>724.07730000000004</v>
      </c>
      <c r="C3547">
        <v>0</v>
      </c>
    </row>
    <row r="3548" spans="1:3" x14ac:dyDescent="0.15">
      <c r="A3548" t="s">
        <v>911</v>
      </c>
      <c r="B3548">
        <v>2</v>
      </c>
      <c r="C3548">
        <v>1.4439629999999999E-3</v>
      </c>
    </row>
    <row r="3549" spans="1:3" x14ac:dyDescent="0.15">
      <c r="A3549" t="s">
        <v>911</v>
      </c>
      <c r="B3549">
        <v>2.8283999999999998</v>
      </c>
      <c r="C3549">
        <v>1.699105E-3</v>
      </c>
    </row>
    <row r="3550" spans="1:3" x14ac:dyDescent="0.15">
      <c r="A3550" t="s">
        <v>911</v>
      </c>
      <c r="B3550">
        <v>4</v>
      </c>
      <c r="C3550">
        <v>1.7588129999999999E-3</v>
      </c>
    </row>
    <row r="3551" spans="1:3" x14ac:dyDescent="0.15">
      <c r="A3551" t="s">
        <v>911</v>
      </c>
      <c r="B3551">
        <v>5.6569000000000003</v>
      </c>
      <c r="C3551">
        <v>1.6022370000000001E-3</v>
      </c>
    </row>
    <row r="3552" spans="1:3" x14ac:dyDescent="0.15">
      <c r="A3552" t="s">
        <v>911</v>
      </c>
      <c r="B3552">
        <v>8</v>
      </c>
      <c r="C3552">
        <v>1.498414E-3</v>
      </c>
    </row>
    <row r="3553" spans="1:3" x14ac:dyDescent="0.15">
      <c r="A3553" t="s">
        <v>911</v>
      </c>
      <c r="B3553">
        <v>11.313700000000001</v>
      </c>
      <c r="C3553">
        <v>1.3172380000000001E-3</v>
      </c>
    </row>
    <row r="3554" spans="1:3" x14ac:dyDescent="0.15">
      <c r="A3554" t="s">
        <v>911</v>
      </c>
      <c r="B3554">
        <v>16</v>
      </c>
      <c r="C3554">
        <v>1.192088E-3</v>
      </c>
    </row>
    <row r="3555" spans="1:3" x14ac:dyDescent="0.15">
      <c r="A3555" t="s">
        <v>911</v>
      </c>
      <c r="B3555">
        <v>22.627400000000002</v>
      </c>
      <c r="C3555">
        <v>1.3364690000000001E-3</v>
      </c>
    </row>
    <row r="3556" spans="1:3" x14ac:dyDescent="0.15">
      <c r="A3556" t="s">
        <v>911</v>
      </c>
      <c r="B3556">
        <v>32</v>
      </c>
      <c r="C3556">
        <v>1.3288340000000001E-3</v>
      </c>
    </row>
    <row r="3557" spans="1:3" x14ac:dyDescent="0.15">
      <c r="A3557" t="s">
        <v>911</v>
      </c>
      <c r="B3557">
        <v>45.254800000000003</v>
      </c>
      <c r="C3557">
        <v>1.1222820000000001E-3</v>
      </c>
    </row>
    <row r="3558" spans="1:3" x14ac:dyDescent="0.15">
      <c r="A3558" t="s">
        <v>911</v>
      </c>
      <c r="B3558">
        <v>64</v>
      </c>
      <c r="C3558">
        <v>8.9962199999999999E-4</v>
      </c>
    </row>
    <row r="3559" spans="1:3" x14ac:dyDescent="0.15">
      <c r="A3559" t="s">
        <v>911</v>
      </c>
      <c r="B3559">
        <v>90.509699999999995</v>
      </c>
      <c r="C3559">
        <v>4.47267E-4</v>
      </c>
    </row>
    <row r="3560" spans="1:3" x14ac:dyDescent="0.15">
      <c r="A3560" t="s">
        <v>911</v>
      </c>
      <c r="B3560">
        <v>128</v>
      </c>
      <c r="C3560">
        <v>6.9006999999999998E-5</v>
      </c>
    </row>
    <row r="3561" spans="1:3" x14ac:dyDescent="0.15">
      <c r="A3561" t="s">
        <v>911</v>
      </c>
      <c r="B3561">
        <v>181.01929999999999</v>
      </c>
      <c r="C3561">
        <v>1.288E-6</v>
      </c>
    </row>
    <row r="3562" spans="1:3" x14ac:dyDescent="0.15">
      <c r="A3562" t="s">
        <v>911</v>
      </c>
      <c r="B3562">
        <v>256</v>
      </c>
      <c r="C3562">
        <v>1.0000000000000001E-9</v>
      </c>
    </row>
    <row r="3563" spans="1:3" x14ac:dyDescent="0.15">
      <c r="A3563" t="s">
        <v>911</v>
      </c>
      <c r="B3563">
        <v>362.03870000000001</v>
      </c>
      <c r="C3563">
        <v>0</v>
      </c>
    </row>
    <row r="3564" spans="1:3" x14ac:dyDescent="0.15">
      <c r="A3564" t="s">
        <v>911</v>
      </c>
      <c r="B3564">
        <v>512</v>
      </c>
      <c r="C3564">
        <v>0</v>
      </c>
    </row>
    <row r="3565" spans="1:3" x14ac:dyDescent="0.15">
      <c r="A3565" t="s">
        <v>911</v>
      </c>
      <c r="B3565">
        <v>724.07730000000004</v>
      </c>
      <c r="C3565">
        <v>0</v>
      </c>
    </row>
    <row r="3566" spans="1:3" x14ac:dyDescent="0.15">
      <c r="A3566" t="s">
        <v>912</v>
      </c>
      <c r="B3566">
        <v>2</v>
      </c>
      <c r="C3566">
        <v>4.9896599999999999E-4</v>
      </c>
    </row>
    <row r="3567" spans="1:3" x14ac:dyDescent="0.15">
      <c r="A3567" t="s">
        <v>912</v>
      </c>
      <c r="B3567">
        <v>2.8283999999999998</v>
      </c>
      <c r="C3567">
        <v>5.2150799999999995E-4</v>
      </c>
    </row>
    <row r="3568" spans="1:3" x14ac:dyDescent="0.15">
      <c r="A3568" t="s">
        <v>912</v>
      </c>
      <c r="B3568">
        <v>4</v>
      </c>
      <c r="C3568">
        <v>4.6378100000000002E-4</v>
      </c>
    </row>
    <row r="3569" spans="1:3" x14ac:dyDescent="0.15">
      <c r="A3569" t="s">
        <v>912</v>
      </c>
      <c r="B3569">
        <v>5.6569000000000003</v>
      </c>
      <c r="C3569">
        <v>4.4966899999999998E-4</v>
      </c>
    </row>
    <row r="3570" spans="1:3" x14ac:dyDescent="0.15">
      <c r="A3570" t="s">
        <v>912</v>
      </c>
      <c r="B3570">
        <v>8</v>
      </c>
      <c r="C3570">
        <v>4.5691999999999998E-4</v>
      </c>
    </row>
    <row r="3571" spans="1:3" x14ac:dyDescent="0.15">
      <c r="A3571" t="s">
        <v>912</v>
      </c>
      <c r="B3571">
        <v>11.313700000000001</v>
      </c>
      <c r="C3571">
        <v>4.7130499999999999E-4</v>
      </c>
    </row>
    <row r="3572" spans="1:3" x14ac:dyDescent="0.15">
      <c r="A3572" t="s">
        <v>912</v>
      </c>
      <c r="B3572">
        <v>16</v>
      </c>
      <c r="C3572">
        <v>4.41958E-4</v>
      </c>
    </row>
    <row r="3573" spans="1:3" x14ac:dyDescent="0.15">
      <c r="A3573" t="s">
        <v>912</v>
      </c>
      <c r="B3573">
        <v>22.627400000000002</v>
      </c>
      <c r="C3573">
        <v>3.1147800000000002E-4</v>
      </c>
    </row>
    <row r="3574" spans="1:3" x14ac:dyDescent="0.15">
      <c r="A3574" t="s">
        <v>912</v>
      </c>
      <c r="B3574">
        <v>32</v>
      </c>
      <c r="C3574">
        <v>1.94561E-4</v>
      </c>
    </row>
    <row r="3575" spans="1:3" x14ac:dyDescent="0.15">
      <c r="A3575" t="s">
        <v>912</v>
      </c>
      <c r="B3575">
        <v>45.254800000000003</v>
      </c>
      <c r="C3575">
        <v>1.6366199999999999E-4</v>
      </c>
    </row>
    <row r="3576" spans="1:3" x14ac:dyDescent="0.15">
      <c r="A3576" t="s">
        <v>912</v>
      </c>
      <c r="B3576">
        <v>64</v>
      </c>
      <c r="C3576">
        <v>1.47341E-4</v>
      </c>
    </row>
    <row r="3577" spans="1:3" x14ac:dyDescent="0.15">
      <c r="A3577" t="s">
        <v>912</v>
      </c>
      <c r="B3577">
        <v>90.509699999999995</v>
      </c>
      <c r="C3577">
        <v>7.3387999999999996E-5</v>
      </c>
    </row>
    <row r="3578" spans="1:3" x14ac:dyDescent="0.15">
      <c r="A3578" t="s">
        <v>912</v>
      </c>
      <c r="B3578">
        <v>128</v>
      </c>
      <c r="C3578">
        <v>1.1231E-5</v>
      </c>
    </row>
    <row r="3579" spans="1:3" x14ac:dyDescent="0.15">
      <c r="A3579" t="s">
        <v>912</v>
      </c>
      <c r="B3579">
        <v>181.01929999999999</v>
      </c>
      <c r="C3579">
        <v>2.0900000000000001E-7</v>
      </c>
    </row>
    <row r="3580" spans="1:3" x14ac:dyDescent="0.15">
      <c r="A3580" t="s">
        <v>912</v>
      </c>
      <c r="B3580">
        <v>256</v>
      </c>
      <c r="C3580">
        <v>0</v>
      </c>
    </row>
    <row r="3581" spans="1:3" x14ac:dyDescent="0.15">
      <c r="A3581" t="s">
        <v>912</v>
      </c>
      <c r="B3581">
        <v>362.03870000000001</v>
      </c>
      <c r="C3581">
        <v>0</v>
      </c>
    </row>
    <row r="3582" spans="1:3" x14ac:dyDescent="0.15">
      <c r="A3582" t="s">
        <v>912</v>
      </c>
      <c r="B3582">
        <v>512</v>
      </c>
      <c r="C3582">
        <v>0</v>
      </c>
    </row>
    <row r="3583" spans="1:3" x14ac:dyDescent="0.15">
      <c r="A3583" t="s">
        <v>912</v>
      </c>
      <c r="B3583">
        <v>724.07730000000004</v>
      </c>
      <c r="C3583">
        <v>0</v>
      </c>
    </row>
    <row r="3584" spans="1:3" x14ac:dyDescent="0.15">
      <c r="A3584" t="s">
        <v>913</v>
      </c>
      <c r="B3584">
        <v>2</v>
      </c>
      <c r="C3584">
        <v>1.114044E-3</v>
      </c>
    </row>
    <row r="3585" spans="1:3" x14ac:dyDescent="0.15">
      <c r="A3585" t="s">
        <v>913</v>
      </c>
      <c r="B3585">
        <v>2.8283999999999998</v>
      </c>
      <c r="C3585">
        <v>1.328468E-3</v>
      </c>
    </row>
    <row r="3586" spans="1:3" x14ac:dyDescent="0.15">
      <c r="A3586" t="s">
        <v>913</v>
      </c>
      <c r="B3586">
        <v>4</v>
      </c>
      <c r="C3586">
        <v>1.3684260000000001E-3</v>
      </c>
    </row>
    <row r="3587" spans="1:3" x14ac:dyDescent="0.15">
      <c r="A3587" t="s">
        <v>913</v>
      </c>
      <c r="B3587">
        <v>5.6569000000000003</v>
      </c>
      <c r="C3587">
        <v>1.366506E-3</v>
      </c>
    </row>
    <row r="3588" spans="1:3" x14ac:dyDescent="0.15">
      <c r="A3588" t="s">
        <v>913</v>
      </c>
      <c r="B3588">
        <v>8</v>
      </c>
      <c r="C3588">
        <v>1.382089E-3</v>
      </c>
    </row>
    <row r="3589" spans="1:3" x14ac:dyDescent="0.15">
      <c r="A3589" t="s">
        <v>913</v>
      </c>
      <c r="B3589">
        <v>11.313700000000001</v>
      </c>
      <c r="C3589">
        <v>1.314041E-3</v>
      </c>
    </row>
    <row r="3590" spans="1:3" x14ac:dyDescent="0.15">
      <c r="A3590" t="s">
        <v>913</v>
      </c>
      <c r="B3590">
        <v>16</v>
      </c>
      <c r="C3590">
        <v>1.0038239999999999E-3</v>
      </c>
    </row>
    <row r="3591" spans="1:3" x14ac:dyDescent="0.15">
      <c r="A3591" t="s">
        <v>913</v>
      </c>
      <c r="B3591">
        <v>22.627400000000002</v>
      </c>
      <c r="C3591">
        <v>6.3404300000000004E-4</v>
      </c>
    </row>
    <row r="3592" spans="1:3" x14ac:dyDescent="0.15">
      <c r="A3592" t="s">
        <v>913</v>
      </c>
      <c r="B3592">
        <v>32</v>
      </c>
      <c r="C3592">
        <v>4.7146200000000002E-4</v>
      </c>
    </row>
    <row r="3593" spans="1:3" x14ac:dyDescent="0.15">
      <c r="A3593" t="s">
        <v>913</v>
      </c>
      <c r="B3593">
        <v>45.254800000000003</v>
      </c>
      <c r="C3593">
        <v>5.6595099999999998E-4</v>
      </c>
    </row>
    <row r="3594" spans="1:3" x14ac:dyDescent="0.15">
      <c r="A3594" t="s">
        <v>913</v>
      </c>
      <c r="B3594">
        <v>64</v>
      </c>
      <c r="C3594">
        <v>6.9365900000000001E-4</v>
      </c>
    </row>
    <row r="3595" spans="1:3" x14ac:dyDescent="0.15">
      <c r="A3595" t="s">
        <v>913</v>
      </c>
      <c r="B3595">
        <v>90.509699999999995</v>
      </c>
      <c r="C3595">
        <v>6.3062199999999995E-4</v>
      </c>
    </row>
    <row r="3596" spans="1:3" x14ac:dyDescent="0.15">
      <c r="A3596" t="s">
        <v>913</v>
      </c>
      <c r="B3596">
        <v>128</v>
      </c>
      <c r="C3596">
        <v>4.4385900000000001E-4</v>
      </c>
    </row>
    <row r="3597" spans="1:3" x14ac:dyDescent="0.15">
      <c r="A3597" t="s">
        <v>913</v>
      </c>
      <c r="B3597">
        <v>181.01929999999999</v>
      </c>
      <c r="C3597">
        <v>2.0774699999999999E-4</v>
      </c>
    </row>
    <row r="3598" spans="1:3" x14ac:dyDescent="0.15">
      <c r="A3598" t="s">
        <v>913</v>
      </c>
      <c r="B3598">
        <v>256</v>
      </c>
      <c r="C3598">
        <v>3.1828000000000001E-5</v>
      </c>
    </row>
    <row r="3599" spans="1:3" x14ac:dyDescent="0.15">
      <c r="A3599" t="s">
        <v>913</v>
      </c>
      <c r="B3599">
        <v>362.03870000000001</v>
      </c>
      <c r="C3599">
        <v>5.9400000000000005E-7</v>
      </c>
    </row>
    <row r="3600" spans="1:3" x14ac:dyDescent="0.15">
      <c r="A3600" t="s">
        <v>913</v>
      </c>
      <c r="B3600">
        <v>512</v>
      </c>
      <c r="C3600">
        <v>0</v>
      </c>
    </row>
    <row r="3601" spans="1:3" x14ac:dyDescent="0.15">
      <c r="A3601" t="s">
        <v>913</v>
      </c>
      <c r="B3601">
        <v>724.07730000000004</v>
      </c>
      <c r="C3601">
        <v>0</v>
      </c>
    </row>
    <row r="3602" spans="1:3" x14ac:dyDescent="0.15">
      <c r="A3602" t="s">
        <v>914</v>
      </c>
      <c r="B3602">
        <v>2</v>
      </c>
      <c r="C3602">
        <v>1.9495820000000001E-3</v>
      </c>
    </row>
    <row r="3603" spans="1:3" x14ac:dyDescent="0.15">
      <c r="A3603" t="s">
        <v>914</v>
      </c>
      <c r="B3603">
        <v>2.8283999999999998</v>
      </c>
      <c r="C3603">
        <v>2.1974999999999998E-3</v>
      </c>
    </row>
    <row r="3604" spans="1:3" x14ac:dyDescent="0.15">
      <c r="A3604" t="s">
        <v>914</v>
      </c>
      <c r="B3604">
        <v>4</v>
      </c>
      <c r="C3604">
        <v>2.2958319999999998E-3</v>
      </c>
    </row>
    <row r="3605" spans="1:3" x14ac:dyDescent="0.15">
      <c r="A3605" t="s">
        <v>914</v>
      </c>
      <c r="B3605">
        <v>5.6569000000000003</v>
      </c>
      <c r="C3605">
        <v>2.0617600000000002E-3</v>
      </c>
    </row>
    <row r="3606" spans="1:3" x14ac:dyDescent="0.15">
      <c r="A3606" t="s">
        <v>914</v>
      </c>
      <c r="B3606">
        <v>8</v>
      </c>
      <c r="C3606">
        <v>1.768875E-3</v>
      </c>
    </row>
    <row r="3607" spans="1:3" x14ac:dyDescent="0.15">
      <c r="A3607" t="s">
        <v>914</v>
      </c>
      <c r="B3607">
        <v>11.313700000000001</v>
      </c>
      <c r="C3607">
        <v>1.636658E-3</v>
      </c>
    </row>
    <row r="3608" spans="1:3" x14ac:dyDescent="0.15">
      <c r="A3608" t="s">
        <v>914</v>
      </c>
      <c r="B3608">
        <v>16</v>
      </c>
      <c r="C3608">
        <v>1.472073E-3</v>
      </c>
    </row>
    <row r="3609" spans="1:3" x14ac:dyDescent="0.15">
      <c r="A3609" t="s">
        <v>914</v>
      </c>
      <c r="B3609">
        <v>22.627400000000002</v>
      </c>
      <c r="C3609">
        <v>1.4561590000000001E-3</v>
      </c>
    </row>
    <row r="3610" spans="1:3" x14ac:dyDescent="0.15">
      <c r="A3610" t="s">
        <v>914</v>
      </c>
      <c r="B3610">
        <v>32</v>
      </c>
      <c r="C3610">
        <v>1.5292140000000001E-3</v>
      </c>
    </row>
    <row r="3611" spans="1:3" x14ac:dyDescent="0.15">
      <c r="A3611" t="s">
        <v>914</v>
      </c>
      <c r="B3611">
        <v>45.254800000000003</v>
      </c>
      <c r="C3611">
        <v>1.297131E-3</v>
      </c>
    </row>
    <row r="3612" spans="1:3" x14ac:dyDescent="0.15">
      <c r="A3612" t="s">
        <v>914</v>
      </c>
      <c r="B3612">
        <v>64</v>
      </c>
      <c r="C3612">
        <v>5.8819000000000005E-4</v>
      </c>
    </row>
    <row r="3613" spans="1:3" x14ac:dyDescent="0.15">
      <c r="A3613" t="s">
        <v>914</v>
      </c>
      <c r="B3613">
        <v>90.509699999999995</v>
      </c>
      <c r="C3613">
        <v>1.6659300000000001E-4</v>
      </c>
    </row>
    <row r="3614" spans="1:3" x14ac:dyDescent="0.15">
      <c r="A3614" t="s">
        <v>914</v>
      </c>
      <c r="B3614">
        <v>128</v>
      </c>
      <c r="C3614">
        <v>8.5982000000000004E-5</v>
      </c>
    </row>
    <row r="3615" spans="1:3" x14ac:dyDescent="0.15">
      <c r="A3615" t="s">
        <v>914</v>
      </c>
      <c r="B3615">
        <v>181.01929999999999</v>
      </c>
      <c r="C3615">
        <v>3.7370999999999998E-5</v>
      </c>
    </row>
    <row r="3616" spans="1:3" x14ac:dyDescent="0.15">
      <c r="A3616" t="s">
        <v>914</v>
      </c>
      <c r="B3616">
        <v>256</v>
      </c>
      <c r="C3616">
        <v>5.716E-6</v>
      </c>
    </row>
    <row r="3617" spans="1:3" x14ac:dyDescent="0.15">
      <c r="A3617" t="s">
        <v>914</v>
      </c>
      <c r="B3617">
        <v>362.03870000000001</v>
      </c>
      <c r="C3617">
        <v>1.0700000000000001E-7</v>
      </c>
    </row>
    <row r="3618" spans="1:3" x14ac:dyDescent="0.15">
      <c r="A3618" t="s">
        <v>914</v>
      </c>
      <c r="B3618">
        <v>512</v>
      </c>
      <c r="C3618">
        <v>0</v>
      </c>
    </row>
    <row r="3619" spans="1:3" x14ac:dyDescent="0.15">
      <c r="A3619" t="s">
        <v>914</v>
      </c>
      <c r="B3619">
        <v>724.07730000000004</v>
      </c>
      <c r="C3619">
        <v>0</v>
      </c>
    </row>
    <row r="3620" spans="1:3" x14ac:dyDescent="0.15">
      <c r="A3620" t="s">
        <v>915</v>
      </c>
      <c r="B3620">
        <v>2</v>
      </c>
      <c r="C3620">
        <v>1.2889069999999999E-3</v>
      </c>
    </row>
    <row r="3621" spans="1:3" x14ac:dyDescent="0.15">
      <c r="A3621" t="s">
        <v>915</v>
      </c>
      <c r="B3621">
        <v>2.8283999999999998</v>
      </c>
      <c r="C3621">
        <v>1.0601969999999999E-3</v>
      </c>
    </row>
    <row r="3622" spans="1:3" x14ac:dyDescent="0.15">
      <c r="A3622" t="s">
        <v>915</v>
      </c>
      <c r="B3622">
        <v>4</v>
      </c>
      <c r="C3622">
        <v>9.4629299999999996E-4</v>
      </c>
    </row>
    <row r="3623" spans="1:3" x14ac:dyDescent="0.15">
      <c r="A3623" t="s">
        <v>915</v>
      </c>
      <c r="B3623">
        <v>5.6569000000000003</v>
      </c>
      <c r="C3623">
        <v>8.4571899999999998E-4</v>
      </c>
    </row>
    <row r="3624" spans="1:3" x14ac:dyDescent="0.15">
      <c r="A3624" t="s">
        <v>915</v>
      </c>
      <c r="B3624">
        <v>8</v>
      </c>
      <c r="C3624">
        <v>8.3222000000000005E-4</v>
      </c>
    </row>
    <row r="3625" spans="1:3" x14ac:dyDescent="0.15">
      <c r="A3625" t="s">
        <v>915</v>
      </c>
      <c r="B3625">
        <v>11.313700000000001</v>
      </c>
      <c r="C3625">
        <v>7.5162500000000001E-4</v>
      </c>
    </row>
    <row r="3626" spans="1:3" x14ac:dyDescent="0.15">
      <c r="A3626" t="s">
        <v>915</v>
      </c>
      <c r="B3626">
        <v>16</v>
      </c>
      <c r="C3626">
        <v>8.2134600000000003E-4</v>
      </c>
    </row>
    <row r="3627" spans="1:3" x14ac:dyDescent="0.15">
      <c r="A3627" t="s">
        <v>915</v>
      </c>
      <c r="B3627">
        <v>22.627400000000002</v>
      </c>
      <c r="C3627">
        <v>1.084156E-3</v>
      </c>
    </row>
    <row r="3628" spans="1:3" x14ac:dyDescent="0.15">
      <c r="A3628" t="s">
        <v>915</v>
      </c>
      <c r="B3628">
        <v>32</v>
      </c>
      <c r="C3628">
        <v>1.3793810000000001E-3</v>
      </c>
    </row>
    <row r="3629" spans="1:3" x14ac:dyDescent="0.15">
      <c r="A3629" t="s">
        <v>915</v>
      </c>
      <c r="B3629">
        <v>45.254800000000003</v>
      </c>
      <c r="C3629">
        <v>1.454454E-3</v>
      </c>
    </row>
    <row r="3630" spans="1:3" x14ac:dyDescent="0.15">
      <c r="A3630" t="s">
        <v>915</v>
      </c>
      <c r="B3630">
        <v>64</v>
      </c>
      <c r="C3630">
        <v>1.0154820000000001E-3</v>
      </c>
    </row>
    <row r="3631" spans="1:3" x14ac:dyDescent="0.15">
      <c r="A3631" t="s">
        <v>915</v>
      </c>
      <c r="B3631">
        <v>90.509699999999995</v>
      </c>
      <c r="C3631">
        <v>3.9132400000000002E-4</v>
      </c>
    </row>
    <row r="3632" spans="1:3" x14ac:dyDescent="0.15">
      <c r="A3632" t="s">
        <v>915</v>
      </c>
      <c r="B3632">
        <v>128</v>
      </c>
      <c r="C3632">
        <v>2.0325900000000001E-4</v>
      </c>
    </row>
    <row r="3633" spans="1:3" x14ac:dyDescent="0.15">
      <c r="A3633" t="s">
        <v>915</v>
      </c>
      <c r="B3633">
        <v>181.01929999999999</v>
      </c>
      <c r="C3633">
        <v>1.0809E-4</v>
      </c>
    </row>
    <row r="3634" spans="1:3" x14ac:dyDescent="0.15">
      <c r="A3634" t="s">
        <v>915</v>
      </c>
      <c r="B3634">
        <v>256</v>
      </c>
      <c r="C3634">
        <v>1.6663E-5</v>
      </c>
    </row>
    <row r="3635" spans="1:3" x14ac:dyDescent="0.15">
      <c r="A3635" t="s">
        <v>915</v>
      </c>
      <c r="B3635">
        <v>362.03870000000001</v>
      </c>
      <c r="C3635">
        <v>3.1100000000000002E-7</v>
      </c>
    </row>
    <row r="3636" spans="1:3" x14ac:dyDescent="0.15">
      <c r="A3636" t="s">
        <v>915</v>
      </c>
      <c r="B3636">
        <v>512</v>
      </c>
      <c r="C3636">
        <v>0</v>
      </c>
    </row>
    <row r="3637" spans="1:3" x14ac:dyDescent="0.15">
      <c r="A3637" t="s">
        <v>915</v>
      </c>
      <c r="B3637">
        <v>724.07730000000004</v>
      </c>
      <c r="C3637">
        <v>0</v>
      </c>
    </row>
    <row r="3638" spans="1:3" x14ac:dyDescent="0.15">
      <c r="A3638" t="s">
        <v>916</v>
      </c>
      <c r="B3638">
        <v>2</v>
      </c>
      <c r="C3638">
        <v>4.0671700000000002E-4</v>
      </c>
    </row>
    <row r="3639" spans="1:3" x14ac:dyDescent="0.15">
      <c r="A3639" t="s">
        <v>916</v>
      </c>
      <c r="B3639">
        <v>2.8283999999999998</v>
      </c>
      <c r="C3639">
        <v>5.086E-4</v>
      </c>
    </row>
    <row r="3640" spans="1:3" x14ac:dyDescent="0.15">
      <c r="A3640" t="s">
        <v>916</v>
      </c>
      <c r="B3640">
        <v>4</v>
      </c>
      <c r="C3640">
        <v>5.4429800000000003E-4</v>
      </c>
    </row>
    <row r="3641" spans="1:3" x14ac:dyDescent="0.15">
      <c r="A3641" t="s">
        <v>916</v>
      </c>
      <c r="B3641">
        <v>5.6569000000000003</v>
      </c>
      <c r="C3641">
        <v>5.5360100000000003E-4</v>
      </c>
    </row>
    <row r="3642" spans="1:3" x14ac:dyDescent="0.15">
      <c r="A3642" t="s">
        <v>916</v>
      </c>
      <c r="B3642">
        <v>8</v>
      </c>
      <c r="C3642">
        <v>4.9552999999999999E-4</v>
      </c>
    </row>
    <row r="3643" spans="1:3" x14ac:dyDescent="0.15">
      <c r="A3643" t="s">
        <v>916</v>
      </c>
      <c r="B3643">
        <v>11.313700000000001</v>
      </c>
      <c r="C3643">
        <v>4.2127199999999999E-4</v>
      </c>
    </row>
    <row r="3644" spans="1:3" x14ac:dyDescent="0.15">
      <c r="A3644" t="s">
        <v>916</v>
      </c>
      <c r="B3644">
        <v>16</v>
      </c>
      <c r="C3644">
        <v>4.6445999999999998E-4</v>
      </c>
    </row>
    <row r="3645" spans="1:3" x14ac:dyDescent="0.15">
      <c r="A3645" t="s">
        <v>916</v>
      </c>
      <c r="B3645">
        <v>22.627400000000002</v>
      </c>
      <c r="C3645">
        <v>5.1645700000000001E-4</v>
      </c>
    </row>
    <row r="3646" spans="1:3" x14ac:dyDescent="0.15">
      <c r="A3646" t="s">
        <v>916</v>
      </c>
      <c r="B3646">
        <v>32</v>
      </c>
      <c r="C3646">
        <v>4.9973599999999997E-4</v>
      </c>
    </row>
    <row r="3647" spans="1:3" x14ac:dyDescent="0.15">
      <c r="A3647" t="s">
        <v>916</v>
      </c>
      <c r="B3647">
        <v>45.254800000000003</v>
      </c>
      <c r="C3647">
        <v>3.24994E-4</v>
      </c>
    </row>
    <row r="3648" spans="1:3" x14ac:dyDescent="0.15">
      <c r="A3648" t="s">
        <v>916</v>
      </c>
      <c r="B3648">
        <v>64</v>
      </c>
      <c r="C3648">
        <v>1.61065E-4</v>
      </c>
    </row>
    <row r="3649" spans="1:3" x14ac:dyDescent="0.15">
      <c r="A3649" t="s">
        <v>916</v>
      </c>
      <c r="B3649">
        <v>90.509699999999995</v>
      </c>
      <c r="C3649">
        <v>7.1823000000000007E-5</v>
      </c>
    </row>
    <row r="3650" spans="1:3" x14ac:dyDescent="0.15">
      <c r="A3650" t="s">
        <v>916</v>
      </c>
      <c r="B3650">
        <v>128</v>
      </c>
      <c r="C3650">
        <v>1.1029999999999999E-5</v>
      </c>
    </row>
    <row r="3651" spans="1:3" x14ac:dyDescent="0.15">
      <c r="A3651" t="s">
        <v>916</v>
      </c>
      <c r="B3651">
        <v>181.01929999999999</v>
      </c>
      <c r="C3651">
        <v>2.0599999999999999E-7</v>
      </c>
    </row>
    <row r="3652" spans="1:3" x14ac:dyDescent="0.15">
      <c r="A3652" t="s">
        <v>916</v>
      </c>
      <c r="B3652">
        <v>256</v>
      </c>
      <c r="C3652">
        <v>0</v>
      </c>
    </row>
    <row r="3653" spans="1:3" x14ac:dyDescent="0.15">
      <c r="A3653" t="s">
        <v>916</v>
      </c>
      <c r="B3653">
        <v>362.03870000000001</v>
      </c>
      <c r="C3653">
        <v>0</v>
      </c>
    </row>
    <row r="3654" spans="1:3" x14ac:dyDescent="0.15">
      <c r="A3654" t="s">
        <v>916</v>
      </c>
      <c r="B3654">
        <v>512</v>
      </c>
      <c r="C3654">
        <v>0</v>
      </c>
    </row>
    <row r="3655" spans="1:3" x14ac:dyDescent="0.15">
      <c r="A3655" t="s">
        <v>916</v>
      </c>
      <c r="B3655">
        <v>724.07730000000004</v>
      </c>
      <c r="C3655">
        <v>0</v>
      </c>
    </row>
    <row r="3656" spans="1:3" x14ac:dyDescent="0.15">
      <c r="A3656" t="s">
        <v>917</v>
      </c>
      <c r="B3656">
        <v>2</v>
      </c>
      <c r="C3656">
        <v>1.367093E-3</v>
      </c>
    </row>
    <row r="3657" spans="1:3" x14ac:dyDescent="0.15">
      <c r="A3657" t="s">
        <v>917</v>
      </c>
      <c r="B3657">
        <v>2.8283999999999998</v>
      </c>
      <c r="C3657">
        <v>1.51418E-3</v>
      </c>
    </row>
    <row r="3658" spans="1:3" x14ac:dyDescent="0.15">
      <c r="A3658" t="s">
        <v>917</v>
      </c>
      <c r="B3658">
        <v>4</v>
      </c>
      <c r="C3658">
        <v>1.3959070000000001E-3</v>
      </c>
    </row>
    <row r="3659" spans="1:3" x14ac:dyDescent="0.15">
      <c r="A3659" t="s">
        <v>917</v>
      </c>
      <c r="B3659">
        <v>5.6569000000000003</v>
      </c>
      <c r="C3659">
        <v>1.063364E-3</v>
      </c>
    </row>
    <row r="3660" spans="1:3" x14ac:dyDescent="0.15">
      <c r="A3660" t="s">
        <v>917</v>
      </c>
      <c r="B3660">
        <v>8</v>
      </c>
      <c r="C3660">
        <v>8.1606099999999998E-4</v>
      </c>
    </row>
    <row r="3661" spans="1:3" x14ac:dyDescent="0.15">
      <c r="A3661" t="s">
        <v>917</v>
      </c>
      <c r="B3661">
        <v>11.313700000000001</v>
      </c>
      <c r="C3661">
        <v>6.9452299999999995E-4</v>
      </c>
    </row>
    <row r="3662" spans="1:3" x14ac:dyDescent="0.15">
      <c r="A3662" t="s">
        <v>917</v>
      </c>
      <c r="B3662">
        <v>16</v>
      </c>
      <c r="C3662">
        <v>6.0462799999999996E-4</v>
      </c>
    </row>
    <row r="3663" spans="1:3" x14ac:dyDescent="0.15">
      <c r="A3663" t="s">
        <v>917</v>
      </c>
      <c r="B3663">
        <v>22.627400000000002</v>
      </c>
      <c r="C3663">
        <v>6.8004600000000001E-4</v>
      </c>
    </row>
    <row r="3664" spans="1:3" x14ac:dyDescent="0.15">
      <c r="A3664" t="s">
        <v>917</v>
      </c>
      <c r="B3664">
        <v>32</v>
      </c>
      <c r="C3664">
        <v>9.2466E-4</v>
      </c>
    </row>
    <row r="3665" spans="1:3" x14ac:dyDescent="0.15">
      <c r="A3665" t="s">
        <v>917</v>
      </c>
      <c r="B3665">
        <v>45.254800000000003</v>
      </c>
      <c r="C3665">
        <v>1.2820329999999999E-3</v>
      </c>
    </row>
    <row r="3666" spans="1:3" x14ac:dyDescent="0.15">
      <c r="A3666" t="s">
        <v>917</v>
      </c>
      <c r="B3666">
        <v>64</v>
      </c>
      <c r="C3666">
        <v>1.381698E-3</v>
      </c>
    </row>
    <row r="3667" spans="1:3" x14ac:dyDescent="0.15">
      <c r="A3667" t="s">
        <v>917</v>
      </c>
      <c r="B3667">
        <v>90.509699999999995</v>
      </c>
      <c r="C3667">
        <v>1.0261440000000001E-3</v>
      </c>
    </row>
    <row r="3668" spans="1:3" x14ac:dyDescent="0.15">
      <c r="A3668" t="s">
        <v>917</v>
      </c>
      <c r="B3668">
        <v>128</v>
      </c>
      <c r="C3668">
        <v>8.1600399999999995E-4</v>
      </c>
    </row>
    <row r="3669" spans="1:3" x14ac:dyDescent="0.15">
      <c r="A3669" t="s">
        <v>917</v>
      </c>
      <c r="B3669">
        <v>181.01929999999999</v>
      </c>
      <c r="C3669">
        <v>4.1174000000000001E-4</v>
      </c>
    </row>
    <row r="3670" spans="1:3" x14ac:dyDescent="0.15">
      <c r="A3670" t="s">
        <v>917</v>
      </c>
      <c r="B3670">
        <v>256</v>
      </c>
      <c r="C3670">
        <v>6.3174000000000002E-5</v>
      </c>
    </row>
    <row r="3671" spans="1:3" x14ac:dyDescent="0.15">
      <c r="A3671" t="s">
        <v>917</v>
      </c>
      <c r="B3671">
        <v>362.03870000000001</v>
      </c>
      <c r="C3671">
        <v>1.178E-6</v>
      </c>
    </row>
    <row r="3672" spans="1:3" x14ac:dyDescent="0.15">
      <c r="A3672" t="s">
        <v>917</v>
      </c>
      <c r="B3672">
        <v>512</v>
      </c>
      <c r="C3672">
        <v>2.0000000000000001E-9</v>
      </c>
    </row>
    <row r="3673" spans="1:3" x14ac:dyDescent="0.15">
      <c r="A3673" t="s">
        <v>917</v>
      </c>
      <c r="B3673">
        <v>724.07730000000004</v>
      </c>
      <c r="C3673">
        <v>0</v>
      </c>
    </row>
    <row r="3674" spans="1:3" x14ac:dyDescent="0.15">
      <c r="A3674" t="s">
        <v>918</v>
      </c>
      <c r="B3674">
        <v>2</v>
      </c>
      <c r="C3674">
        <v>5.0669799999999998E-4</v>
      </c>
    </row>
    <row r="3675" spans="1:3" x14ac:dyDescent="0.15">
      <c r="A3675" t="s">
        <v>918</v>
      </c>
      <c r="B3675">
        <v>2.8283999999999998</v>
      </c>
      <c r="C3675">
        <v>4.92962E-4</v>
      </c>
    </row>
    <row r="3676" spans="1:3" x14ac:dyDescent="0.15">
      <c r="A3676" t="s">
        <v>918</v>
      </c>
      <c r="B3676">
        <v>4</v>
      </c>
      <c r="C3676">
        <v>4.29274E-4</v>
      </c>
    </row>
    <row r="3677" spans="1:3" x14ac:dyDescent="0.15">
      <c r="A3677" t="s">
        <v>918</v>
      </c>
      <c r="B3677">
        <v>5.6569000000000003</v>
      </c>
      <c r="C3677">
        <v>3.9448700000000001E-4</v>
      </c>
    </row>
    <row r="3678" spans="1:3" x14ac:dyDescent="0.15">
      <c r="A3678" t="s">
        <v>918</v>
      </c>
      <c r="B3678">
        <v>8</v>
      </c>
      <c r="C3678">
        <v>3.3395799999999998E-4</v>
      </c>
    </row>
    <row r="3679" spans="1:3" x14ac:dyDescent="0.15">
      <c r="A3679" t="s">
        <v>918</v>
      </c>
      <c r="B3679">
        <v>11.313700000000001</v>
      </c>
      <c r="C3679">
        <v>2.6606399999999999E-4</v>
      </c>
    </row>
    <row r="3680" spans="1:3" x14ac:dyDescent="0.15">
      <c r="A3680" t="s">
        <v>918</v>
      </c>
      <c r="B3680">
        <v>16</v>
      </c>
      <c r="C3680">
        <v>2.3684800000000001E-4</v>
      </c>
    </row>
    <row r="3681" spans="1:3" x14ac:dyDescent="0.15">
      <c r="A3681" t="s">
        <v>918</v>
      </c>
      <c r="B3681">
        <v>22.627400000000002</v>
      </c>
      <c r="C3681">
        <v>2.8225499999999997E-4</v>
      </c>
    </row>
    <row r="3682" spans="1:3" x14ac:dyDescent="0.15">
      <c r="A3682" t="s">
        <v>918</v>
      </c>
      <c r="B3682">
        <v>32</v>
      </c>
      <c r="C3682">
        <v>3.0296700000000001E-4</v>
      </c>
    </row>
    <row r="3683" spans="1:3" x14ac:dyDescent="0.15">
      <c r="A3683" t="s">
        <v>918</v>
      </c>
      <c r="B3683">
        <v>45.254800000000003</v>
      </c>
      <c r="C3683">
        <v>2.9513800000000002E-4</v>
      </c>
    </row>
    <row r="3684" spans="1:3" x14ac:dyDescent="0.15">
      <c r="A3684" t="s">
        <v>918</v>
      </c>
      <c r="B3684">
        <v>64</v>
      </c>
      <c r="C3684">
        <v>2.4986499999999999E-4</v>
      </c>
    </row>
    <row r="3685" spans="1:3" x14ac:dyDescent="0.15">
      <c r="A3685" t="s">
        <v>918</v>
      </c>
      <c r="B3685">
        <v>90.509699999999995</v>
      </c>
      <c r="C3685">
        <v>1.2214600000000001E-4</v>
      </c>
    </row>
    <row r="3686" spans="1:3" x14ac:dyDescent="0.15">
      <c r="A3686" t="s">
        <v>918</v>
      </c>
      <c r="B3686">
        <v>128</v>
      </c>
      <c r="C3686">
        <v>1.8683000000000001E-5</v>
      </c>
    </row>
    <row r="3687" spans="1:3" x14ac:dyDescent="0.15">
      <c r="A3687" t="s">
        <v>918</v>
      </c>
      <c r="B3687">
        <v>181.01929999999999</v>
      </c>
      <c r="C3687">
        <v>3.4799999999999999E-7</v>
      </c>
    </row>
    <row r="3688" spans="1:3" x14ac:dyDescent="0.15">
      <c r="A3688" t="s">
        <v>918</v>
      </c>
      <c r="B3688">
        <v>256</v>
      </c>
      <c r="C3688">
        <v>0</v>
      </c>
    </row>
    <row r="3689" spans="1:3" x14ac:dyDescent="0.15">
      <c r="A3689" t="s">
        <v>918</v>
      </c>
      <c r="B3689">
        <v>362.03870000000001</v>
      </c>
      <c r="C3689">
        <v>0</v>
      </c>
    </row>
    <row r="3690" spans="1:3" x14ac:dyDescent="0.15">
      <c r="A3690" t="s">
        <v>918</v>
      </c>
      <c r="B3690">
        <v>512</v>
      </c>
      <c r="C3690">
        <v>0</v>
      </c>
    </row>
    <row r="3691" spans="1:3" x14ac:dyDescent="0.15">
      <c r="A3691" t="s">
        <v>918</v>
      </c>
      <c r="B3691">
        <v>724.07730000000004</v>
      </c>
      <c r="C3691">
        <v>0</v>
      </c>
    </row>
    <row r="3692" spans="1:3" x14ac:dyDescent="0.15">
      <c r="A3692" t="s">
        <v>920</v>
      </c>
      <c r="B3692">
        <v>2</v>
      </c>
      <c r="C3692">
        <v>2.4499639999999998E-3</v>
      </c>
    </row>
    <row r="3693" spans="1:3" x14ac:dyDescent="0.15">
      <c r="A3693" t="s">
        <v>920</v>
      </c>
      <c r="B3693">
        <v>2.8283999999999998</v>
      </c>
      <c r="C3693">
        <v>2.8680070000000001E-3</v>
      </c>
    </row>
    <row r="3694" spans="1:3" x14ac:dyDescent="0.15">
      <c r="A3694" t="s">
        <v>920</v>
      </c>
      <c r="B3694">
        <v>4</v>
      </c>
      <c r="C3694">
        <v>3.0652209999999999E-3</v>
      </c>
    </row>
    <row r="3695" spans="1:3" x14ac:dyDescent="0.15">
      <c r="A3695" t="s">
        <v>920</v>
      </c>
      <c r="B3695">
        <v>5.6569000000000003</v>
      </c>
      <c r="C3695">
        <v>2.9422319999999999E-3</v>
      </c>
    </row>
    <row r="3696" spans="1:3" x14ac:dyDescent="0.15">
      <c r="A3696" t="s">
        <v>920</v>
      </c>
      <c r="B3696">
        <v>8</v>
      </c>
      <c r="C3696">
        <v>2.5174279999999999E-3</v>
      </c>
    </row>
    <row r="3697" spans="1:3" x14ac:dyDescent="0.15">
      <c r="A3697" t="s">
        <v>920</v>
      </c>
      <c r="B3697">
        <v>11.313700000000001</v>
      </c>
      <c r="C3697">
        <v>1.850511E-3</v>
      </c>
    </row>
    <row r="3698" spans="1:3" x14ac:dyDescent="0.15">
      <c r="A3698" t="s">
        <v>920</v>
      </c>
      <c r="B3698">
        <v>16</v>
      </c>
      <c r="C3698">
        <v>1.134288E-3</v>
      </c>
    </row>
    <row r="3699" spans="1:3" x14ac:dyDescent="0.15">
      <c r="A3699" t="s">
        <v>920</v>
      </c>
      <c r="B3699">
        <v>22.627400000000002</v>
      </c>
      <c r="C3699">
        <v>7.35394E-4</v>
      </c>
    </row>
    <row r="3700" spans="1:3" x14ac:dyDescent="0.15">
      <c r="A3700" t="s">
        <v>920</v>
      </c>
      <c r="B3700">
        <v>32</v>
      </c>
      <c r="C3700">
        <v>5.6864100000000005E-4</v>
      </c>
    </row>
    <row r="3701" spans="1:3" x14ac:dyDescent="0.15">
      <c r="A3701" t="s">
        <v>920</v>
      </c>
      <c r="B3701">
        <v>45.254800000000003</v>
      </c>
      <c r="C3701">
        <v>6.5712699999999997E-4</v>
      </c>
    </row>
    <row r="3702" spans="1:3" x14ac:dyDescent="0.15">
      <c r="A3702" t="s">
        <v>920</v>
      </c>
      <c r="B3702">
        <v>64</v>
      </c>
      <c r="C3702">
        <v>8.5533500000000004E-4</v>
      </c>
    </row>
    <row r="3703" spans="1:3" x14ac:dyDescent="0.15">
      <c r="A3703" t="s">
        <v>920</v>
      </c>
      <c r="B3703">
        <v>90.509699999999995</v>
      </c>
      <c r="C3703">
        <v>8.8579100000000003E-4</v>
      </c>
    </row>
    <row r="3704" spans="1:3" x14ac:dyDescent="0.15">
      <c r="A3704" t="s">
        <v>920</v>
      </c>
      <c r="B3704">
        <v>128</v>
      </c>
      <c r="C3704">
        <v>7.11982E-4</v>
      </c>
    </row>
    <row r="3705" spans="1:3" x14ac:dyDescent="0.15">
      <c r="A3705" t="s">
        <v>920</v>
      </c>
      <c r="B3705">
        <v>181.01929999999999</v>
      </c>
      <c r="C3705">
        <v>3.42453E-4</v>
      </c>
    </row>
    <row r="3706" spans="1:3" x14ac:dyDescent="0.15">
      <c r="A3706" t="s">
        <v>920</v>
      </c>
      <c r="B3706">
        <v>256</v>
      </c>
      <c r="C3706">
        <v>5.2380999999999999E-5</v>
      </c>
    </row>
    <row r="3707" spans="1:3" x14ac:dyDescent="0.15">
      <c r="A3707" t="s">
        <v>920</v>
      </c>
      <c r="B3707">
        <v>362.03870000000001</v>
      </c>
      <c r="C3707">
        <v>9.7699999999999992E-7</v>
      </c>
    </row>
    <row r="3708" spans="1:3" x14ac:dyDescent="0.15">
      <c r="A3708" t="s">
        <v>920</v>
      </c>
      <c r="B3708">
        <v>512</v>
      </c>
      <c r="C3708">
        <v>1.0000000000000001E-9</v>
      </c>
    </row>
    <row r="3709" spans="1:3" x14ac:dyDescent="0.15">
      <c r="A3709" t="s">
        <v>920</v>
      </c>
      <c r="B3709">
        <v>724.07730000000004</v>
      </c>
      <c r="C3709">
        <v>0</v>
      </c>
    </row>
    <row r="3710" spans="1:3" x14ac:dyDescent="0.15">
      <c r="A3710" t="s">
        <v>921</v>
      </c>
      <c r="B3710">
        <v>2</v>
      </c>
      <c r="C3710">
        <v>1.932916E-3</v>
      </c>
    </row>
    <row r="3711" spans="1:3" x14ac:dyDescent="0.15">
      <c r="A3711" t="s">
        <v>921</v>
      </c>
      <c r="B3711">
        <v>2.8283999999999998</v>
      </c>
      <c r="C3711">
        <v>2.1779939999999999E-3</v>
      </c>
    </row>
    <row r="3712" spans="1:3" x14ac:dyDescent="0.15">
      <c r="A3712" t="s">
        <v>921</v>
      </c>
      <c r="B3712">
        <v>4</v>
      </c>
      <c r="C3712">
        <v>2.1434990000000001E-3</v>
      </c>
    </row>
    <row r="3713" spans="1:3" x14ac:dyDescent="0.15">
      <c r="A3713" t="s">
        <v>921</v>
      </c>
      <c r="B3713">
        <v>5.6569000000000003</v>
      </c>
      <c r="C3713">
        <v>1.8705449999999999E-3</v>
      </c>
    </row>
    <row r="3714" spans="1:3" x14ac:dyDescent="0.15">
      <c r="A3714" t="s">
        <v>921</v>
      </c>
      <c r="B3714">
        <v>8</v>
      </c>
      <c r="C3714">
        <v>1.5855540000000001E-3</v>
      </c>
    </row>
    <row r="3715" spans="1:3" x14ac:dyDescent="0.15">
      <c r="A3715" t="s">
        <v>921</v>
      </c>
      <c r="B3715">
        <v>11.313700000000001</v>
      </c>
      <c r="C3715">
        <v>1.483093E-3</v>
      </c>
    </row>
    <row r="3716" spans="1:3" x14ac:dyDescent="0.15">
      <c r="A3716" t="s">
        <v>921</v>
      </c>
      <c r="B3716">
        <v>16</v>
      </c>
      <c r="C3716">
        <v>1.3850889999999999E-3</v>
      </c>
    </row>
    <row r="3717" spans="1:3" x14ac:dyDescent="0.15">
      <c r="A3717" t="s">
        <v>921</v>
      </c>
      <c r="B3717">
        <v>22.627400000000002</v>
      </c>
      <c r="C3717">
        <v>1.033775E-3</v>
      </c>
    </row>
    <row r="3718" spans="1:3" x14ac:dyDescent="0.15">
      <c r="A3718" t="s">
        <v>921</v>
      </c>
      <c r="B3718">
        <v>32</v>
      </c>
      <c r="C3718">
        <v>7.6223100000000004E-4</v>
      </c>
    </row>
    <row r="3719" spans="1:3" x14ac:dyDescent="0.15">
      <c r="A3719" t="s">
        <v>921</v>
      </c>
      <c r="B3719">
        <v>45.254800000000003</v>
      </c>
      <c r="C3719">
        <v>8.7879699999999995E-4</v>
      </c>
    </row>
    <row r="3720" spans="1:3" x14ac:dyDescent="0.15">
      <c r="A3720" t="s">
        <v>921</v>
      </c>
      <c r="B3720">
        <v>64</v>
      </c>
      <c r="C3720">
        <v>9.7896799999999998E-4</v>
      </c>
    </row>
    <row r="3721" spans="1:3" x14ac:dyDescent="0.15">
      <c r="A3721" t="s">
        <v>921</v>
      </c>
      <c r="B3721">
        <v>90.509699999999995</v>
      </c>
      <c r="C3721">
        <v>8.58197E-4</v>
      </c>
    </row>
    <row r="3722" spans="1:3" x14ac:dyDescent="0.15">
      <c r="A3722" t="s">
        <v>921</v>
      </c>
      <c r="B3722">
        <v>128</v>
      </c>
      <c r="C3722">
        <v>7.4145799999999996E-4</v>
      </c>
    </row>
    <row r="3723" spans="1:3" x14ac:dyDescent="0.15">
      <c r="A3723" t="s">
        <v>921</v>
      </c>
      <c r="B3723">
        <v>181.01929999999999</v>
      </c>
      <c r="C3723">
        <v>3.7409299999999998E-4</v>
      </c>
    </row>
    <row r="3724" spans="1:3" x14ac:dyDescent="0.15">
      <c r="A3724" t="s">
        <v>921</v>
      </c>
      <c r="B3724">
        <v>256</v>
      </c>
      <c r="C3724">
        <v>5.7550000000000003E-5</v>
      </c>
    </row>
    <row r="3725" spans="1:3" x14ac:dyDescent="0.15">
      <c r="A3725" t="s">
        <v>921</v>
      </c>
      <c r="B3725">
        <v>362.03870000000001</v>
      </c>
      <c r="C3725">
        <v>1.074E-6</v>
      </c>
    </row>
    <row r="3726" spans="1:3" x14ac:dyDescent="0.15">
      <c r="A3726" t="s">
        <v>921</v>
      </c>
      <c r="B3726">
        <v>512</v>
      </c>
      <c r="C3726">
        <v>1.0000000000000001E-9</v>
      </c>
    </row>
    <row r="3727" spans="1:3" x14ac:dyDescent="0.15">
      <c r="A3727" t="s">
        <v>921</v>
      </c>
      <c r="B3727">
        <v>724.07730000000004</v>
      </c>
      <c r="C3727">
        <v>0</v>
      </c>
    </row>
    <row r="3728" spans="1:3" x14ac:dyDescent="0.15">
      <c r="A3728" t="s">
        <v>922</v>
      </c>
      <c r="B3728">
        <v>2</v>
      </c>
      <c r="C3728">
        <v>9.7366599999999998E-4</v>
      </c>
    </row>
    <row r="3729" spans="1:3" x14ac:dyDescent="0.15">
      <c r="A3729" t="s">
        <v>922</v>
      </c>
      <c r="B3729">
        <v>2.8283999999999998</v>
      </c>
      <c r="C3729">
        <v>1.2426819999999999E-3</v>
      </c>
    </row>
    <row r="3730" spans="1:3" x14ac:dyDescent="0.15">
      <c r="A3730" t="s">
        <v>922</v>
      </c>
      <c r="B3730">
        <v>4</v>
      </c>
      <c r="C3730">
        <v>1.365202E-3</v>
      </c>
    </row>
    <row r="3731" spans="1:3" x14ac:dyDescent="0.15">
      <c r="A3731" t="s">
        <v>922</v>
      </c>
      <c r="B3731">
        <v>5.6569000000000003</v>
      </c>
      <c r="C3731">
        <v>1.244516E-3</v>
      </c>
    </row>
    <row r="3732" spans="1:3" x14ac:dyDescent="0.15">
      <c r="A3732" t="s">
        <v>922</v>
      </c>
      <c r="B3732">
        <v>8</v>
      </c>
      <c r="C3732">
        <v>1.065741E-3</v>
      </c>
    </row>
    <row r="3733" spans="1:3" x14ac:dyDescent="0.15">
      <c r="A3733" t="s">
        <v>922</v>
      </c>
      <c r="B3733">
        <v>11.313700000000001</v>
      </c>
      <c r="C3733">
        <v>1.00804E-3</v>
      </c>
    </row>
    <row r="3734" spans="1:3" x14ac:dyDescent="0.15">
      <c r="A3734" t="s">
        <v>922</v>
      </c>
      <c r="B3734">
        <v>16</v>
      </c>
      <c r="C3734">
        <v>8.5378099999999996E-4</v>
      </c>
    </row>
    <row r="3735" spans="1:3" x14ac:dyDescent="0.15">
      <c r="A3735" t="s">
        <v>922</v>
      </c>
      <c r="B3735">
        <v>22.627400000000002</v>
      </c>
      <c r="C3735">
        <v>7.5067299999999999E-4</v>
      </c>
    </row>
    <row r="3736" spans="1:3" x14ac:dyDescent="0.15">
      <c r="A3736" t="s">
        <v>922</v>
      </c>
      <c r="B3736">
        <v>32</v>
      </c>
      <c r="C3736">
        <v>7.73246E-4</v>
      </c>
    </row>
    <row r="3737" spans="1:3" x14ac:dyDescent="0.15">
      <c r="A3737" t="s">
        <v>922</v>
      </c>
      <c r="B3737">
        <v>45.254800000000003</v>
      </c>
      <c r="C3737">
        <v>8.3542899999999995E-4</v>
      </c>
    </row>
    <row r="3738" spans="1:3" x14ac:dyDescent="0.15">
      <c r="A3738" t="s">
        <v>922</v>
      </c>
      <c r="B3738">
        <v>64</v>
      </c>
      <c r="C3738">
        <v>8.8936400000000002E-4</v>
      </c>
    </row>
    <row r="3739" spans="1:3" x14ac:dyDescent="0.15">
      <c r="A3739" t="s">
        <v>922</v>
      </c>
      <c r="B3739">
        <v>90.509699999999995</v>
      </c>
      <c r="C3739">
        <v>8.3603799999999999E-4</v>
      </c>
    </row>
    <row r="3740" spans="1:3" x14ac:dyDescent="0.15">
      <c r="A3740" t="s">
        <v>922</v>
      </c>
      <c r="B3740">
        <v>128</v>
      </c>
      <c r="C3740">
        <v>7.6582600000000005E-4</v>
      </c>
    </row>
    <row r="3741" spans="1:3" x14ac:dyDescent="0.15">
      <c r="A3741" t="s">
        <v>922</v>
      </c>
      <c r="B3741">
        <v>181.01929999999999</v>
      </c>
      <c r="C3741">
        <v>3.8722799999999999E-4</v>
      </c>
    </row>
    <row r="3742" spans="1:3" x14ac:dyDescent="0.15">
      <c r="A3742" t="s">
        <v>922</v>
      </c>
      <c r="B3742">
        <v>256</v>
      </c>
      <c r="C3742">
        <v>5.9413000000000002E-5</v>
      </c>
    </row>
    <row r="3743" spans="1:3" x14ac:dyDescent="0.15">
      <c r="A3743" t="s">
        <v>922</v>
      </c>
      <c r="B3743">
        <v>362.03870000000001</v>
      </c>
      <c r="C3743">
        <v>1.108E-6</v>
      </c>
    </row>
    <row r="3744" spans="1:3" x14ac:dyDescent="0.15">
      <c r="A3744" t="s">
        <v>922</v>
      </c>
      <c r="B3744">
        <v>512</v>
      </c>
      <c r="C3744">
        <v>2.0000000000000001E-9</v>
      </c>
    </row>
    <row r="3745" spans="1:3" x14ac:dyDescent="0.15">
      <c r="A3745" t="s">
        <v>922</v>
      </c>
      <c r="B3745">
        <v>724.07730000000004</v>
      </c>
      <c r="C3745">
        <v>0</v>
      </c>
    </row>
    <row r="3746" spans="1:3" x14ac:dyDescent="0.15">
      <c r="A3746" t="s">
        <v>923</v>
      </c>
      <c r="B3746">
        <v>2</v>
      </c>
      <c r="C3746">
        <v>1.480489E-3</v>
      </c>
    </row>
    <row r="3747" spans="1:3" x14ac:dyDescent="0.15">
      <c r="A3747" t="s">
        <v>923</v>
      </c>
      <c r="B3747">
        <v>2.8283999999999998</v>
      </c>
      <c r="C3747">
        <v>1.696239E-3</v>
      </c>
    </row>
    <row r="3748" spans="1:3" x14ac:dyDescent="0.15">
      <c r="A3748" t="s">
        <v>923</v>
      </c>
      <c r="B3748">
        <v>4</v>
      </c>
      <c r="C3748">
        <v>1.6666719999999999E-3</v>
      </c>
    </row>
    <row r="3749" spans="1:3" x14ac:dyDescent="0.15">
      <c r="A3749" t="s">
        <v>923</v>
      </c>
      <c r="B3749">
        <v>5.6569000000000003</v>
      </c>
      <c r="C3749">
        <v>1.514673E-3</v>
      </c>
    </row>
    <row r="3750" spans="1:3" x14ac:dyDescent="0.15">
      <c r="A3750" t="s">
        <v>923</v>
      </c>
      <c r="B3750">
        <v>8</v>
      </c>
      <c r="C3750">
        <v>1.396039E-3</v>
      </c>
    </row>
    <row r="3751" spans="1:3" x14ac:dyDescent="0.15">
      <c r="A3751" t="s">
        <v>923</v>
      </c>
      <c r="B3751">
        <v>11.313700000000001</v>
      </c>
      <c r="C3751">
        <v>1.2783110000000001E-3</v>
      </c>
    </row>
    <row r="3752" spans="1:3" x14ac:dyDescent="0.15">
      <c r="A3752" t="s">
        <v>923</v>
      </c>
      <c r="B3752">
        <v>16</v>
      </c>
      <c r="C3752">
        <v>1.161568E-3</v>
      </c>
    </row>
    <row r="3753" spans="1:3" x14ac:dyDescent="0.15">
      <c r="A3753" t="s">
        <v>923</v>
      </c>
      <c r="B3753">
        <v>22.627400000000002</v>
      </c>
      <c r="C3753">
        <v>1.029156E-3</v>
      </c>
    </row>
    <row r="3754" spans="1:3" x14ac:dyDescent="0.15">
      <c r="A3754" t="s">
        <v>923</v>
      </c>
      <c r="B3754">
        <v>32</v>
      </c>
      <c r="C3754">
        <v>7.32185E-4</v>
      </c>
    </row>
    <row r="3755" spans="1:3" x14ac:dyDescent="0.15">
      <c r="A3755" t="s">
        <v>923</v>
      </c>
      <c r="B3755">
        <v>45.254800000000003</v>
      </c>
      <c r="C3755">
        <v>4.78281E-4</v>
      </c>
    </row>
    <row r="3756" spans="1:3" x14ac:dyDescent="0.15">
      <c r="A3756" t="s">
        <v>923</v>
      </c>
      <c r="B3756">
        <v>64</v>
      </c>
      <c r="C3756">
        <v>4.0686999999999999E-4</v>
      </c>
    </row>
    <row r="3757" spans="1:3" x14ac:dyDescent="0.15">
      <c r="A3757" t="s">
        <v>923</v>
      </c>
      <c r="B3757">
        <v>90.509699999999995</v>
      </c>
      <c r="C3757">
        <v>2.0447299999999999E-4</v>
      </c>
    </row>
    <row r="3758" spans="1:3" x14ac:dyDescent="0.15">
      <c r="A3758" t="s">
        <v>923</v>
      </c>
      <c r="B3758">
        <v>128</v>
      </c>
      <c r="C3758">
        <v>3.1364E-5</v>
      </c>
    </row>
    <row r="3759" spans="1:3" x14ac:dyDescent="0.15">
      <c r="A3759" t="s">
        <v>923</v>
      </c>
      <c r="B3759">
        <v>181.01929999999999</v>
      </c>
      <c r="C3759">
        <v>5.8500000000000001E-7</v>
      </c>
    </row>
    <row r="3760" spans="1:3" x14ac:dyDescent="0.15">
      <c r="A3760" t="s">
        <v>923</v>
      </c>
      <c r="B3760">
        <v>256</v>
      </c>
      <c r="C3760">
        <v>0</v>
      </c>
    </row>
    <row r="3761" spans="1:3" x14ac:dyDescent="0.15">
      <c r="A3761" t="s">
        <v>923</v>
      </c>
      <c r="B3761">
        <v>362.03870000000001</v>
      </c>
      <c r="C3761">
        <v>0</v>
      </c>
    </row>
    <row r="3762" spans="1:3" x14ac:dyDescent="0.15">
      <c r="A3762" t="s">
        <v>923</v>
      </c>
      <c r="B3762">
        <v>512</v>
      </c>
      <c r="C3762">
        <v>0</v>
      </c>
    </row>
    <row r="3763" spans="1:3" x14ac:dyDescent="0.15">
      <c r="A3763" t="s">
        <v>923</v>
      </c>
      <c r="B3763">
        <v>724.07730000000004</v>
      </c>
      <c r="C3763">
        <v>0</v>
      </c>
    </row>
    <row r="3764" spans="1:3" x14ac:dyDescent="0.15">
      <c r="A3764" t="s">
        <v>924</v>
      </c>
      <c r="B3764">
        <v>2</v>
      </c>
      <c r="C3764">
        <v>1.241072E-3</v>
      </c>
    </row>
    <row r="3765" spans="1:3" x14ac:dyDescent="0.15">
      <c r="A3765" t="s">
        <v>924</v>
      </c>
      <c r="B3765">
        <v>2.8283999999999998</v>
      </c>
      <c r="C3765">
        <v>1.5381030000000001E-3</v>
      </c>
    </row>
    <row r="3766" spans="1:3" x14ac:dyDescent="0.15">
      <c r="A3766" t="s">
        <v>924</v>
      </c>
      <c r="B3766">
        <v>4</v>
      </c>
      <c r="C3766">
        <v>1.568561E-3</v>
      </c>
    </row>
    <row r="3767" spans="1:3" x14ac:dyDescent="0.15">
      <c r="A3767" t="s">
        <v>924</v>
      </c>
      <c r="B3767">
        <v>5.6569000000000003</v>
      </c>
      <c r="C3767">
        <v>1.2285600000000001E-3</v>
      </c>
    </row>
    <row r="3768" spans="1:3" x14ac:dyDescent="0.15">
      <c r="A3768" t="s">
        <v>924</v>
      </c>
      <c r="B3768">
        <v>8</v>
      </c>
      <c r="C3768">
        <v>9.1685599999999996E-4</v>
      </c>
    </row>
    <row r="3769" spans="1:3" x14ac:dyDescent="0.15">
      <c r="A3769" t="s">
        <v>924</v>
      </c>
      <c r="B3769">
        <v>11.313700000000001</v>
      </c>
      <c r="C3769">
        <v>8.0659899999999997E-4</v>
      </c>
    </row>
    <row r="3770" spans="1:3" x14ac:dyDescent="0.15">
      <c r="A3770" t="s">
        <v>924</v>
      </c>
      <c r="B3770">
        <v>16</v>
      </c>
      <c r="C3770">
        <v>7.2776099999999995E-4</v>
      </c>
    </row>
    <row r="3771" spans="1:3" x14ac:dyDescent="0.15">
      <c r="A3771" t="s">
        <v>924</v>
      </c>
      <c r="B3771">
        <v>22.627400000000002</v>
      </c>
      <c r="C3771">
        <v>8.1141199999999996E-4</v>
      </c>
    </row>
    <row r="3772" spans="1:3" x14ac:dyDescent="0.15">
      <c r="A3772" t="s">
        <v>924</v>
      </c>
      <c r="B3772">
        <v>32</v>
      </c>
      <c r="C3772">
        <v>9.0526599999999995E-4</v>
      </c>
    </row>
    <row r="3773" spans="1:3" x14ac:dyDescent="0.15">
      <c r="A3773" t="s">
        <v>924</v>
      </c>
      <c r="B3773">
        <v>45.254800000000003</v>
      </c>
      <c r="C3773">
        <v>1.021807E-3</v>
      </c>
    </row>
    <row r="3774" spans="1:3" x14ac:dyDescent="0.15">
      <c r="A3774" t="s">
        <v>924</v>
      </c>
      <c r="B3774">
        <v>64</v>
      </c>
      <c r="C3774">
        <v>1.1872899999999999E-3</v>
      </c>
    </row>
    <row r="3775" spans="1:3" x14ac:dyDescent="0.15">
      <c r="A3775" t="s">
        <v>924</v>
      </c>
      <c r="B3775">
        <v>90.509699999999995</v>
      </c>
      <c r="C3775">
        <v>1.2897399999999999E-3</v>
      </c>
    </row>
    <row r="3776" spans="1:3" x14ac:dyDescent="0.15">
      <c r="A3776" t="s">
        <v>924</v>
      </c>
      <c r="B3776">
        <v>128</v>
      </c>
      <c r="C3776">
        <v>1.235026E-3</v>
      </c>
    </row>
    <row r="3777" spans="1:3" x14ac:dyDescent="0.15">
      <c r="A3777" t="s">
        <v>924</v>
      </c>
      <c r="B3777">
        <v>181.01929999999999</v>
      </c>
      <c r="C3777">
        <v>6.2275600000000003E-4</v>
      </c>
    </row>
    <row r="3778" spans="1:3" x14ac:dyDescent="0.15">
      <c r="A3778" t="s">
        <v>924</v>
      </c>
      <c r="B3778">
        <v>256</v>
      </c>
      <c r="C3778">
        <v>9.5447999999999998E-5</v>
      </c>
    </row>
    <row r="3779" spans="1:3" x14ac:dyDescent="0.15">
      <c r="A3779" t="s">
        <v>924</v>
      </c>
      <c r="B3779">
        <v>362.03870000000001</v>
      </c>
      <c r="C3779">
        <v>1.779E-6</v>
      </c>
    </row>
    <row r="3780" spans="1:3" x14ac:dyDescent="0.15">
      <c r="A3780" t="s">
        <v>924</v>
      </c>
      <c r="B3780">
        <v>512</v>
      </c>
      <c r="C3780">
        <v>0</v>
      </c>
    </row>
    <row r="3781" spans="1:3" x14ac:dyDescent="0.15">
      <c r="A3781" t="s">
        <v>924</v>
      </c>
      <c r="B3781">
        <v>724.07730000000004</v>
      </c>
      <c r="C3781">
        <v>0</v>
      </c>
    </row>
    <row r="3782" spans="1:3" x14ac:dyDescent="0.15">
      <c r="A3782" t="s">
        <v>925</v>
      </c>
      <c r="B3782">
        <v>2</v>
      </c>
      <c r="C3782">
        <v>7.0836300000000005E-4</v>
      </c>
    </row>
    <row r="3783" spans="1:3" x14ac:dyDescent="0.15">
      <c r="A3783" t="s">
        <v>925</v>
      </c>
      <c r="B3783">
        <v>2.8283999999999998</v>
      </c>
      <c r="C3783">
        <v>7.7966400000000001E-4</v>
      </c>
    </row>
    <row r="3784" spans="1:3" x14ac:dyDescent="0.15">
      <c r="A3784" t="s">
        <v>925</v>
      </c>
      <c r="B3784">
        <v>4</v>
      </c>
      <c r="C3784">
        <v>8.5974200000000004E-4</v>
      </c>
    </row>
    <row r="3785" spans="1:3" x14ac:dyDescent="0.15">
      <c r="A3785" t="s">
        <v>925</v>
      </c>
      <c r="B3785">
        <v>5.6569000000000003</v>
      </c>
      <c r="C3785">
        <v>8.5526899999999997E-4</v>
      </c>
    </row>
    <row r="3786" spans="1:3" x14ac:dyDescent="0.15">
      <c r="A3786" t="s">
        <v>925</v>
      </c>
      <c r="B3786">
        <v>8</v>
      </c>
      <c r="C3786">
        <v>8.3657800000000004E-4</v>
      </c>
    </row>
    <row r="3787" spans="1:3" x14ac:dyDescent="0.15">
      <c r="A3787" t="s">
        <v>925</v>
      </c>
      <c r="B3787">
        <v>11.313700000000001</v>
      </c>
      <c r="C3787">
        <v>8.6066599999999995E-4</v>
      </c>
    </row>
    <row r="3788" spans="1:3" x14ac:dyDescent="0.15">
      <c r="A3788" t="s">
        <v>925</v>
      </c>
      <c r="B3788">
        <v>16</v>
      </c>
      <c r="C3788">
        <v>7.6062500000000002E-4</v>
      </c>
    </row>
    <row r="3789" spans="1:3" x14ac:dyDescent="0.15">
      <c r="A3789" t="s">
        <v>925</v>
      </c>
      <c r="B3789">
        <v>22.627400000000002</v>
      </c>
      <c r="C3789">
        <v>5.6550299999999997E-4</v>
      </c>
    </row>
    <row r="3790" spans="1:3" x14ac:dyDescent="0.15">
      <c r="A3790" t="s">
        <v>925</v>
      </c>
      <c r="B3790">
        <v>32</v>
      </c>
      <c r="C3790">
        <v>5.0206800000000005E-4</v>
      </c>
    </row>
    <row r="3791" spans="1:3" x14ac:dyDescent="0.15">
      <c r="A3791" t="s">
        <v>925</v>
      </c>
      <c r="B3791">
        <v>45.254800000000003</v>
      </c>
      <c r="C3791">
        <v>5.8357799999999996E-4</v>
      </c>
    </row>
    <row r="3792" spans="1:3" x14ac:dyDescent="0.15">
      <c r="A3792" t="s">
        <v>925</v>
      </c>
      <c r="B3792">
        <v>64</v>
      </c>
      <c r="C3792">
        <v>5.2209700000000001E-4</v>
      </c>
    </row>
    <row r="3793" spans="1:3" x14ac:dyDescent="0.15">
      <c r="A3793" t="s">
        <v>925</v>
      </c>
      <c r="B3793">
        <v>90.509699999999995</v>
      </c>
      <c r="C3793">
        <v>2.3146399999999999E-4</v>
      </c>
    </row>
    <row r="3794" spans="1:3" x14ac:dyDescent="0.15">
      <c r="A3794" t="s">
        <v>925</v>
      </c>
      <c r="B3794">
        <v>128</v>
      </c>
      <c r="C3794">
        <v>2.9476E-5</v>
      </c>
    </row>
    <row r="3795" spans="1:3" x14ac:dyDescent="0.15">
      <c r="A3795" t="s">
        <v>925</v>
      </c>
      <c r="B3795">
        <v>181.01929999999999</v>
      </c>
      <c r="C3795">
        <v>2.2835000000000001E-5</v>
      </c>
    </row>
    <row r="3796" spans="1:3" x14ac:dyDescent="0.15">
      <c r="A3796" t="s">
        <v>925</v>
      </c>
      <c r="B3796">
        <v>256</v>
      </c>
      <c r="C3796">
        <v>3.6119999999999999E-6</v>
      </c>
    </row>
    <row r="3797" spans="1:3" x14ac:dyDescent="0.15">
      <c r="A3797" t="s">
        <v>925</v>
      </c>
      <c r="B3797">
        <v>362.03870000000001</v>
      </c>
      <c r="C3797">
        <v>6.8E-8</v>
      </c>
    </row>
    <row r="3798" spans="1:3" x14ac:dyDescent="0.15">
      <c r="A3798" t="s">
        <v>925</v>
      </c>
      <c r="B3798">
        <v>512</v>
      </c>
      <c r="C3798">
        <v>0</v>
      </c>
    </row>
    <row r="3799" spans="1:3" x14ac:dyDescent="0.15">
      <c r="A3799" t="s">
        <v>925</v>
      </c>
      <c r="B3799">
        <v>724.07730000000004</v>
      </c>
      <c r="C3799">
        <v>0</v>
      </c>
    </row>
    <row r="3800" spans="1:3" x14ac:dyDescent="0.15">
      <c r="A3800" t="s">
        <v>926</v>
      </c>
      <c r="B3800">
        <v>2</v>
      </c>
      <c r="C3800">
        <v>2.0877299999999999E-3</v>
      </c>
    </row>
    <row r="3801" spans="1:3" x14ac:dyDescent="0.15">
      <c r="A3801" t="s">
        <v>926</v>
      </c>
      <c r="B3801">
        <v>2.8283999999999998</v>
      </c>
      <c r="C3801">
        <v>2.2732490000000002E-3</v>
      </c>
    </row>
    <row r="3802" spans="1:3" x14ac:dyDescent="0.15">
      <c r="A3802" t="s">
        <v>926</v>
      </c>
      <c r="B3802">
        <v>4</v>
      </c>
      <c r="C3802">
        <v>2.4019610000000002E-3</v>
      </c>
    </row>
    <row r="3803" spans="1:3" x14ac:dyDescent="0.15">
      <c r="A3803" t="s">
        <v>926</v>
      </c>
      <c r="B3803">
        <v>5.6569000000000003</v>
      </c>
      <c r="C3803">
        <v>2.2768010000000002E-3</v>
      </c>
    </row>
    <row r="3804" spans="1:3" x14ac:dyDescent="0.15">
      <c r="A3804" t="s">
        <v>926</v>
      </c>
      <c r="B3804">
        <v>8</v>
      </c>
      <c r="C3804">
        <v>2.027722E-3</v>
      </c>
    </row>
    <row r="3805" spans="1:3" x14ac:dyDescent="0.15">
      <c r="A3805" t="s">
        <v>926</v>
      </c>
      <c r="B3805">
        <v>11.313700000000001</v>
      </c>
      <c r="C3805">
        <v>1.909399E-3</v>
      </c>
    </row>
    <row r="3806" spans="1:3" x14ac:dyDescent="0.15">
      <c r="A3806" t="s">
        <v>926</v>
      </c>
      <c r="B3806">
        <v>16</v>
      </c>
      <c r="C3806">
        <v>1.8755110000000001E-3</v>
      </c>
    </row>
    <row r="3807" spans="1:3" x14ac:dyDescent="0.15">
      <c r="A3807" t="s">
        <v>926</v>
      </c>
      <c r="B3807">
        <v>22.627400000000002</v>
      </c>
      <c r="C3807">
        <v>1.6566059999999999E-3</v>
      </c>
    </row>
    <row r="3808" spans="1:3" x14ac:dyDescent="0.15">
      <c r="A3808" t="s">
        <v>926</v>
      </c>
      <c r="B3808">
        <v>32</v>
      </c>
      <c r="C3808">
        <v>1.2549099999999999E-3</v>
      </c>
    </row>
    <row r="3809" spans="1:3" x14ac:dyDescent="0.15">
      <c r="A3809" t="s">
        <v>926</v>
      </c>
      <c r="B3809">
        <v>45.254800000000003</v>
      </c>
      <c r="C3809">
        <v>9.7258299999999995E-4</v>
      </c>
    </row>
    <row r="3810" spans="1:3" x14ac:dyDescent="0.15">
      <c r="A3810" t="s">
        <v>926</v>
      </c>
      <c r="B3810">
        <v>64</v>
      </c>
      <c r="C3810">
        <v>6.6994799999999996E-4</v>
      </c>
    </row>
    <row r="3811" spans="1:3" x14ac:dyDescent="0.15">
      <c r="A3811" t="s">
        <v>926</v>
      </c>
      <c r="B3811">
        <v>90.509699999999995</v>
      </c>
      <c r="C3811">
        <v>3.4506899999999999E-4</v>
      </c>
    </row>
    <row r="3812" spans="1:3" x14ac:dyDescent="0.15">
      <c r="A3812" t="s">
        <v>926</v>
      </c>
      <c r="B3812">
        <v>128</v>
      </c>
      <c r="C3812">
        <v>2.7106599999999998E-4</v>
      </c>
    </row>
    <row r="3813" spans="1:3" x14ac:dyDescent="0.15">
      <c r="A3813" t="s">
        <v>926</v>
      </c>
      <c r="B3813">
        <v>181.01929999999999</v>
      </c>
      <c r="C3813">
        <v>1.3856200000000001E-4</v>
      </c>
    </row>
    <row r="3814" spans="1:3" x14ac:dyDescent="0.15">
      <c r="A3814" t="s">
        <v>926</v>
      </c>
      <c r="B3814">
        <v>256</v>
      </c>
      <c r="C3814">
        <v>2.1115999999999999E-5</v>
      </c>
    </row>
    <row r="3815" spans="1:3" x14ac:dyDescent="0.15">
      <c r="A3815" t="s">
        <v>926</v>
      </c>
      <c r="B3815">
        <v>362.03870000000001</v>
      </c>
      <c r="C3815">
        <v>3.9299999999999999E-7</v>
      </c>
    </row>
    <row r="3816" spans="1:3" x14ac:dyDescent="0.15">
      <c r="A3816" t="s">
        <v>926</v>
      </c>
      <c r="B3816">
        <v>512</v>
      </c>
      <c r="C3816">
        <v>0</v>
      </c>
    </row>
    <row r="3817" spans="1:3" x14ac:dyDescent="0.15">
      <c r="A3817" t="s">
        <v>926</v>
      </c>
      <c r="B3817">
        <v>724.07730000000004</v>
      </c>
      <c r="C3817">
        <v>0</v>
      </c>
    </row>
    <row r="3818" spans="1:3" x14ac:dyDescent="0.15">
      <c r="A3818" t="s">
        <v>927</v>
      </c>
      <c r="B3818">
        <v>2</v>
      </c>
      <c r="C3818">
        <v>8.4552800000000001E-4</v>
      </c>
    </row>
    <row r="3819" spans="1:3" x14ac:dyDescent="0.15">
      <c r="A3819" t="s">
        <v>927</v>
      </c>
      <c r="B3819">
        <v>2.8283999999999998</v>
      </c>
      <c r="C3819">
        <v>8.6036299999999995E-4</v>
      </c>
    </row>
    <row r="3820" spans="1:3" x14ac:dyDescent="0.15">
      <c r="A3820" t="s">
        <v>927</v>
      </c>
      <c r="B3820">
        <v>4</v>
      </c>
      <c r="C3820">
        <v>7.8944499999999995E-4</v>
      </c>
    </row>
    <row r="3821" spans="1:3" x14ac:dyDescent="0.15">
      <c r="A3821" t="s">
        <v>927</v>
      </c>
      <c r="B3821">
        <v>5.6569000000000003</v>
      </c>
      <c r="C3821">
        <v>6.4780000000000003E-4</v>
      </c>
    </row>
    <row r="3822" spans="1:3" x14ac:dyDescent="0.15">
      <c r="A3822" t="s">
        <v>927</v>
      </c>
      <c r="B3822">
        <v>8</v>
      </c>
      <c r="C3822">
        <v>4.66496E-4</v>
      </c>
    </row>
    <row r="3823" spans="1:3" x14ac:dyDescent="0.15">
      <c r="A3823" t="s">
        <v>927</v>
      </c>
      <c r="B3823">
        <v>11.313700000000001</v>
      </c>
      <c r="C3823">
        <v>3.1112799999999998E-4</v>
      </c>
    </row>
    <row r="3824" spans="1:3" x14ac:dyDescent="0.15">
      <c r="A3824" t="s">
        <v>927</v>
      </c>
      <c r="B3824">
        <v>16</v>
      </c>
      <c r="C3824">
        <v>2.1887E-4</v>
      </c>
    </row>
    <row r="3825" spans="1:3" x14ac:dyDescent="0.15">
      <c r="A3825" t="s">
        <v>927</v>
      </c>
      <c r="B3825">
        <v>22.627400000000002</v>
      </c>
      <c r="C3825">
        <v>1.6305099999999999E-4</v>
      </c>
    </row>
    <row r="3826" spans="1:3" x14ac:dyDescent="0.15">
      <c r="A3826" t="s">
        <v>927</v>
      </c>
      <c r="B3826">
        <v>32</v>
      </c>
      <c r="C3826">
        <v>1.9660500000000001E-4</v>
      </c>
    </row>
    <row r="3827" spans="1:3" x14ac:dyDescent="0.15">
      <c r="A3827" t="s">
        <v>927</v>
      </c>
      <c r="B3827">
        <v>45.254800000000003</v>
      </c>
      <c r="C3827">
        <v>2.9006799999999999E-4</v>
      </c>
    </row>
    <row r="3828" spans="1:3" x14ac:dyDescent="0.15">
      <c r="A3828" t="s">
        <v>927</v>
      </c>
      <c r="B3828">
        <v>64</v>
      </c>
      <c r="C3828">
        <v>3.0057E-4</v>
      </c>
    </row>
    <row r="3829" spans="1:3" x14ac:dyDescent="0.15">
      <c r="A3829" t="s">
        <v>927</v>
      </c>
      <c r="B3829">
        <v>90.509699999999995</v>
      </c>
      <c r="C3829">
        <v>1.5204300000000001E-4</v>
      </c>
    </row>
    <row r="3830" spans="1:3" x14ac:dyDescent="0.15">
      <c r="A3830" t="s">
        <v>927</v>
      </c>
      <c r="B3830">
        <v>128</v>
      </c>
      <c r="C3830">
        <v>2.3289999999999999E-5</v>
      </c>
    </row>
    <row r="3831" spans="1:3" x14ac:dyDescent="0.15">
      <c r="A3831" t="s">
        <v>927</v>
      </c>
      <c r="B3831">
        <v>181.01929999999999</v>
      </c>
      <c r="C3831">
        <v>4.34E-7</v>
      </c>
    </row>
    <row r="3832" spans="1:3" x14ac:dyDescent="0.15">
      <c r="A3832" t="s">
        <v>927</v>
      </c>
      <c r="B3832">
        <v>256</v>
      </c>
      <c r="C3832">
        <v>0</v>
      </c>
    </row>
    <row r="3833" spans="1:3" x14ac:dyDescent="0.15">
      <c r="A3833" t="s">
        <v>927</v>
      </c>
      <c r="B3833">
        <v>362.03870000000001</v>
      </c>
      <c r="C3833">
        <v>0</v>
      </c>
    </row>
    <row r="3834" spans="1:3" x14ac:dyDescent="0.15">
      <c r="A3834" t="s">
        <v>927</v>
      </c>
      <c r="B3834">
        <v>512</v>
      </c>
      <c r="C3834">
        <v>0</v>
      </c>
    </row>
    <row r="3835" spans="1:3" x14ac:dyDescent="0.15">
      <c r="A3835" t="s">
        <v>927</v>
      </c>
      <c r="B3835">
        <v>724.07730000000004</v>
      </c>
      <c r="C3835">
        <v>0</v>
      </c>
    </row>
    <row r="3836" spans="1:3" x14ac:dyDescent="0.15">
      <c r="A3836" t="s">
        <v>928</v>
      </c>
      <c r="B3836">
        <v>2</v>
      </c>
      <c r="C3836">
        <v>8.7538999999999998E-4</v>
      </c>
    </row>
    <row r="3837" spans="1:3" x14ac:dyDescent="0.15">
      <c r="A3837" t="s">
        <v>928</v>
      </c>
      <c r="B3837">
        <v>2.8283999999999998</v>
      </c>
      <c r="C3837">
        <v>1.1016190000000001E-3</v>
      </c>
    </row>
    <row r="3838" spans="1:3" x14ac:dyDescent="0.15">
      <c r="A3838" t="s">
        <v>928</v>
      </c>
      <c r="B3838">
        <v>4</v>
      </c>
      <c r="C3838">
        <v>1.2180349999999999E-3</v>
      </c>
    </row>
    <row r="3839" spans="1:3" x14ac:dyDescent="0.15">
      <c r="A3839" t="s">
        <v>928</v>
      </c>
      <c r="B3839">
        <v>5.6569000000000003</v>
      </c>
      <c r="C3839">
        <v>1.180876E-3</v>
      </c>
    </row>
    <row r="3840" spans="1:3" x14ac:dyDescent="0.15">
      <c r="A3840" t="s">
        <v>928</v>
      </c>
      <c r="B3840">
        <v>8</v>
      </c>
      <c r="C3840">
        <v>1.052283E-3</v>
      </c>
    </row>
    <row r="3841" spans="1:3" x14ac:dyDescent="0.15">
      <c r="A3841" t="s">
        <v>928</v>
      </c>
      <c r="B3841">
        <v>11.313700000000001</v>
      </c>
      <c r="C3841">
        <v>8.7629099999999996E-4</v>
      </c>
    </row>
    <row r="3842" spans="1:3" x14ac:dyDescent="0.15">
      <c r="A3842" t="s">
        <v>928</v>
      </c>
      <c r="B3842">
        <v>16</v>
      </c>
      <c r="C3842">
        <v>7.0946400000000004E-4</v>
      </c>
    </row>
    <row r="3843" spans="1:3" x14ac:dyDescent="0.15">
      <c r="A3843" t="s">
        <v>928</v>
      </c>
      <c r="B3843">
        <v>22.627400000000002</v>
      </c>
      <c r="C3843">
        <v>4.9736400000000003E-4</v>
      </c>
    </row>
    <row r="3844" spans="1:3" x14ac:dyDescent="0.15">
      <c r="A3844" t="s">
        <v>928</v>
      </c>
      <c r="B3844">
        <v>32</v>
      </c>
      <c r="C3844">
        <v>3.7626700000000001E-4</v>
      </c>
    </row>
    <row r="3845" spans="1:3" x14ac:dyDescent="0.15">
      <c r="A3845" t="s">
        <v>928</v>
      </c>
      <c r="B3845">
        <v>45.254800000000003</v>
      </c>
      <c r="C3845">
        <v>4.58078E-4</v>
      </c>
    </row>
    <row r="3846" spans="1:3" x14ac:dyDescent="0.15">
      <c r="A3846" t="s">
        <v>928</v>
      </c>
      <c r="B3846">
        <v>64</v>
      </c>
      <c r="C3846">
        <v>4.38756E-4</v>
      </c>
    </row>
    <row r="3847" spans="1:3" x14ac:dyDescent="0.15">
      <c r="A3847" t="s">
        <v>928</v>
      </c>
      <c r="B3847">
        <v>90.509699999999995</v>
      </c>
      <c r="C3847">
        <v>2.1883499999999999E-4</v>
      </c>
    </row>
    <row r="3848" spans="1:3" x14ac:dyDescent="0.15">
      <c r="A3848" t="s">
        <v>928</v>
      </c>
      <c r="B3848">
        <v>128</v>
      </c>
      <c r="C3848">
        <v>3.3507000000000003E-5</v>
      </c>
    </row>
    <row r="3849" spans="1:3" x14ac:dyDescent="0.15">
      <c r="A3849" t="s">
        <v>928</v>
      </c>
      <c r="B3849">
        <v>181.01929999999999</v>
      </c>
      <c r="C3849">
        <v>6.2500000000000005E-7</v>
      </c>
    </row>
    <row r="3850" spans="1:3" x14ac:dyDescent="0.15">
      <c r="A3850" t="s">
        <v>928</v>
      </c>
      <c r="B3850">
        <v>256</v>
      </c>
      <c r="C3850">
        <v>0</v>
      </c>
    </row>
    <row r="3851" spans="1:3" x14ac:dyDescent="0.15">
      <c r="A3851" t="s">
        <v>928</v>
      </c>
      <c r="B3851">
        <v>362.03870000000001</v>
      </c>
      <c r="C3851">
        <v>0</v>
      </c>
    </row>
    <row r="3852" spans="1:3" x14ac:dyDescent="0.15">
      <c r="A3852" t="s">
        <v>928</v>
      </c>
      <c r="B3852">
        <v>512</v>
      </c>
      <c r="C3852">
        <v>0</v>
      </c>
    </row>
    <row r="3853" spans="1:3" x14ac:dyDescent="0.15">
      <c r="A3853" t="s">
        <v>928</v>
      </c>
      <c r="B3853">
        <v>724.07730000000004</v>
      </c>
      <c r="C3853">
        <v>0</v>
      </c>
    </row>
    <row r="3854" spans="1:3" x14ac:dyDescent="0.15">
      <c r="A3854" t="s">
        <v>929</v>
      </c>
      <c r="B3854">
        <v>2</v>
      </c>
      <c r="C3854">
        <v>1.4631760000000001E-3</v>
      </c>
    </row>
    <row r="3855" spans="1:3" x14ac:dyDescent="0.15">
      <c r="A3855" t="s">
        <v>929</v>
      </c>
      <c r="B3855">
        <v>2.8283999999999998</v>
      </c>
      <c r="C3855">
        <v>1.74533E-3</v>
      </c>
    </row>
    <row r="3856" spans="1:3" x14ac:dyDescent="0.15">
      <c r="A3856" t="s">
        <v>929</v>
      </c>
      <c r="B3856">
        <v>4</v>
      </c>
      <c r="C3856">
        <v>1.7772300000000001E-3</v>
      </c>
    </row>
    <row r="3857" spans="1:3" x14ac:dyDescent="0.15">
      <c r="A3857" t="s">
        <v>929</v>
      </c>
      <c r="B3857">
        <v>5.6569000000000003</v>
      </c>
      <c r="C3857">
        <v>1.541326E-3</v>
      </c>
    </row>
    <row r="3858" spans="1:3" x14ac:dyDescent="0.15">
      <c r="A3858" t="s">
        <v>929</v>
      </c>
      <c r="B3858">
        <v>8</v>
      </c>
      <c r="C3858">
        <v>1.3315880000000001E-3</v>
      </c>
    </row>
    <row r="3859" spans="1:3" x14ac:dyDescent="0.15">
      <c r="A3859" t="s">
        <v>929</v>
      </c>
      <c r="B3859">
        <v>11.313700000000001</v>
      </c>
      <c r="C3859">
        <v>1.2210750000000001E-3</v>
      </c>
    </row>
    <row r="3860" spans="1:3" x14ac:dyDescent="0.15">
      <c r="A3860" t="s">
        <v>929</v>
      </c>
      <c r="B3860">
        <v>16</v>
      </c>
      <c r="C3860">
        <v>1.0207459999999999E-3</v>
      </c>
    </row>
    <row r="3861" spans="1:3" x14ac:dyDescent="0.15">
      <c r="A3861" t="s">
        <v>929</v>
      </c>
      <c r="B3861">
        <v>22.627400000000002</v>
      </c>
      <c r="C3861">
        <v>1.098222E-3</v>
      </c>
    </row>
    <row r="3862" spans="1:3" x14ac:dyDescent="0.15">
      <c r="A3862" t="s">
        <v>929</v>
      </c>
      <c r="B3862">
        <v>32</v>
      </c>
      <c r="C3862">
        <v>1.234834E-3</v>
      </c>
    </row>
    <row r="3863" spans="1:3" x14ac:dyDescent="0.15">
      <c r="A3863" t="s">
        <v>929</v>
      </c>
      <c r="B3863">
        <v>45.254800000000003</v>
      </c>
      <c r="C3863">
        <v>9.9926799999999999E-4</v>
      </c>
    </row>
    <row r="3864" spans="1:3" x14ac:dyDescent="0.15">
      <c r="A3864" t="s">
        <v>929</v>
      </c>
      <c r="B3864">
        <v>64</v>
      </c>
      <c r="C3864">
        <v>6.6723200000000002E-4</v>
      </c>
    </row>
    <row r="3865" spans="1:3" x14ac:dyDescent="0.15">
      <c r="A3865" t="s">
        <v>929</v>
      </c>
      <c r="B3865">
        <v>90.509699999999995</v>
      </c>
      <c r="C3865">
        <v>3.1366899999999998E-4</v>
      </c>
    </row>
    <row r="3866" spans="1:3" x14ac:dyDescent="0.15">
      <c r="A3866" t="s">
        <v>929</v>
      </c>
      <c r="B3866">
        <v>128</v>
      </c>
      <c r="C3866">
        <v>4.8253E-5</v>
      </c>
    </row>
    <row r="3867" spans="1:3" x14ac:dyDescent="0.15">
      <c r="A3867" t="s">
        <v>929</v>
      </c>
      <c r="B3867">
        <v>181.01929999999999</v>
      </c>
      <c r="C3867">
        <v>8.9999999999999996E-7</v>
      </c>
    </row>
    <row r="3868" spans="1:3" x14ac:dyDescent="0.15">
      <c r="A3868" t="s">
        <v>929</v>
      </c>
      <c r="B3868">
        <v>256</v>
      </c>
      <c r="C3868">
        <v>1.0000000000000001E-9</v>
      </c>
    </row>
    <row r="3869" spans="1:3" x14ac:dyDescent="0.15">
      <c r="A3869" t="s">
        <v>929</v>
      </c>
      <c r="B3869">
        <v>362.03870000000001</v>
      </c>
      <c r="C3869">
        <v>0</v>
      </c>
    </row>
    <row r="3870" spans="1:3" x14ac:dyDescent="0.15">
      <c r="A3870" t="s">
        <v>929</v>
      </c>
      <c r="B3870">
        <v>512</v>
      </c>
      <c r="C3870">
        <v>0</v>
      </c>
    </row>
    <row r="3871" spans="1:3" x14ac:dyDescent="0.15">
      <c r="A3871" t="s">
        <v>929</v>
      </c>
      <c r="B3871">
        <v>724.07730000000004</v>
      </c>
      <c r="C3871">
        <v>0</v>
      </c>
    </row>
    <row r="3872" spans="1:3" x14ac:dyDescent="0.15">
      <c r="A3872" t="s">
        <v>930</v>
      </c>
      <c r="B3872">
        <v>2</v>
      </c>
      <c r="C3872">
        <v>5.6738399999999999E-4</v>
      </c>
    </row>
    <row r="3873" spans="1:3" x14ac:dyDescent="0.15">
      <c r="A3873" t="s">
        <v>930</v>
      </c>
      <c r="B3873">
        <v>2.8283999999999998</v>
      </c>
      <c r="C3873">
        <v>7.4781499999999998E-4</v>
      </c>
    </row>
    <row r="3874" spans="1:3" x14ac:dyDescent="0.15">
      <c r="A3874" t="s">
        <v>930</v>
      </c>
      <c r="B3874">
        <v>4</v>
      </c>
      <c r="C3874">
        <v>9.5401800000000005E-4</v>
      </c>
    </row>
    <row r="3875" spans="1:3" x14ac:dyDescent="0.15">
      <c r="A3875" t="s">
        <v>930</v>
      </c>
      <c r="B3875">
        <v>5.6569000000000003</v>
      </c>
      <c r="C3875">
        <v>9.9188399999999995E-4</v>
      </c>
    </row>
    <row r="3876" spans="1:3" x14ac:dyDescent="0.15">
      <c r="A3876" t="s">
        <v>930</v>
      </c>
      <c r="B3876">
        <v>8</v>
      </c>
      <c r="C3876">
        <v>7.9297700000000005E-4</v>
      </c>
    </row>
    <row r="3877" spans="1:3" x14ac:dyDescent="0.15">
      <c r="A3877" t="s">
        <v>930</v>
      </c>
      <c r="B3877">
        <v>11.313700000000001</v>
      </c>
      <c r="C3877">
        <v>6.1133699999999999E-4</v>
      </c>
    </row>
    <row r="3878" spans="1:3" x14ac:dyDescent="0.15">
      <c r="A3878" t="s">
        <v>930</v>
      </c>
      <c r="B3878">
        <v>16</v>
      </c>
      <c r="C3878">
        <v>5.1538699999999996E-4</v>
      </c>
    </row>
    <row r="3879" spans="1:3" x14ac:dyDescent="0.15">
      <c r="A3879" t="s">
        <v>930</v>
      </c>
      <c r="B3879">
        <v>22.627400000000002</v>
      </c>
      <c r="C3879">
        <v>4.2395399999999999E-4</v>
      </c>
    </row>
    <row r="3880" spans="1:3" x14ac:dyDescent="0.15">
      <c r="A3880" t="s">
        <v>930</v>
      </c>
      <c r="B3880">
        <v>32</v>
      </c>
      <c r="C3880">
        <v>3.6133600000000002E-4</v>
      </c>
    </row>
    <row r="3881" spans="1:3" x14ac:dyDescent="0.15">
      <c r="A3881" t="s">
        <v>930</v>
      </c>
      <c r="B3881">
        <v>45.254800000000003</v>
      </c>
      <c r="C3881">
        <v>4.0308100000000001E-4</v>
      </c>
    </row>
    <row r="3882" spans="1:3" x14ac:dyDescent="0.15">
      <c r="A3882" t="s">
        <v>930</v>
      </c>
      <c r="B3882">
        <v>64</v>
      </c>
      <c r="C3882">
        <v>5.6188099999999997E-4</v>
      </c>
    </row>
    <row r="3883" spans="1:3" x14ac:dyDescent="0.15">
      <c r="A3883" t="s">
        <v>930</v>
      </c>
      <c r="B3883">
        <v>90.509699999999995</v>
      </c>
      <c r="C3883">
        <v>8.4334600000000003E-4</v>
      </c>
    </row>
    <row r="3884" spans="1:3" x14ac:dyDescent="0.15">
      <c r="A3884" t="s">
        <v>930</v>
      </c>
      <c r="B3884">
        <v>128</v>
      </c>
      <c r="C3884">
        <v>8.9441200000000003E-4</v>
      </c>
    </row>
    <row r="3885" spans="1:3" x14ac:dyDescent="0.15">
      <c r="A3885" t="s">
        <v>930</v>
      </c>
      <c r="B3885">
        <v>181.01929999999999</v>
      </c>
      <c r="C3885">
        <v>4.5518700000000002E-4</v>
      </c>
    </row>
    <row r="3886" spans="1:3" x14ac:dyDescent="0.15">
      <c r="A3886" t="s">
        <v>930</v>
      </c>
      <c r="B3886">
        <v>256</v>
      </c>
      <c r="C3886">
        <v>6.9795000000000005E-5</v>
      </c>
    </row>
    <row r="3887" spans="1:3" x14ac:dyDescent="0.15">
      <c r="A3887" t="s">
        <v>930</v>
      </c>
      <c r="B3887">
        <v>362.03870000000001</v>
      </c>
      <c r="C3887">
        <v>1.3009999999999999E-6</v>
      </c>
    </row>
    <row r="3888" spans="1:3" x14ac:dyDescent="0.15">
      <c r="A3888" t="s">
        <v>930</v>
      </c>
      <c r="B3888">
        <v>512</v>
      </c>
      <c r="C3888">
        <v>0</v>
      </c>
    </row>
    <row r="3889" spans="1:3" x14ac:dyDescent="0.15">
      <c r="A3889" t="s">
        <v>930</v>
      </c>
      <c r="B3889">
        <v>724.07730000000004</v>
      </c>
      <c r="C3889">
        <v>0</v>
      </c>
    </row>
    <row r="3890" spans="1:3" x14ac:dyDescent="0.15">
      <c r="A3890" t="s">
        <v>931</v>
      </c>
      <c r="B3890">
        <v>2</v>
      </c>
      <c r="C3890">
        <v>1.7468130000000001E-3</v>
      </c>
    </row>
    <row r="3891" spans="1:3" x14ac:dyDescent="0.15">
      <c r="A3891" t="s">
        <v>931</v>
      </c>
      <c r="B3891">
        <v>2.8283999999999998</v>
      </c>
      <c r="C3891">
        <v>1.8065150000000001E-3</v>
      </c>
    </row>
    <row r="3892" spans="1:3" x14ac:dyDescent="0.15">
      <c r="A3892" t="s">
        <v>931</v>
      </c>
      <c r="B3892">
        <v>4</v>
      </c>
      <c r="C3892">
        <v>1.7111310000000001E-3</v>
      </c>
    </row>
    <row r="3893" spans="1:3" x14ac:dyDescent="0.15">
      <c r="A3893" t="s">
        <v>931</v>
      </c>
      <c r="B3893">
        <v>5.6569000000000003</v>
      </c>
      <c r="C3893">
        <v>1.6237929999999999E-3</v>
      </c>
    </row>
    <row r="3894" spans="1:3" x14ac:dyDescent="0.15">
      <c r="A3894" t="s">
        <v>931</v>
      </c>
      <c r="B3894">
        <v>8</v>
      </c>
      <c r="C3894">
        <v>1.6191409999999999E-3</v>
      </c>
    </row>
    <row r="3895" spans="1:3" x14ac:dyDescent="0.15">
      <c r="A3895" t="s">
        <v>931</v>
      </c>
      <c r="B3895">
        <v>11.313700000000001</v>
      </c>
      <c r="C3895">
        <v>1.639487E-3</v>
      </c>
    </row>
    <row r="3896" spans="1:3" x14ac:dyDescent="0.15">
      <c r="A3896" t="s">
        <v>931</v>
      </c>
      <c r="B3896">
        <v>16</v>
      </c>
      <c r="C3896">
        <v>1.4208420000000001E-3</v>
      </c>
    </row>
    <row r="3897" spans="1:3" x14ac:dyDescent="0.15">
      <c r="A3897" t="s">
        <v>931</v>
      </c>
      <c r="B3897">
        <v>22.627400000000002</v>
      </c>
      <c r="C3897">
        <v>9.4598299999999996E-4</v>
      </c>
    </row>
    <row r="3898" spans="1:3" x14ac:dyDescent="0.15">
      <c r="A3898" t="s">
        <v>931</v>
      </c>
      <c r="B3898">
        <v>32</v>
      </c>
      <c r="C3898">
        <v>8.2914499999999999E-4</v>
      </c>
    </row>
    <row r="3899" spans="1:3" x14ac:dyDescent="0.15">
      <c r="A3899" t="s">
        <v>931</v>
      </c>
      <c r="B3899">
        <v>45.254800000000003</v>
      </c>
      <c r="C3899">
        <v>9.4163000000000005E-4</v>
      </c>
    </row>
    <row r="3900" spans="1:3" x14ac:dyDescent="0.15">
      <c r="A3900" t="s">
        <v>931</v>
      </c>
      <c r="B3900">
        <v>64</v>
      </c>
      <c r="C3900">
        <v>8.4864300000000005E-4</v>
      </c>
    </row>
    <row r="3901" spans="1:3" x14ac:dyDescent="0.15">
      <c r="A3901" t="s">
        <v>931</v>
      </c>
      <c r="B3901">
        <v>90.509699999999995</v>
      </c>
      <c r="C3901">
        <v>7.0447499999999998E-4</v>
      </c>
    </row>
    <row r="3902" spans="1:3" x14ac:dyDescent="0.15">
      <c r="A3902" t="s">
        <v>931</v>
      </c>
      <c r="B3902">
        <v>128</v>
      </c>
      <c r="C3902">
        <v>5.8943999999999999E-4</v>
      </c>
    </row>
    <row r="3903" spans="1:3" x14ac:dyDescent="0.15">
      <c r="A3903" t="s">
        <v>931</v>
      </c>
      <c r="B3903">
        <v>181.01929999999999</v>
      </c>
      <c r="C3903">
        <v>2.9146899999999998E-4</v>
      </c>
    </row>
    <row r="3904" spans="1:3" x14ac:dyDescent="0.15">
      <c r="A3904" t="s">
        <v>931</v>
      </c>
      <c r="B3904">
        <v>256</v>
      </c>
      <c r="C3904">
        <v>4.4716999999999999E-5</v>
      </c>
    </row>
    <row r="3905" spans="1:3" x14ac:dyDescent="0.15">
      <c r="A3905" t="s">
        <v>931</v>
      </c>
      <c r="B3905">
        <v>362.03870000000001</v>
      </c>
      <c r="C3905">
        <v>8.3399999999999998E-7</v>
      </c>
    </row>
    <row r="3906" spans="1:3" x14ac:dyDescent="0.15">
      <c r="A3906" t="s">
        <v>931</v>
      </c>
      <c r="B3906">
        <v>512</v>
      </c>
      <c r="C3906">
        <v>1.0000000000000001E-9</v>
      </c>
    </row>
    <row r="3907" spans="1:3" x14ac:dyDescent="0.15">
      <c r="A3907" t="s">
        <v>931</v>
      </c>
      <c r="B3907">
        <v>724.07730000000004</v>
      </c>
      <c r="C3907">
        <v>0</v>
      </c>
    </row>
    <row r="3908" spans="1:3" x14ac:dyDescent="0.15">
      <c r="A3908" t="s">
        <v>932</v>
      </c>
      <c r="B3908">
        <v>2</v>
      </c>
      <c r="C3908">
        <v>9.6737600000000004E-4</v>
      </c>
    </row>
    <row r="3909" spans="1:3" x14ac:dyDescent="0.15">
      <c r="A3909" t="s">
        <v>932</v>
      </c>
      <c r="B3909">
        <v>2.8283999999999998</v>
      </c>
      <c r="C3909">
        <v>1.2253489999999999E-3</v>
      </c>
    </row>
    <row r="3910" spans="1:3" x14ac:dyDescent="0.15">
      <c r="A3910" t="s">
        <v>932</v>
      </c>
      <c r="B3910">
        <v>4</v>
      </c>
      <c r="C3910">
        <v>1.3576319999999999E-3</v>
      </c>
    </row>
    <row r="3911" spans="1:3" x14ac:dyDescent="0.15">
      <c r="A3911" t="s">
        <v>932</v>
      </c>
      <c r="B3911">
        <v>5.6569000000000003</v>
      </c>
      <c r="C3911">
        <v>1.283518E-3</v>
      </c>
    </row>
    <row r="3912" spans="1:3" x14ac:dyDescent="0.15">
      <c r="A3912" t="s">
        <v>932</v>
      </c>
      <c r="B3912">
        <v>8</v>
      </c>
      <c r="C3912">
        <v>1.1401919999999999E-3</v>
      </c>
    </row>
    <row r="3913" spans="1:3" x14ac:dyDescent="0.15">
      <c r="A3913" t="s">
        <v>932</v>
      </c>
      <c r="B3913">
        <v>11.313700000000001</v>
      </c>
      <c r="C3913">
        <v>1.032053E-3</v>
      </c>
    </row>
    <row r="3914" spans="1:3" x14ac:dyDescent="0.15">
      <c r="A3914" t="s">
        <v>932</v>
      </c>
      <c r="B3914">
        <v>16</v>
      </c>
      <c r="C3914">
        <v>9.2842599999999999E-4</v>
      </c>
    </row>
    <row r="3915" spans="1:3" x14ac:dyDescent="0.15">
      <c r="A3915" t="s">
        <v>932</v>
      </c>
      <c r="B3915">
        <v>22.627400000000002</v>
      </c>
      <c r="C3915">
        <v>8.1284800000000002E-4</v>
      </c>
    </row>
    <row r="3916" spans="1:3" x14ac:dyDescent="0.15">
      <c r="A3916" t="s">
        <v>932</v>
      </c>
      <c r="B3916">
        <v>32</v>
      </c>
      <c r="C3916">
        <v>6.6503299999999999E-4</v>
      </c>
    </row>
    <row r="3917" spans="1:3" x14ac:dyDescent="0.15">
      <c r="A3917" t="s">
        <v>932</v>
      </c>
      <c r="B3917">
        <v>45.254800000000003</v>
      </c>
      <c r="C3917">
        <v>4.7971E-4</v>
      </c>
    </row>
    <row r="3918" spans="1:3" x14ac:dyDescent="0.15">
      <c r="A3918" t="s">
        <v>932</v>
      </c>
      <c r="B3918">
        <v>64</v>
      </c>
      <c r="C3918">
        <v>3.6396900000000001E-4</v>
      </c>
    </row>
    <row r="3919" spans="1:3" x14ac:dyDescent="0.15">
      <c r="A3919" t="s">
        <v>932</v>
      </c>
      <c r="B3919">
        <v>90.509699999999995</v>
      </c>
      <c r="C3919">
        <v>2.90148E-4</v>
      </c>
    </row>
    <row r="3920" spans="1:3" x14ac:dyDescent="0.15">
      <c r="A3920" t="s">
        <v>932</v>
      </c>
      <c r="B3920">
        <v>128</v>
      </c>
      <c r="C3920">
        <v>1.9424199999999999E-4</v>
      </c>
    </row>
    <row r="3921" spans="1:3" x14ac:dyDescent="0.15">
      <c r="A3921" t="s">
        <v>932</v>
      </c>
      <c r="B3921">
        <v>181.01929999999999</v>
      </c>
      <c r="C3921">
        <v>8.9225E-5</v>
      </c>
    </row>
    <row r="3922" spans="1:3" x14ac:dyDescent="0.15">
      <c r="A3922" t="s">
        <v>932</v>
      </c>
      <c r="B3922">
        <v>256</v>
      </c>
      <c r="C3922">
        <v>1.361E-5</v>
      </c>
    </row>
    <row r="3923" spans="1:3" x14ac:dyDescent="0.15">
      <c r="A3923" t="s">
        <v>932</v>
      </c>
      <c r="B3923">
        <v>362.03870000000001</v>
      </c>
      <c r="C3923">
        <v>2.5400000000000002E-7</v>
      </c>
    </row>
    <row r="3924" spans="1:3" x14ac:dyDescent="0.15">
      <c r="A3924" t="s">
        <v>932</v>
      </c>
      <c r="B3924">
        <v>512</v>
      </c>
      <c r="C3924">
        <v>0</v>
      </c>
    </row>
    <row r="3925" spans="1:3" x14ac:dyDescent="0.15">
      <c r="A3925" t="s">
        <v>932</v>
      </c>
      <c r="B3925">
        <v>724.07730000000004</v>
      </c>
      <c r="C3925">
        <v>0</v>
      </c>
    </row>
    <row r="3926" spans="1:3" x14ac:dyDescent="0.15">
      <c r="A3926" t="s">
        <v>933</v>
      </c>
      <c r="B3926">
        <v>2</v>
      </c>
      <c r="C3926">
        <v>1.144354E-3</v>
      </c>
    </row>
    <row r="3927" spans="1:3" x14ac:dyDescent="0.15">
      <c r="A3927" t="s">
        <v>933</v>
      </c>
      <c r="B3927">
        <v>2.8283999999999998</v>
      </c>
      <c r="C3927">
        <v>1.382433E-3</v>
      </c>
    </row>
    <row r="3928" spans="1:3" x14ac:dyDescent="0.15">
      <c r="A3928" t="s">
        <v>933</v>
      </c>
      <c r="B3928">
        <v>4</v>
      </c>
      <c r="C3928">
        <v>1.5407789999999999E-3</v>
      </c>
    </row>
    <row r="3929" spans="1:3" x14ac:dyDescent="0.15">
      <c r="A3929" t="s">
        <v>933</v>
      </c>
      <c r="B3929">
        <v>5.6569000000000003</v>
      </c>
      <c r="C3929">
        <v>1.4573660000000001E-3</v>
      </c>
    </row>
    <row r="3930" spans="1:3" x14ac:dyDescent="0.15">
      <c r="A3930" t="s">
        <v>933</v>
      </c>
      <c r="B3930">
        <v>8</v>
      </c>
      <c r="C3930">
        <v>1.250595E-3</v>
      </c>
    </row>
    <row r="3931" spans="1:3" x14ac:dyDescent="0.15">
      <c r="A3931" t="s">
        <v>933</v>
      </c>
      <c r="B3931">
        <v>11.313700000000001</v>
      </c>
      <c r="C3931">
        <v>1.1788479999999999E-3</v>
      </c>
    </row>
    <row r="3932" spans="1:3" x14ac:dyDescent="0.15">
      <c r="A3932" t="s">
        <v>933</v>
      </c>
      <c r="B3932">
        <v>16</v>
      </c>
      <c r="C3932">
        <v>1.076844E-3</v>
      </c>
    </row>
    <row r="3933" spans="1:3" x14ac:dyDescent="0.15">
      <c r="A3933" t="s">
        <v>933</v>
      </c>
      <c r="B3933">
        <v>22.627400000000002</v>
      </c>
      <c r="C3933">
        <v>8.6427699999999999E-4</v>
      </c>
    </row>
    <row r="3934" spans="1:3" x14ac:dyDescent="0.15">
      <c r="A3934" t="s">
        <v>933</v>
      </c>
      <c r="B3934">
        <v>32</v>
      </c>
      <c r="C3934">
        <v>8.1142699999999998E-4</v>
      </c>
    </row>
    <row r="3935" spans="1:3" x14ac:dyDescent="0.15">
      <c r="A3935" t="s">
        <v>933</v>
      </c>
      <c r="B3935">
        <v>45.254800000000003</v>
      </c>
      <c r="C3935">
        <v>9.0123199999999997E-4</v>
      </c>
    </row>
    <row r="3936" spans="1:3" x14ac:dyDescent="0.15">
      <c r="A3936" t="s">
        <v>933</v>
      </c>
      <c r="B3936">
        <v>64</v>
      </c>
      <c r="C3936">
        <v>9.2269200000000002E-4</v>
      </c>
    </row>
    <row r="3937" spans="1:3" x14ac:dyDescent="0.15">
      <c r="A3937" t="s">
        <v>933</v>
      </c>
      <c r="B3937">
        <v>90.509699999999995</v>
      </c>
      <c r="C3937">
        <v>6.2081599999999995E-4</v>
      </c>
    </row>
    <row r="3938" spans="1:3" x14ac:dyDescent="0.15">
      <c r="A3938" t="s">
        <v>933</v>
      </c>
      <c r="B3938">
        <v>128</v>
      </c>
      <c r="C3938">
        <v>4.2312900000000001E-4</v>
      </c>
    </row>
    <row r="3939" spans="1:3" x14ac:dyDescent="0.15">
      <c r="A3939" t="s">
        <v>933</v>
      </c>
      <c r="B3939">
        <v>181.01929999999999</v>
      </c>
      <c r="C3939">
        <v>2.1042500000000001E-4</v>
      </c>
    </row>
    <row r="3940" spans="1:3" x14ac:dyDescent="0.15">
      <c r="A3940" t="s">
        <v>933</v>
      </c>
      <c r="B3940">
        <v>256</v>
      </c>
      <c r="C3940">
        <v>3.2304000000000001E-5</v>
      </c>
    </row>
    <row r="3941" spans="1:3" x14ac:dyDescent="0.15">
      <c r="A3941" t="s">
        <v>933</v>
      </c>
      <c r="B3941">
        <v>362.03870000000001</v>
      </c>
      <c r="C3941">
        <v>6.0200000000000002E-7</v>
      </c>
    </row>
    <row r="3942" spans="1:3" x14ac:dyDescent="0.15">
      <c r="A3942" t="s">
        <v>933</v>
      </c>
      <c r="B3942">
        <v>512</v>
      </c>
      <c r="C3942">
        <v>0</v>
      </c>
    </row>
    <row r="3943" spans="1:3" x14ac:dyDescent="0.15">
      <c r="A3943" t="s">
        <v>933</v>
      </c>
      <c r="B3943">
        <v>724.07730000000004</v>
      </c>
      <c r="C3943">
        <v>0</v>
      </c>
    </row>
    <row r="3944" spans="1:3" x14ac:dyDescent="0.15">
      <c r="A3944" t="s">
        <v>934</v>
      </c>
      <c r="B3944">
        <v>2</v>
      </c>
      <c r="C3944">
        <v>1.290029E-3</v>
      </c>
    </row>
    <row r="3945" spans="1:3" x14ac:dyDescent="0.15">
      <c r="A3945" t="s">
        <v>934</v>
      </c>
      <c r="B3945">
        <v>2.8283999999999998</v>
      </c>
      <c r="C3945">
        <v>1.5995029999999999E-3</v>
      </c>
    </row>
    <row r="3946" spans="1:3" x14ac:dyDescent="0.15">
      <c r="A3946" t="s">
        <v>934</v>
      </c>
      <c r="B3946">
        <v>4</v>
      </c>
      <c r="C3946">
        <v>1.624704E-3</v>
      </c>
    </row>
    <row r="3947" spans="1:3" x14ac:dyDescent="0.15">
      <c r="A3947" t="s">
        <v>934</v>
      </c>
      <c r="B3947">
        <v>5.6569000000000003</v>
      </c>
      <c r="C3947">
        <v>1.2838490000000001E-3</v>
      </c>
    </row>
    <row r="3948" spans="1:3" x14ac:dyDescent="0.15">
      <c r="A3948" t="s">
        <v>934</v>
      </c>
      <c r="B3948">
        <v>8</v>
      </c>
      <c r="C3948">
        <v>1.0182189999999999E-3</v>
      </c>
    </row>
    <row r="3949" spans="1:3" x14ac:dyDescent="0.15">
      <c r="A3949" t="s">
        <v>934</v>
      </c>
      <c r="B3949">
        <v>11.313700000000001</v>
      </c>
      <c r="C3949">
        <v>8.8497499999999998E-4</v>
      </c>
    </row>
    <row r="3950" spans="1:3" x14ac:dyDescent="0.15">
      <c r="A3950" t="s">
        <v>934</v>
      </c>
      <c r="B3950">
        <v>16</v>
      </c>
      <c r="C3950">
        <v>8.6201500000000005E-4</v>
      </c>
    </row>
    <row r="3951" spans="1:3" x14ac:dyDescent="0.15">
      <c r="A3951" t="s">
        <v>934</v>
      </c>
      <c r="B3951">
        <v>22.627400000000002</v>
      </c>
      <c r="C3951">
        <v>1.0973630000000001E-3</v>
      </c>
    </row>
    <row r="3952" spans="1:3" x14ac:dyDescent="0.15">
      <c r="A3952" t="s">
        <v>934</v>
      </c>
      <c r="B3952">
        <v>32</v>
      </c>
      <c r="C3952">
        <v>1.4177899999999999E-3</v>
      </c>
    </row>
    <row r="3953" spans="1:3" x14ac:dyDescent="0.15">
      <c r="A3953" t="s">
        <v>934</v>
      </c>
      <c r="B3953">
        <v>45.254800000000003</v>
      </c>
      <c r="C3953">
        <v>1.41869E-3</v>
      </c>
    </row>
    <row r="3954" spans="1:3" x14ac:dyDescent="0.15">
      <c r="A3954" t="s">
        <v>934</v>
      </c>
      <c r="B3954">
        <v>64</v>
      </c>
      <c r="C3954">
        <v>8.4053700000000003E-4</v>
      </c>
    </row>
    <row r="3955" spans="1:3" x14ac:dyDescent="0.15">
      <c r="A3955" t="s">
        <v>934</v>
      </c>
      <c r="B3955">
        <v>90.509699999999995</v>
      </c>
      <c r="C3955">
        <v>2.7948200000000001E-4</v>
      </c>
    </row>
    <row r="3956" spans="1:3" x14ac:dyDescent="0.15">
      <c r="A3956" t="s">
        <v>934</v>
      </c>
      <c r="B3956">
        <v>128</v>
      </c>
      <c r="C3956">
        <v>1.68901E-4</v>
      </c>
    </row>
    <row r="3957" spans="1:3" x14ac:dyDescent="0.15">
      <c r="A3957" t="s">
        <v>934</v>
      </c>
      <c r="B3957">
        <v>181.01929999999999</v>
      </c>
      <c r="C3957">
        <v>8.8844999999999994E-5</v>
      </c>
    </row>
    <row r="3958" spans="1:3" x14ac:dyDescent="0.15">
      <c r="A3958" t="s">
        <v>934</v>
      </c>
      <c r="B3958">
        <v>256</v>
      </c>
      <c r="C3958">
        <v>1.3763E-5</v>
      </c>
    </row>
    <row r="3959" spans="1:3" x14ac:dyDescent="0.15">
      <c r="A3959" t="s">
        <v>934</v>
      </c>
      <c r="B3959">
        <v>362.03870000000001</v>
      </c>
      <c r="C3959">
        <v>2.5699999999999999E-7</v>
      </c>
    </row>
    <row r="3960" spans="1:3" x14ac:dyDescent="0.15">
      <c r="A3960" t="s">
        <v>934</v>
      </c>
      <c r="B3960">
        <v>512</v>
      </c>
      <c r="C3960">
        <v>0</v>
      </c>
    </row>
    <row r="3961" spans="1:3" x14ac:dyDescent="0.15">
      <c r="A3961" t="s">
        <v>934</v>
      </c>
      <c r="B3961">
        <v>724.07730000000004</v>
      </c>
      <c r="C3961">
        <v>0</v>
      </c>
    </row>
    <row r="3962" spans="1:3" x14ac:dyDescent="0.15">
      <c r="A3962" t="s">
        <v>935</v>
      </c>
      <c r="B3962">
        <v>2</v>
      </c>
      <c r="C3962">
        <v>1.5593619999999999E-3</v>
      </c>
    </row>
    <row r="3963" spans="1:3" x14ac:dyDescent="0.15">
      <c r="A3963" t="s">
        <v>935</v>
      </c>
      <c r="B3963">
        <v>2.8283999999999998</v>
      </c>
      <c r="C3963">
        <v>1.6918580000000001E-3</v>
      </c>
    </row>
    <row r="3964" spans="1:3" x14ac:dyDescent="0.15">
      <c r="A3964" t="s">
        <v>935</v>
      </c>
      <c r="B3964">
        <v>4</v>
      </c>
      <c r="C3964">
        <v>1.639852E-3</v>
      </c>
    </row>
    <row r="3965" spans="1:3" x14ac:dyDescent="0.15">
      <c r="A3965" t="s">
        <v>935</v>
      </c>
      <c r="B3965">
        <v>5.6569000000000003</v>
      </c>
      <c r="C3965">
        <v>1.8263820000000001E-3</v>
      </c>
    </row>
    <row r="3966" spans="1:3" x14ac:dyDescent="0.15">
      <c r="A3966" t="s">
        <v>935</v>
      </c>
      <c r="B3966">
        <v>8</v>
      </c>
      <c r="C3966">
        <v>1.990253E-3</v>
      </c>
    </row>
    <row r="3967" spans="1:3" x14ac:dyDescent="0.15">
      <c r="A3967" t="s">
        <v>935</v>
      </c>
      <c r="B3967">
        <v>11.313700000000001</v>
      </c>
      <c r="C3967">
        <v>1.6170290000000001E-3</v>
      </c>
    </row>
    <row r="3968" spans="1:3" x14ac:dyDescent="0.15">
      <c r="A3968" t="s">
        <v>935</v>
      </c>
      <c r="B3968">
        <v>16</v>
      </c>
      <c r="C3968">
        <v>1.2078970000000001E-3</v>
      </c>
    </row>
    <row r="3969" spans="1:3" x14ac:dyDescent="0.15">
      <c r="A3969" t="s">
        <v>935</v>
      </c>
      <c r="B3969">
        <v>22.627400000000002</v>
      </c>
      <c r="C3969">
        <v>1.3269880000000001E-3</v>
      </c>
    </row>
    <row r="3970" spans="1:3" x14ac:dyDescent="0.15">
      <c r="A3970" t="s">
        <v>935</v>
      </c>
      <c r="B3970">
        <v>32</v>
      </c>
      <c r="C3970">
        <v>1.475323E-3</v>
      </c>
    </row>
    <row r="3971" spans="1:3" x14ac:dyDescent="0.15">
      <c r="A3971" t="s">
        <v>935</v>
      </c>
      <c r="B3971">
        <v>45.254800000000003</v>
      </c>
      <c r="C3971">
        <v>1.1905539999999999E-3</v>
      </c>
    </row>
    <row r="3972" spans="1:3" x14ac:dyDescent="0.15">
      <c r="A3972" t="s">
        <v>935</v>
      </c>
      <c r="B3972">
        <v>64</v>
      </c>
      <c r="C3972">
        <v>8.1490600000000001E-4</v>
      </c>
    </row>
    <row r="3973" spans="1:3" x14ac:dyDescent="0.15">
      <c r="A3973" t="s">
        <v>935</v>
      </c>
      <c r="B3973">
        <v>90.509699999999995</v>
      </c>
      <c r="C3973">
        <v>3.8392299999999999E-4</v>
      </c>
    </row>
    <row r="3974" spans="1:3" x14ac:dyDescent="0.15">
      <c r="A3974" t="s">
        <v>935</v>
      </c>
      <c r="B3974">
        <v>128</v>
      </c>
      <c r="C3974">
        <v>5.872E-5</v>
      </c>
    </row>
    <row r="3975" spans="1:3" x14ac:dyDescent="0.15">
      <c r="A3975" t="s">
        <v>935</v>
      </c>
      <c r="B3975">
        <v>181.01929999999999</v>
      </c>
      <c r="C3975">
        <v>1.0950000000000001E-6</v>
      </c>
    </row>
    <row r="3976" spans="1:3" x14ac:dyDescent="0.15">
      <c r="A3976" t="s">
        <v>935</v>
      </c>
      <c r="B3976">
        <v>256</v>
      </c>
      <c r="C3976">
        <v>1.0000000000000001E-9</v>
      </c>
    </row>
    <row r="3977" spans="1:3" x14ac:dyDescent="0.15">
      <c r="A3977" t="s">
        <v>935</v>
      </c>
      <c r="B3977">
        <v>362.03870000000001</v>
      </c>
      <c r="C3977">
        <v>0</v>
      </c>
    </row>
    <row r="3978" spans="1:3" x14ac:dyDescent="0.15">
      <c r="A3978" t="s">
        <v>935</v>
      </c>
      <c r="B3978">
        <v>512</v>
      </c>
      <c r="C3978">
        <v>0</v>
      </c>
    </row>
    <row r="3979" spans="1:3" x14ac:dyDescent="0.15">
      <c r="A3979" t="s">
        <v>935</v>
      </c>
      <c r="B3979">
        <v>724.07730000000004</v>
      </c>
      <c r="C3979">
        <v>0</v>
      </c>
    </row>
    <row r="3980" spans="1:3" x14ac:dyDescent="0.15">
      <c r="A3980" t="s">
        <v>936</v>
      </c>
      <c r="B3980">
        <v>2</v>
      </c>
      <c r="C3980">
        <v>7.91349E-4</v>
      </c>
    </row>
    <row r="3981" spans="1:3" x14ac:dyDescent="0.15">
      <c r="A3981" t="s">
        <v>936</v>
      </c>
      <c r="B3981">
        <v>2.8283999999999998</v>
      </c>
      <c r="C3981">
        <v>9.2227499999999996E-4</v>
      </c>
    </row>
    <row r="3982" spans="1:3" x14ac:dyDescent="0.15">
      <c r="A3982" t="s">
        <v>936</v>
      </c>
      <c r="B3982">
        <v>4</v>
      </c>
      <c r="C3982">
        <v>9.991589999999999E-4</v>
      </c>
    </row>
    <row r="3983" spans="1:3" x14ac:dyDescent="0.15">
      <c r="A3983" t="s">
        <v>936</v>
      </c>
      <c r="B3983">
        <v>5.6569000000000003</v>
      </c>
      <c r="C3983">
        <v>9.5257499999999999E-4</v>
      </c>
    </row>
    <row r="3984" spans="1:3" x14ac:dyDescent="0.15">
      <c r="A3984" t="s">
        <v>936</v>
      </c>
      <c r="B3984">
        <v>8</v>
      </c>
      <c r="C3984">
        <v>9.1916899999999995E-4</v>
      </c>
    </row>
    <row r="3985" spans="1:3" x14ac:dyDescent="0.15">
      <c r="A3985" t="s">
        <v>936</v>
      </c>
      <c r="B3985">
        <v>11.313700000000001</v>
      </c>
      <c r="C3985">
        <v>9.3912800000000001E-4</v>
      </c>
    </row>
    <row r="3986" spans="1:3" x14ac:dyDescent="0.15">
      <c r="A3986" t="s">
        <v>936</v>
      </c>
      <c r="B3986">
        <v>16</v>
      </c>
      <c r="C3986">
        <v>9.2628700000000003E-4</v>
      </c>
    </row>
    <row r="3987" spans="1:3" x14ac:dyDescent="0.15">
      <c r="A3987" t="s">
        <v>936</v>
      </c>
      <c r="B3987">
        <v>22.627400000000002</v>
      </c>
      <c r="C3987">
        <v>8.4476799999999997E-4</v>
      </c>
    </row>
    <row r="3988" spans="1:3" x14ac:dyDescent="0.15">
      <c r="A3988" t="s">
        <v>936</v>
      </c>
      <c r="B3988">
        <v>32</v>
      </c>
      <c r="C3988">
        <v>6.98031E-4</v>
      </c>
    </row>
    <row r="3989" spans="1:3" x14ac:dyDescent="0.15">
      <c r="A3989" t="s">
        <v>936</v>
      </c>
      <c r="B3989">
        <v>45.254800000000003</v>
      </c>
      <c r="C3989">
        <v>4.5651099999999999E-4</v>
      </c>
    </row>
    <row r="3990" spans="1:3" x14ac:dyDescent="0.15">
      <c r="A3990" t="s">
        <v>936</v>
      </c>
      <c r="B3990">
        <v>64</v>
      </c>
      <c r="C3990">
        <v>2.2331799999999999E-4</v>
      </c>
    </row>
    <row r="3991" spans="1:3" x14ac:dyDescent="0.15">
      <c r="A3991" t="s">
        <v>936</v>
      </c>
      <c r="B3991">
        <v>90.509699999999995</v>
      </c>
      <c r="C3991">
        <v>1.3088800000000001E-4</v>
      </c>
    </row>
    <row r="3992" spans="1:3" x14ac:dyDescent="0.15">
      <c r="A3992" t="s">
        <v>936</v>
      </c>
      <c r="B3992">
        <v>128</v>
      </c>
      <c r="C3992">
        <v>7.1542E-5</v>
      </c>
    </row>
    <row r="3993" spans="1:3" x14ac:dyDescent="0.15">
      <c r="A3993" t="s">
        <v>936</v>
      </c>
      <c r="B3993">
        <v>181.01929999999999</v>
      </c>
      <c r="C3993">
        <v>3.0608999999999998E-5</v>
      </c>
    </row>
    <row r="3994" spans="1:3" x14ac:dyDescent="0.15">
      <c r="A3994" t="s">
        <v>936</v>
      </c>
      <c r="B3994">
        <v>256</v>
      </c>
      <c r="C3994">
        <v>4.6589999999999998E-6</v>
      </c>
    </row>
    <row r="3995" spans="1:3" x14ac:dyDescent="0.15">
      <c r="A3995" t="s">
        <v>936</v>
      </c>
      <c r="B3995">
        <v>362.03870000000001</v>
      </c>
      <c r="C3995">
        <v>8.6999999999999998E-8</v>
      </c>
    </row>
    <row r="3996" spans="1:3" x14ac:dyDescent="0.15">
      <c r="A3996" t="s">
        <v>936</v>
      </c>
      <c r="B3996">
        <v>512</v>
      </c>
      <c r="C3996">
        <v>0</v>
      </c>
    </row>
    <row r="3997" spans="1:3" x14ac:dyDescent="0.15">
      <c r="A3997" t="s">
        <v>936</v>
      </c>
      <c r="B3997">
        <v>724.07730000000004</v>
      </c>
      <c r="C3997">
        <v>0</v>
      </c>
    </row>
    <row r="3998" spans="1:3" x14ac:dyDescent="0.15">
      <c r="A3998" t="s">
        <v>937</v>
      </c>
      <c r="B3998">
        <v>2</v>
      </c>
      <c r="C3998">
        <v>1.359433E-3</v>
      </c>
    </row>
    <row r="3999" spans="1:3" x14ac:dyDescent="0.15">
      <c r="A3999" t="s">
        <v>937</v>
      </c>
      <c r="B3999">
        <v>2.8283999999999998</v>
      </c>
      <c r="C3999">
        <v>1.806766E-3</v>
      </c>
    </row>
    <row r="4000" spans="1:3" x14ac:dyDescent="0.15">
      <c r="A4000" t="s">
        <v>937</v>
      </c>
      <c r="B4000">
        <v>4</v>
      </c>
      <c r="C4000">
        <v>2.0824329999999999E-3</v>
      </c>
    </row>
    <row r="4001" spans="1:3" x14ac:dyDescent="0.15">
      <c r="A4001" t="s">
        <v>937</v>
      </c>
      <c r="B4001">
        <v>5.6569000000000003</v>
      </c>
      <c r="C4001">
        <v>2.0075800000000001E-3</v>
      </c>
    </row>
    <row r="4002" spans="1:3" x14ac:dyDescent="0.15">
      <c r="A4002" t="s">
        <v>937</v>
      </c>
      <c r="B4002">
        <v>8</v>
      </c>
      <c r="C4002">
        <v>1.687292E-3</v>
      </c>
    </row>
    <row r="4003" spans="1:3" x14ac:dyDescent="0.15">
      <c r="A4003" t="s">
        <v>937</v>
      </c>
      <c r="B4003">
        <v>11.313700000000001</v>
      </c>
      <c r="C4003">
        <v>1.3380460000000001E-3</v>
      </c>
    </row>
    <row r="4004" spans="1:3" x14ac:dyDescent="0.15">
      <c r="A4004" t="s">
        <v>937</v>
      </c>
      <c r="B4004">
        <v>16</v>
      </c>
      <c r="C4004">
        <v>1.109219E-3</v>
      </c>
    </row>
    <row r="4005" spans="1:3" x14ac:dyDescent="0.15">
      <c r="A4005" t="s">
        <v>937</v>
      </c>
      <c r="B4005">
        <v>22.627400000000002</v>
      </c>
      <c r="C4005">
        <v>9.1849499999999997E-4</v>
      </c>
    </row>
    <row r="4006" spans="1:3" x14ac:dyDescent="0.15">
      <c r="A4006" t="s">
        <v>937</v>
      </c>
      <c r="B4006">
        <v>32</v>
      </c>
      <c r="C4006">
        <v>7.2500099999999997E-4</v>
      </c>
    </row>
    <row r="4007" spans="1:3" x14ac:dyDescent="0.15">
      <c r="A4007" t="s">
        <v>937</v>
      </c>
      <c r="B4007">
        <v>45.254800000000003</v>
      </c>
      <c r="C4007">
        <v>6.9198199999999995E-4</v>
      </c>
    </row>
    <row r="4008" spans="1:3" x14ac:dyDescent="0.15">
      <c r="A4008" t="s">
        <v>937</v>
      </c>
      <c r="B4008">
        <v>64</v>
      </c>
      <c r="C4008">
        <v>7.7231200000000004E-4</v>
      </c>
    </row>
    <row r="4009" spans="1:3" x14ac:dyDescent="0.15">
      <c r="A4009" t="s">
        <v>937</v>
      </c>
      <c r="B4009">
        <v>90.509699999999995</v>
      </c>
      <c r="C4009">
        <v>7.9145500000000004E-4</v>
      </c>
    </row>
    <row r="4010" spans="1:3" x14ac:dyDescent="0.15">
      <c r="A4010" t="s">
        <v>937</v>
      </c>
      <c r="B4010">
        <v>128</v>
      </c>
      <c r="C4010">
        <v>7.36069E-4</v>
      </c>
    </row>
    <row r="4011" spans="1:3" x14ac:dyDescent="0.15">
      <c r="A4011" t="s">
        <v>937</v>
      </c>
      <c r="B4011">
        <v>181.01929999999999</v>
      </c>
      <c r="C4011">
        <v>3.65841E-4</v>
      </c>
    </row>
    <row r="4012" spans="1:3" x14ac:dyDescent="0.15">
      <c r="A4012" t="s">
        <v>937</v>
      </c>
      <c r="B4012">
        <v>256</v>
      </c>
      <c r="C4012">
        <v>5.5760999999999997E-5</v>
      </c>
    </row>
    <row r="4013" spans="1:3" x14ac:dyDescent="0.15">
      <c r="A4013" t="s">
        <v>937</v>
      </c>
      <c r="B4013">
        <v>362.03870000000001</v>
      </c>
      <c r="C4013">
        <v>1.0389999999999999E-6</v>
      </c>
    </row>
    <row r="4014" spans="1:3" x14ac:dyDescent="0.15">
      <c r="A4014" t="s">
        <v>937</v>
      </c>
      <c r="B4014">
        <v>512</v>
      </c>
      <c r="C4014">
        <v>0</v>
      </c>
    </row>
    <row r="4015" spans="1:3" x14ac:dyDescent="0.15">
      <c r="A4015" t="s">
        <v>937</v>
      </c>
      <c r="B4015">
        <v>724.07730000000004</v>
      </c>
      <c r="C4015">
        <v>0</v>
      </c>
    </row>
    <row r="4016" spans="1:3" x14ac:dyDescent="0.15">
      <c r="A4016" t="s">
        <v>938</v>
      </c>
      <c r="B4016">
        <v>2</v>
      </c>
      <c r="C4016">
        <v>9.4267400000000001E-4</v>
      </c>
    </row>
    <row r="4017" spans="1:3" x14ac:dyDescent="0.15">
      <c r="A4017" t="s">
        <v>938</v>
      </c>
      <c r="B4017">
        <v>2.8283999999999998</v>
      </c>
      <c r="C4017">
        <v>1.2436350000000001E-3</v>
      </c>
    </row>
    <row r="4018" spans="1:3" x14ac:dyDescent="0.15">
      <c r="A4018" t="s">
        <v>938</v>
      </c>
      <c r="B4018">
        <v>4</v>
      </c>
      <c r="C4018">
        <v>1.4478360000000001E-3</v>
      </c>
    </row>
    <row r="4019" spans="1:3" x14ac:dyDescent="0.15">
      <c r="A4019" t="s">
        <v>938</v>
      </c>
      <c r="B4019">
        <v>5.6569000000000003</v>
      </c>
      <c r="C4019">
        <v>1.3756879999999999E-3</v>
      </c>
    </row>
    <row r="4020" spans="1:3" x14ac:dyDescent="0.15">
      <c r="A4020" t="s">
        <v>938</v>
      </c>
      <c r="B4020">
        <v>8</v>
      </c>
      <c r="C4020">
        <v>1.1165909999999999E-3</v>
      </c>
    </row>
    <row r="4021" spans="1:3" x14ac:dyDescent="0.15">
      <c r="A4021" t="s">
        <v>938</v>
      </c>
      <c r="B4021">
        <v>11.313700000000001</v>
      </c>
      <c r="C4021">
        <v>9.779630000000001E-4</v>
      </c>
    </row>
    <row r="4022" spans="1:3" x14ac:dyDescent="0.15">
      <c r="A4022" t="s">
        <v>938</v>
      </c>
      <c r="B4022">
        <v>16</v>
      </c>
      <c r="C4022">
        <v>8.3183499999999995E-4</v>
      </c>
    </row>
    <row r="4023" spans="1:3" x14ac:dyDescent="0.15">
      <c r="A4023" t="s">
        <v>938</v>
      </c>
      <c r="B4023">
        <v>22.627400000000002</v>
      </c>
      <c r="C4023">
        <v>7.0793199999999998E-4</v>
      </c>
    </row>
    <row r="4024" spans="1:3" x14ac:dyDescent="0.15">
      <c r="A4024" t="s">
        <v>938</v>
      </c>
      <c r="B4024">
        <v>32</v>
      </c>
      <c r="C4024">
        <v>8.2036000000000001E-4</v>
      </c>
    </row>
    <row r="4025" spans="1:3" x14ac:dyDescent="0.15">
      <c r="A4025" t="s">
        <v>938</v>
      </c>
      <c r="B4025">
        <v>45.254800000000003</v>
      </c>
      <c r="C4025">
        <v>1.004582E-3</v>
      </c>
    </row>
    <row r="4026" spans="1:3" x14ac:dyDescent="0.15">
      <c r="A4026" t="s">
        <v>938</v>
      </c>
      <c r="B4026">
        <v>64</v>
      </c>
      <c r="C4026">
        <v>9.7496400000000004E-4</v>
      </c>
    </row>
    <row r="4027" spans="1:3" x14ac:dyDescent="0.15">
      <c r="A4027" t="s">
        <v>938</v>
      </c>
      <c r="B4027">
        <v>90.509699999999995</v>
      </c>
      <c r="C4027">
        <v>8.3412899999999997E-4</v>
      </c>
    </row>
    <row r="4028" spans="1:3" x14ac:dyDescent="0.15">
      <c r="A4028" t="s">
        <v>938</v>
      </c>
      <c r="B4028">
        <v>128</v>
      </c>
      <c r="C4028">
        <v>7.2247999999999995E-4</v>
      </c>
    </row>
    <row r="4029" spans="1:3" x14ac:dyDescent="0.15">
      <c r="A4029" t="s">
        <v>938</v>
      </c>
      <c r="B4029">
        <v>181.01929999999999</v>
      </c>
      <c r="C4029">
        <v>3.5895499999999999E-4</v>
      </c>
    </row>
    <row r="4030" spans="1:3" x14ac:dyDescent="0.15">
      <c r="A4030" t="s">
        <v>938</v>
      </c>
      <c r="B4030">
        <v>256</v>
      </c>
      <c r="C4030">
        <v>5.4948999999999999E-5</v>
      </c>
    </row>
    <row r="4031" spans="1:3" x14ac:dyDescent="0.15">
      <c r="A4031" t="s">
        <v>938</v>
      </c>
      <c r="B4031">
        <v>362.03870000000001</v>
      </c>
      <c r="C4031">
        <v>1.0240000000000001E-6</v>
      </c>
    </row>
    <row r="4032" spans="1:3" x14ac:dyDescent="0.15">
      <c r="A4032" t="s">
        <v>938</v>
      </c>
      <c r="B4032">
        <v>512</v>
      </c>
      <c r="C4032">
        <v>0</v>
      </c>
    </row>
    <row r="4033" spans="1:3" x14ac:dyDescent="0.15">
      <c r="A4033" t="s">
        <v>938</v>
      </c>
      <c r="B4033">
        <v>724.07730000000004</v>
      </c>
      <c r="C4033">
        <v>0</v>
      </c>
    </row>
    <row r="4034" spans="1:3" x14ac:dyDescent="0.15">
      <c r="A4034" t="s">
        <v>939</v>
      </c>
      <c r="B4034">
        <v>2</v>
      </c>
      <c r="C4034">
        <v>1.133092E-3</v>
      </c>
    </row>
    <row r="4035" spans="1:3" x14ac:dyDescent="0.15">
      <c r="A4035" t="s">
        <v>939</v>
      </c>
      <c r="B4035">
        <v>2.8283999999999998</v>
      </c>
      <c r="C4035">
        <v>1.17202E-3</v>
      </c>
    </row>
    <row r="4036" spans="1:3" x14ac:dyDescent="0.15">
      <c r="A4036" t="s">
        <v>939</v>
      </c>
      <c r="B4036">
        <v>4</v>
      </c>
      <c r="C4036">
        <v>1.2174169999999999E-3</v>
      </c>
    </row>
    <row r="4037" spans="1:3" x14ac:dyDescent="0.15">
      <c r="A4037" t="s">
        <v>939</v>
      </c>
      <c r="B4037">
        <v>5.6569000000000003</v>
      </c>
      <c r="C4037">
        <v>1.2086320000000001E-3</v>
      </c>
    </row>
    <row r="4038" spans="1:3" x14ac:dyDescent="0.15">
      <c r="A4038" t="s">
        <v>939</v>
      </c>
      <c r="B4038">
        <v>8</v>
      </c>
      <c r="C4038">
        <v>1.096194E-3</v>
      </c>
    </row>
    <row r="4039" spans="1:3" x14ac:dyDescent="0.15">
      <c r="A4039" t="s">
        <v>939</v>
      </c>
      <c r="B4039">
        <v>11.313700000000001</v>
      </c>
      <c r="C4039">
        <v>9.3526999999999998E-4</v>
      </c>
    </row>
    <row r="4040" spans="1:3" x14ac:dyDescent="0.15">
      <c r="A4040" t="s">
        <v>939</v>
      </c>
      <c r="B4040">
        <v>16</v>
      </c>
      <c r="C4040">
        <v>8.2222899999999995E-4</v>
      </c>
    </row>
    <row r="4041" spans="1:3" x14ac:dyDescent="0.15">
      <c r="A4041" t="s">
        <v>939</v>
      </c>
      <c r="B4041">
        <v>22.627400000000002</v>
      </c>
      <c r="C4041">
        <v>7.3104400000000003E-4</v>
      </c>
    </row>
    <row r="4042" spans="1:3" x14ac:dyDescent="0.15">
      <c r="A4042" t="s">
        <v>939</v>
      </c>
      <c r="B4042">
        <v>32</v>
      </c>
      <c r="C4042">
        <v>6.5676600000000003E-4</v>
      </c>
    </row>
    <row r="4043" spans="1:3" x14ac:dyDescent="0.15">
      <c r="A4043" t="s">
        <v>939</v>
      </c>
      <c r="B4043">
        <v>45.254800000000003</v>
      </c>
      <c r="C4043">
        <v>5.4404200000000001E-4</v>
      </c>
    </row>
    <row r="4044" spans="1:3" x14ac:dyDescent="0.15">
      <c r="A4044" t="s">
        <v>939</v>
      </c>
      <c r="B4044">
        <v>64</v>
      </c>
      <c r="C4044">
        <v>3.6192100000000002E-4</v>
      </c>
    </row>
    <row r="4045" spans="1:3" x14ac:dyDescent="0.15">
      <c r="A4045" t="s">
        <v>939</v>
      </c>
      <c r="B4045">
        <v>90.509699999999995</v>
      </c>
      <c r="C4045">
        <v>1.9721100000000001E-4</v>
      </c>
    </row>
    <row r="4046" spans="1:3" x14ac:dyDescent="0.15">
      <c r="A4046" t="s">
        <v>939</v>
      </c>
      <c r="B4046">
        <v>128</v>
      </c>
      <c r="C4046">
        <v>1.3442700000000001E-4</v>
      </c>
    </row>
    <row r="4047" spans="1:3" x14ac:dyDescent="0.15">
      <c r="A4047" t="s">
        <v>939</v>
      </c>
      <c r="B4047">
        <v>181.01929999999999</v>
      </c>
      <c r="C4047">
        <v>6.7766000000000001E-5</v>
      </c>
    </row>
    <row r="4048" spans="1:3" x14ac:dyDescent="0.15">
      <c r="A4048" t="s">
        <v>939</v>
      </c>
      <c r="B4048">
        <v>256</v>
      </c>
      <c r="C4048">
        <v>1.0549E-5</v>
      </c>
    </row>
    <row r="4049" spans="1:3" x14ac:dyDescent="0.15">
      <c r="A4049" t="s">
        <v>939</v>
      </c>
      <c r="B4049">
        <v>362.03870000000001</v>
      </c>
      <c r="C4049">
        <v>1.97E-7</v>
      </c>
    </row>
    <row r="4050" spans="1:3" x14ac:dyDescent="0.15">
      <c r="A4050" t="s">
        <v>939</v>
      </c>
      <c r="B4050">
        <v>512</v>
      </c>
      <c r="C4050">
        <v>0</v>
      </c>
    </row>
    <row r="4051" spans="1:3" x14ac:dyDescent="0.15">
      <c r="A4051" t="s">
        <v>939</v>
      </c>
      <c r="B4051">
        <v>724.07730000000004</v>
      </c>
      <c r="C4051">
        <v>0</v>
      </c>
    </row>
    <row r="4052" spans="1:3" x14ac:dyDescent="0.15">
      <c r="A4052" t="s">
        <v>940</v>
      </c>
      <c r="B4052">
        <v>2</v>
      </c>
      <c r="C4052">
        <v>1.1550359999999999E-3</v>
      </c>
    </row>
    <row r="4053" spans="1:3" x14ac:dyDescent="0.15">
      <c r="A4053" t="s">
        <v>940</v>
      </c>
      <c r="B4053">
        <v>2.8283999999999998</v>
      </c>
      <c r="C4053">
        <v>1.4868069999999999E-3</v>
      </c>
    </row>
    <row r="4054" spans="1:3" x14ac:dyDescent="0.15">
      <c r="A4054" t="s">
        <v>940</v>
      </c>
      <c r="B4054">
        <v>4</v>
      </c>
      <c r="C4054">
        <v>1.736556E-3</v>
      </c>
    </row>
    <row r="4055" spans="1:3" x14ac:dyDescent="0.15">
      <c r="A4055" t="s">
        <v>940</v>
      </c>
      <c r="B4055">
        <v>5.6569000000000003</v>
      </c>
      <c r="C4055">
        <v>1.7100030000000001E-3</v>
      </c>
    </row>
    <row r="4056" spans="1:3" x14ac:dyDescent="0.15">
      <c r="A4056" t="s">
        <v>940</v>
      </c>
      <c r="B4056">
        <v>8</v>
      </c>
      <c r="C4056">
        <v>1.404474E-3</v>
      </c>
    </row>
    <row r="4057" spans="1:3" x14ac:dyDescent="0.15">
      <c r="A4057" t="s">
        <v>940</v>
      </c>
      <c r="B4057">
        <v>11.313700000000001</v>
      </c>
      <c r="C4057">
        <v>1.1126980000000001E-3</v>
      </c>
    </row>
    <row r="4058" spans="1:3" x14ac:dyDescent="0.15">
      <c r="A4058" t="s">
        <v>940</v>
      </c>
      <c r="B4058">
        <v>16</v>
      </c>
      <c r="C4058">
        <v>9.7051799999999997E-4</v>
      </c>
    </row>
    <row r="4059" spans="1:3" x14ac:dyDescent="0.15">
      <c r="A4059" t="s">
        <v>940</v>
      </c>
      <c r="B4059">
        <v>22.627400000000002</v>
      </c>
      <c r="C4059">
        <v>8.1224200000000002E-4</v>
      </c>
    </row>
    <row r="4060" spans="1:3" x14ac:dyDescent="0.15">
      <c r="A4060" t="s">
        <v>940</v>
      </c>
      <c r="B4060">
        <v>32</v>
      </c>
      <c r="C4060">
        <v>7.2416500000000003E-4</v>
      </c>
    </row>
    <row r="4061" spans="1:3" x14ac:dyDescent="0.15">
      <c r="A4061" t="s">
        <v>940</v>
      </c>
      <c r="B4061">
        <v>45.254800000000003</v>
      </c>
      <c r="C4061">
        <v>6.7262400000000003E-4</v>
      </c>
    </row>
    <row r="4062" spans="1:3" x14ac:dyDescent="0.15">
      <c r="A4062" t="s">
        <v>940</v>
      </c>
      <c r="B4062">
        <v>64</v>
      </c>
      <c r="C4062">
        <v>6.15827E-4</v>
      </c>
    </row>
    <row r="4063" spans="1:3" x14ac:dyDescent="0.15">
      <c r="A4063" t="s">
        <v>940</v>
      </c>
      <c r="B4063">
        <v>90.509699999999995</v>
      </c>
      <c r="C4063">
        <v>6.4248699999999996E-4</v>
      </c>
    </row>
    <row r="4064" spans="1:3" x14ac:dyDescent="0.15">
      <c r="A4064" t="s">
        <v>940</v>
      </c>
      <c r="B4064">
        <v>128</v>
      </c>
      <c r="C4064">
        <v>6.2306999999999998E-4</v>
      </c>
    </row>
    <row r="4065" spans="1:3" x14ac:dyDescent="0.15">
      <c r="A4065" t="s">
        <v>940</v>
      </c>
      <c r="B4065">
        <v>181.01929999999999</v>
      </c>
      <c r="C4065">
        <v>3.1615499999999998E-4</v>
      </c>
    </row>
    <row r="4066" spans="1:3" x14ac:dyDescent="0.15">
      <c r="A4066" t="s">
        <v>940</v>
      </c>
      <c r="B4066">
        <v>256</v>
      </c>
      <c r="C4066">
        <v>4.8548999999999999E-5</v>
      </c>
    </row>
    <row r="4067" spans="1:3" x14ac:dyDescent="0.15">
      <c r="A4067" t="s">
        <v>940</v>
      </c>
      <c r="B4067">
        <v>362.03870000000001</v>
      </c>
      <c r="C4067">
        <v>9.0500000000000002E-7</v>
      </c>
    </row>
    <row r="4068" spans="1:3" x14ac:dyDescent="0.15">
      <c r="A4068" t="s">
        <v>940</v>
      </c>
      <c r="B4068">
        <v>512</v>
      </c>
      <c r="C4068">
        <v>0</v>
      </c>
    </row>
    <row r="4069" spans="1:3" x14ac:dyDescent="0.15">
      <c r="A4069" t="s">
        <v>940</v>
      </c>
      <c r="B4069">
        <v>724.07730000000004</v>
      </c>
      <c r="C4069">
        <v>0</v>
      </c>
    </row>
    <row r="4070" spans="1:3" x14ac:dyDescent="0.15">
      <c r="A4070" t="s">
        <v>941</v>
      </c>
      <c r="B4070">
        <v>2</v>
      </c>
      <c r="C4070">
        <v>8.1156800000000003E-4</v>
      </c>
    </row>
    <row r="4071" spans="1:3" x14ac:dyDescent="0.15">
      <c r="A4071" t="s">
        <v>941</v>
      </c>
      <c r="B4071">
        <v>2.8283999999999998</v>
      </c>
      <c r="C4071">
        <v>9.7676300000000007E-4</v>
      </c>
    </row>
    <row r="4072" spans="1:3" x14ac:dyDescent="0.15">
      <c r="A4072" t="s">
        <v>941</v>
      </c>
      <c r="B4072">
        <v>4</v>
      </c>
      <c r="C4072">
        <v>1.0274209999999999E-3</v>
      </c>
    </row>
    <row r="4073" spans="1:3" x14ac:dyDescent="0.15">
      <c r="A4073" t="s">
        <v>941</v>
      </c>
      <c r="B4073">
        <v>5.6569000000000003</v>
      </c>
      <c r="C4073">
        <v>8.7501799999999998E-4</v>
      </c>
    </row>
    <row r="4074" spans="1:3" x14ac:dyDescent="0.15">
      <c r="A4074" t="s">
        <v>941</v>
      </c>
      <c r="B4074">
        <v>8</v>
      </c>
      <c r="C4074">
        <v>7.6377599999999997E-4</v>
      </c>
    </row>
    <row r="4075" spans="1:3" x14ac:dyDescent="0.15">
      <c r="A4075" t="s">
        <v>941</v>
      </c>
      <c r="B4075">
        <v>11.313700000000001</v>
      </c>
      <c r="C4075">
        <v>7.6931199999999997E-4</v>
      </c>
    </row>
    <row r="4076" spans="1:3" x14ac:dyDescent="0.15">
      <c r="A4076" t="s">
        <v>941</v>
      </c>
      <c r="B4076">
        <v>16</v>
      </c>
      <c r="C4076">
        <v>6.8497299999999996E-4</v>
      </c>
    </row>
    <row r="4077" spans="1:3" x14ac:dyDescent="0.15">
      <c r="A4077" t="s">
        <v>941</v>
      </c>
      <c r="B4077">
        <v>22.627400000000002</v>
      </c>
      <c r="C4077">
        <v>5.6772300000000001E-4</v>
      </c>
    </row>
    <row r="4078" spans="1:3" x14ac:dyDescent="0.15">
      <c r="A4078" t="s">
        <v>941</v>
      </c>
      <c r="B4078">
        <v>32</v>
      </c>
      <c r="C4078">
        <v>5.0685400000000005E-4</v>
      </c>
    </row>
    <row r="4079" spans="1:3" x14ac:dyDescent="0.15">
      <c r="A4079" t="s">
        <v>941</v>
      </c>
      <c r="B4079">
        <v>45.254800000000003</v>
      </c>
      <c r="C4079">
        <v>4.0418600000000001E-4</v>
      </c>
    </row>
    <row r="4080" spans="1:3" x14ac:dyDescent="0.15">
      <c r="A4080" t="s">
        <v>941</v>
      </c>
      <c r="B4080">
        <v>64</v>
      </c>
      <c r="C4080">
        <v>1.9948899999999999E-4</v>
      </c>
    </row>
    <row r="4081" spans="1:3" x14ac:dyDescent="0.15">
      <c r="A4081" t="s">
        <v>941</v>
      </c>
      <c r="B4081">
        <v>90.509699999999995</v>
      </c>
      <c r="C4081">
        <v>8.8969999999999997E-5</v>
      </c>
    </row>
    <row r="4082" spans="1:3" x14ac:dyDescent="0.15">
      <c r="A4082" t="s">
        <v>941</v>
      </c>
      <c r="B4082">
        <v>128</v>
      </c>
      <c r="C4082">
        <v>5.5883E-5</v>
      </c>
    </row>
    <row r="4083" spans="1:3" x14ac:dyDescent="0.15">
      <c r="A4083" t="s">
        <v>941</v>
      </c>
      <c r="B4083">
        <v>181.01929999999999</v>
      </c>
      <c r="C4083">
        <v>2.5595000000000001E-5</v>
      </c>
    </row>
    <row r="4084" spans="1:3" x14ac:dyDescent="0.15">
      <c r="A4084" t="s">
        <v>941</v>
      </c>
      <c r="B4084">
        <v>256</v>
      </c>
      <c r="C4084">
        <v>3.9179999999999996E-6</v>
      </c>
    </row>
    <row r="4085" spans="1:3" x14ac:dyDescent="0.15">
      <c r="A4085" t="s">
        <v>941</v>
      </c>
      <c r="B4085">
        <v>362.03870000000001</v>
      </c>
      <c r="C4085">
        <v>7.3000000000000005E-8</v>
      </c>
    </row>
    <row r="4086" spans="1:3" x14ac:dyDescent="0.15">
      <c r="A4086" t="s">
        <v>941</v>
      </c>
      <c r="B4086">
        <v>512</v>
      </c>
      <c r="C4086">
        <v>0</v>
      </c>
    </row>
    <row r="4087" spans="1:3" x14ac:dyDescent="0.15">
      <c r="A4087" t="s">
        <v>941</v>
      </c>
      <c r="B4087">
        <v>724.07730000000004</v>
      </c>
      <c r="C4087">
        <v>0</v>
      </c>
    </row>
    <row r="4088" spans="1:3" x14ac:dyDescent="0.15">
      <c r="A4088" t="s">
        <v>942</v>
      </c>
      <c r="B4088">
        <v>2</v>
      </c>
      <c r="C4088">
        <v>9.1993800000000003E-4</v>
      </c>
    </row>
    <row r="4089" spans="1:3" x14ac:dyDescent="0.15">
      <c r="A4089" t="s">
        <v>942</v>
      </c>
      <c r="B4089">
        <v>2.8283999999999998</v>
      </c>
      <c r="C4089">
        <v>1.1214619999999999E-3</v>
      </c>
    </row>
    <row r="4090" spans="1:3" x14ac:dyDescent="0.15">
      <c r="A4090" t="s">
        <v>942</v>
      </c>
      <c r="B4090">
        <v>4</v>
      </c>
      <c r="C4090">
        <v>1.259231E-3</v>
      </c>
    </row>
    <row r="4091" spans="1:3" x14ac:dyDescent="0.15">
      <c r="A4091" t="s">
        <v>942</v>
      </c>
      <c r="B4091">
        <v>5.6569000000000003</v>
      </c>
      <c r="C4091">
        <v>1.205647E-3</v>
      </c>
    </row>
    <row r="4092" spans="1:3" x14ac:dyDescent="0.15">
      <c r="A4092" t="s">
        <v>942</v>
      </c>
      <c r="B4092">
        <v>8</v>
      </c>
      <c r="C4092">
        <v>1.114068E-3</v>
      </c>
    </row>
    <row r="4093" spans="1:3" x14ac:dyDescent="0.15">
      <c r="A4093" t="s">
        <v>942</v>
      </c>
      <c r="B4093">
        <v>11.313700000000001</v>
      </c>
      <c r="C4093">
        <v>1.106023E-3</v>
      </c>
    </row>
    <row r="4094" spans="1:3" x14ac:dyDescent="0.15">
      <c r="A4094" t="s">
        <v>942</v>
      </c>
      <c r="B4094">
        <v>16</v>
      </c>
      <c r="C4094">
        <v>1.058598E-3</v>
      </c>
    </row>
    <row r="4095" spans="1:3" x14ac:dyDescent="0.15">
      <c r="A4095" t="s">
        <v>942</v>
      </c>
      <c r="B4095">
        <v>22.627400000000002</v>
      </c>
      <c r="C4095">
        <v>8.8760200000000003E-4</v>
      </c>
    </row>
    <row r="4096" spans="1:3" x14ac:dyDescent="0.15">
      <c r="A4096" t="s">
        <v>942</v>
      </c>
      <c r="B4096">
        <v>32</v>
      </c>
      <c r="C4096">
        <v>6.1685699999999995E-4</v>
      </c>
    </row>
    <row r="4097" spans="1:3" x14ac:dyDescent="0.15">
      <c r="A4097" t="s">
        <v>942</v>
      </c>
      <c r="B4097">
        <v>45.254800000000003</v>
      </c>
      <c r="C4097">
        <v>4.9837299999999998E-4</v>
      </c>
    </row>
    <row r="4098" spans="1:3" x14ac:dyDescent="0.15">
      <c r="A4098" t="s">
        <v>942</v>
      </c>
      <c r="B4098">
        <v>64</v>
      </c>
      <c r="C4098">
        <v>4.6598100000000002E-4</v>
      </c>
    </row>
    <row r="4099" spans="1:3" x14ac:dyDescent="0.15">
      <c r="A4099" t="s">
        <v>942</v>
      </c>
      <c r="B4099">
        <v>90.509699999999995</v>
      </c>
      <c r="C4099">
        <v>4.0504700000000001E-4</v>
      </c>
    </row>
    <row r="4100" spans="1:3" x14ac:dyDescent="0.15">
      <c r="A4100" t="s">
        <v>942</v>
      </c>
      <c r="B4100">
        <v>128</v>
      </c>
      <c r="C4100">
        <v>3.65955E-4</v>
      </c>
    </row>
    <row r="4101" spans="1:3" x14ac:dyDescent="0.15">
      <c r="A4101" t="s">
        <v>942</v>
      </c>
      <c r="B4101">
        <v>181.01929999999999</v>
      </c>
      <c r="C4101">
        <v>1.8463099999999999E-4</v>
      </c>
    </row>
    <row r="4102" spans="1:3" x14ac:dyDescent="0.15">
      <c r="A4102" t="s">
        <v>942</v>
      </c>
      <c r="B4102">
        <v>256</v>
      </c>
      <c r="C4102">
        <v>2.8325000000000001E-5</v>
      </c>
    </row>
    <row r="4103" spans="1:3" x14ac:dyDescent="0.15">
      <c r="A4103" t="s">
        <v>942</v>
      </c>
      <c r="B4103">
        <v>362.03870000000001</v>
      </c>
      <c r="C4103">
        <v>5.2799999999999996E-7</v>
      </c>
    </row>
    <row r="4104" spans="1:3" x14ac:dyDescent="0.15">
      <c r="A4104" t="s">
        <v>942</v>
      </c>
      <c r="B4104">
        <v>512</v>
      </c>
      <c r="C4104">
        <v>0</v>
      </c>
    </row>
    <row r="4105" spans="1:3" x14ac:dyDescent="0.15">
      <c r="A4105" t="s">
        <v>942</v>
      </c>
      <c r="B4105">
        <v>724.07730000000004</v>
      </c>
      <c r="C4105">
        <v>0</v>
      </c>
    </row>
    <row r="4106" spans="1:3" x14ac:dyDescent="0.15">
      <c r="A4106" t="s">
        <v>943</v>
      </c>
      <c r="B4106">
        <v>2</v>
      </c>
      <c r="C4106">
        <v>5.7773899999999997E-4</v>
      </c>
    </row>
    <row r="4107" spans="1:3" x14ac:dyDescent="0.15">
      <c r="A4107" t="s">
        <v>943</v>
      </c>
      <c r="B4107">
        <v>2.8283999999999998</v>
      </c>
      <c r="C4107">
        <v>7.6579999999999997E-4</v>
      </c>
    </row>
    <row r="4108" spans="1:3" x14ac:dyDescent="0.15">
      <c r="A4108" t="s">
        <v>943</v>
      </c>
      <c r="B4108">
        <v>4</v>
      </c>
      <c r="C4108">
        <v>9.3192000000000004E-4</v>
      </c>
    </row>
    <row r="4109" spans="1:3" x14ac:dyDescent="0.15">
      <c r="A4109" t="s">
        <v>943</v>
      </c>
      <c r="B4109">
        <v>5.6569000000000003</v>
      </c>
      <c r="C4109">
        <v>9.35946E-4</v>
      </c>
    </row>
    <row r="4110" spans="1:3" x14ac:dyDescent="0.15">
      <c r="A4110" t="s">
        <v>943</v>
      </c>
      <c r="B4110">
        <v>8</v>
      </c>
      <c r="C4110">
        <v>8.7163799999999999E-4</v>
      </c>
    </row>
    <row r="4111" spans="1:3" x14ac:dyDescent="0.15">
      <c r="A4111" t="s">
        <v>943</v>
      </c>
      <c r="B4111">
        <v>11.313700000000001</v>
      </c>
      <c r="C4111">
        <v>8.3557599999999998E-4</v>
      </c>
    </row>
    <row r="4112" spans="1:3" x14ac:dyDescent="0.15">
      <c r="A4112" t="s">
        <v>943</v>
      </c>
      <c r="B4112">
        <v>16</v>
      </c>
      <c r="C4112">
        <v>7.2443099999999999E-4</v>
      </c>
    </row>
    <row r="4113" spans="1:3" x14ac:dyDescent="0.15">
      <c r="A4113" t="s">
        <v>943</v>
      </c>
      <c r="B4113">
        <v>22.627400000000002</v>
      </c>
      <c r="C4113">
        <v>5.8473300000000004E-4</v>
      </c>
    </row>
    <row r="4114" spans="1:3" x14ac:dyDescent="0.15">
      <c r="A4114" t="s">
        <v>943</v>
      </c>
      <c r="B4114">
        <v>32</v>
      </c>
      <c r="C4114">
        <v>5.2277599999999997E-4</v>
      </c>
    </row>
    <row r="4115" spans="1:3" x14ac:dyDescent="0.15">
      <c r="A4115" t="s">
        <v>943</v>
      </c>
      <c r="B4115">
        <v>45.254800000000003</v>
      </c>
      <c r="C4115">
        <v>5.55121E-4</v>
      </c>
    </row>
    <row r="4116" spans="1:3" x14ac:dyDescent="0.15">
      <c r="A4116" t="s">
        <v>943</v>
      </c>
      <c r="B4116">
        <v>64</v>
      </c>
      <c r="C4116">
        <v>6.0061399999999997E-4</v>
      </c>
    </row>
    <row r="4117" spans="1:3" x14ac:dyDescent="0.15">
      <c r="A4117" t="s">
        <v>943</v>
      </c>
      <c r="B4117">
        <v>90.509699999999995</v>
      </c>
      <c r="C4117">
        <v>5.1335900000000002E-4</v>
      </c>
    </row>
    <row r="4118" spans="1:3" x14ac:dyDescent="0.15">
      <c r="A4118" t="s">
        <v>943</v>
      </c>
      <c r="B4118">
        <v>128</v>
      </c>
      <c r="C4118">
        <v>3.7251E-4</v>
      </c>
    </row>
    <row r="4119" spans="1:3" x14ac:dyDescent="0.15">
      <c r="A4119" t="s">
        <v>943</v>
      </c>
      <c r="B4119">
        <v>181.01929999999999</v>
      </c>
      <c r="C4119">
        <v>1.7912200000000001E-4</v>
      </c>
    </row>
    <row r="4120" spans="1:3" x14ac:dyDescent="0.15">
      <c r="A4120" t="s">
        <v>943</v>
      </c>
      <c r="B4120">
        <v>256</v>
      </c>
      <c r="C4120">
        <v>2.7514000000000001E-5</v>
      </c>
    </row>
    <row r="4121" spans="1:3" x14ac:dyDescent="0.15">
      <c r="A4121" t="s">
        <v>943</v>
      </c>
      <c r="B4121">
        <v>362.03870000000001</v>
      </c>
      <c r="C4121">
        <v>5.13E-7</v>
      </c>
    </row>
    <row r="4122" spans="1:3" x14ac:dyDescent="0.15">
      <c r="A4122" t="s">
        <v>943</v>
      </c>
      <c r="B4122">
        <v>512</v>
      </c>
      <c r="C4122">
        <v>0</v>
      </c>
    </row>
    <row r="4123" spans="1:3" x14ac:dyDescent="0.15">
      <c r="A4123" t="s">
        <v>943</v>
      </c>
      <c r="B4123">
        <v>724.07730000000004</v>
      </c>
      <c r="C4123">
        <v>0</v>
      </c>
    </row>
    <row r="4124" spans="1:3" x14ac:dyDescent="0.15">
      <c r="A4124" t="s">
        <v>944</v>
      </c>
      <c r="B4124">
        <v>2</v>
      </c>
      <c r="C4124">
        <v>7.8151100000000003E-4</v>
      </c>
    </row>
    <row r="4125" spans="1:3" x14ac:dyDescent="0.15">
      <c r="A4125" t="s">
        <v>944</v>
      </c>
      <c r="B4125">
        <v>2.8283999999999998</v>
      </c>
      <c r="C4125">
        <v>9.1914600000000003E-4</v>
      </c>
    </row>
    <row r="4126" spans="1:3" x14ac:dyDescent="0.15">
      <c r="A4126" t="s">
        <v>944</v>
      </c>
      <c r="B4126">
        <v>4</v>
      </c>
      <c r="C4126">
        <v>1.0403070000000001E-3</v>
      </c>
    </row>
    <row r="4127" spans="1:3" x14ac:dyDescent="0.15">
      <c r="A4127" t="s">
        <v>944</v>
      </c>
      <c r="B4127">
        <v>5.6569000000000003</v>
      </c>
      <c r="C4127">
        <v>9.8772000000000009E-4</v>
      </c>
    </row>
    <row r="4128" spans="1:3" x14ac:dyDescent="0.15">
      <c r="A4128" t="s">
        <v>944</v>
      </c>
      <c r="B4128">
        <v>8</v>
      </c>
      <c r="C4128">
        <v>7.8612500000000004E-4</v>
      </c>
    </row>
    <row r="4129" spans="1:3" x14ac:dyDescent="0.15">
      <c r="A4129" t="s">
        <v>944</v>
      </c>
      <c r="B4129">
        <v>11.313700000000001</v>
      </c>
      <c r="C4129">
        <v>7.1370699999999995E-4</v>
      </c>
    </row>
    <row r="4130" spans="1:3" x14ac:dyDescent="0.15">
      <c r="A4130" t="s">
        <v>944</v>
      </c>
      <c r="B4130">
        <v>16</v>
      </c>
      <c r="C4130">
        <v>6.7872699999999995E-4</v>
      </c>
    </row>
    <row r="4131" spans="1:3" x14ac:dyDescent="0.15">
      <c r="A4131" t="s">
        <v>944</v>
      </c>
      <c r="B4131">
        <v>22.627400000000002</v>
      </c>
      <c r="C4131">
        <v>7.3504799999999997E-4</v>
      </c>
    </row>
    <row r="4132" spans="1:3" x14ac:dyDescent="0.15">
      <c r="A4132" t="s">
        <v>944</v>
      </c>
      <c r="B4132">
        <v>32</v>
      </c>
      <c r="C4132">
        <v>8.48901E-4</v>
      </c>
    </row>
    <row r="4133" spans="1:3" x14ac:dyDescent="0.15">
      <c r="A4133" t="s">
        <v>944</v>
      </c>
      <c r="B4133">
        <v>45.254800000000003</v>
      </c>
      <c r="C4133">
        <v>8.7273799999999996E-4</v>
      </c>
    </row>
    <row r="4134" spans="1:3" x14ac:dyDescent="0.15">
      <c r="A4134" t="s">
        <v>944</v>
      </c>
      <c r="B4134">
        <v>64</v>
      </c>
      <c r="C4134">
        <v>8.0211599999999996E-4</v>
      </c>
    </row>
    <row r="4135" spans="1:3" x14ac:dyDescent="0.15">
      <c r="A4135" t="s">
        <v>944</v>
      </c>
      <c r="B4135">
        <v>90.509699999999995</v>
      </c>
      <c r="C4135">
        <v>5.0462300000000005E-4</v>
      </c>
    </row>
    <row r="4136" spans="1:3" x14ac:dyDescent="0.15">
      <c r="A4136" t="s">
        <v>944</v>
      </c>
      <c r="B4136">
        <v>128</v>
      </c>
      <c r="C4136">
        <v>2.9231299999999999E-4</v>
      </c>
    </row>
    <row r="4137" spans="1:3" x14ac:dyDescent="0.15">
      <c r="A4137" t="s">
        <v>944</v>
      </c>
      <c r="B4137">
        <v>181.01929999999999</v>
      </c>
      <c r="C4137">
        <v>1.4055299999999999E-4</v>
      </c>
    </row>
    <row r="4138" spans="1:3" x14ac:dyDescent="0.15">
      <c r="A4138" t="s">
        <v>944</v>
      </c>
      <c r="B4138">
        <v>256</v>
      </c>
      <c r="C4138">
        <v>2.1535999999999998E-5</v>
      </c>
    </row>
    <row r="4139" spans="1:3" x14ac:dyDescent="0.15">
      <c r="A4139" t="s">
        <v>944</v>
      </c>
      <c r="B4139">
        <v>362.03870000000001</v>
      </c>
      <c r="C4139">
        <v>4.01E-7</v>
      </c>
    </row>
    <row r="4140" spans="1:3" x14ac:dyDescent="0.15">
      <c r="A4140" t="s">
        <v>944</v>
      </c>
      <c r="B4140">
        <v>512</v>
      </c>
      <c r="C4140">
        <v>0</v>
      </c>
    </row>
    <row r="4141" spans="1:3" x14ac:dyDescent="0.15">
      <c r="A4141" t="s">
        <v>944</v>
      </c>
      <c r="B4141">
        <v>724.07730000000004</v>
      </c>
      <c r="C4141">
        <v>0</v>
      </c>
    </row>
    <row r="4142" spans="1:3" x14ac:dyDescent="0.15">
      <c r="A4142" t="s">
        <v>945</v>
      </c>
      <c r="B4142">
        <v>2</v>
      </c>
      <c r="C4142">
        <v>1.6727389999999999E-3</v>
      </c>
    </row>
    <row r="4143" spans="1:3" x14ac:dyDescent="0.15">
      <c r="A4143" t="s">
        <v>945</v>
      </c>
      <c r="B4143">
        <v>2.8283999999999998</v>
      </c>
      <c r="C4143">
        <v>1.9004009999999999E-3</v>
      </c>
    </row>
    <row r="4144" spans="1:3" x14ac:dyDescent="0.15">
      <c r="A4144" t="s">
        <v>945</v>
      </c>
      <c r="B4144">
        <v>4</v>
      </c>
      <c r="C4144">
        <v>1.8631260000000001E-3</v>
      </c>
    </row>
    <row r="4145" spans="1:3" x14ac:dyDescent="0.15">
      <c r="A4145" t="s">
        <v>945</v>
      </c>
      <c r="B4145">
        <v>5.6569000000000003</v>
      </c>
      <c r="C4145">
        <v>1.5193470000000001E-3</v>
      </c>
    </row>
    <row r="4146" spans="1:3" x14ac:dyDescent="0.15">
      <c r="A4146" t="s">
        <v>945</v>
      </c>
      <c r="B4146">
        <v>8</v>
      </c>
      <c r="C4146">
        <v>1.3207749999999999E-3</v>
      </c>
    </row>
    <row r="4147" spans="1:3" x14ac:dyDescent="0.15">
      <c r="A4147" t="s">
        <v>945</v>
      </c>
      <c r="B4147">
        <v>11.313700000000001</v>
      </c>
      <c r="C4147">
        <v>1.0567479999999999E-3</v>
      </c>
    </row>
    <row r="4148" spans="1:3" x14ac:dyDescent="0.15">
      <c r="A4148" t="s">
        <v>945</v>
      </c>
      <c r="B4148">
        <v>16</v>
      </c>
      <c r="C4148">
        <v>9.4240700000000003E-4</v>
      </c>
    </row>
    <row r="4149" spans="1:3" x14ac:dyDescent="0.15">
      <c r="A4149" t="s">
        <v>945</v>
      </c>
      <c r="B4149">
        <v>22.627400000000002</v>
      </c>
      <c r="C4149">
        <v>1.3123200000000001E-3</v>
      </c>
    </row>
    <row r="4150" spans="1:3" x14ac:dyDescent="0.15">
      <c r="A4150" t="s">
        <v>945</v>
      </c>
      <c r="B4150">
        <v>32</v>
      </c>
      <c r="C4150">
        <v>1.862479E-3</v>
      </c>
    </row>
    <row r="4151" spans="1:3" x14ac:dyDescent="0.15">
      <c r="A4151" t="s">
        <v>945</v>
      </c>
      <c r="B4151">
        <v>45.254800000000003</v>
      </c>
      <c r="C4151">
        <v>2.2009540000000002E-3</v>
      </c>
    </row>
    <row r="4152" spans="1:3" x14ac:dyDescent="0.15">
      <c r="A4152" t="s">
        <v>945</v>
      </c>
      <c r="B4152">
        <v>64</v>
      </c>
      <c r="C4152">
        <v>1.897349E-3</v>
      </c>
    </row>
    <row r="4153" spans="1:3" x14ac:dyDescent="0.15">
      <c r="A4153" t="s">
        <v>945</v>
      </c>
      <c r="B4153">
        <v>90.509699999999995</v>
      </c>
      <c r="C4153">
        <v>9.5094000000000005E-4</v>
      </c>
    </row>
    <row r="4154" spans="1:3" x14ac:dyDescent="0.15">
      <c r="A4154" t="s">
        <v>945</v>
      </c>
      <c r="B4154">
        <v>128</v>
      </c>
      <c r="C4154">
        <v>4.41703E-4</v>
      </c>
    </row>
    <row r="4155" spans="1:3" x14ac:dyDescent="0.15">
      <c r="A4155" t="s">
        <v>945</v>
      </c>
      <c r="B4155">
        <v>181.01929999999999</v>
      </c>
      <c r="C4155">
        <v>2.2177399999999999E-4</v>
      </c>
    </row>
    <row r="4156" spans="1:3" x14ac:dyDescent="0.15">
      <c r="A4156" t="s">
        <v>945</v>
      </c>
      <c r="B4156">
        <v>256</v>
      </c>
      <c r="C4156">
        <v>3.4048000000000003E-5</v>
      </c>
    </row>
    <row r="4157" spans="1:3" x14ac:dyDescent="0.15">
      <c r="A4157" t="s">
        <v>945</v>
      </c>
      <c r="B4157">
        <v>362.03870000000001</v>
      </c>
      <c r="C4157">
        <v>6.3499999999999996E-7</v>
      </c>
    </row>
    <row r="4158" spans="1:3" x14ac:dyDescent="0.15">
      <c r="A4158" t="s">
        <v>945</v>
      </c>
      <c r="B4158">
        <v>512</v>
      </c>
      <c r="C4158">
        <v>0</v>
      </c>
    </row>
    <row r="4159" spans="1:3" x14ac:dyDescent="0.15">
      <c r="A4159" t="s">
        <v>945</v>
      </c>
      <c r="B4159">
        <v>724.07730000000004</v>
      </c>
      <c r="C4159">
        <v>0</v>
      </c>
    </row>
    <row r="4160" spans="1:3" x14ac:dyDescent="0.15">
      <c r="A4160" t="s">
        <v>946</v>
      </c>
      <c r="B4160">
        <v>2</v>
      </c>
      <c r="C4160">
        <v>1.175012E-3</v>
      </c>
    </row>
    <row r="4161" spans="1:3" x14ac:dyDescent="0.15">
      <c r="A4161" t="s">
        <v>946</v>
      </c>
      <c r="B4161">
        <v>2.8283999999999998</v>
      </c>
      <c r="C4161">
        <v>1.4082280000000001E-3</v>
      </c>
    </row>
    <row r="4162" spans="1:3" x14ac:dyDescent="0.15">
      <c r="A4162" t="s">
        <v>946</v>
      </c>
      <c r="B4162">
        <v>4</v>
      </c>
      <c r="C4162">
        <v>1.607593E-3</v>
      </c>
    </row>
    <row r="4163" spans="1:3" x14ac:dyDescent="0.15">
      <c r="A4163" t="s">
        <v>946</v>
      </c>
      <c r="B4163">
        <v>5.6569000000000003</v>
      </c>
      <c r="C4163">
        <v>1.7111800000000001E-3</v>
      </c>
    </row>
    <row r="4164" spans="1:3" x14ac:dyDescent="0.15">
      <c r="A4164" t="s">
        <v>946</v>
      </c>
      <c r="B4164">
        <v>8</v>
      </c>
      <c r="C4164">
        <v>1.693883E-3</v>
      </c>
    </row>
    <row r="4165" spans="1:3" x14ac:dyDescent="0.15">
      <c r="A4165" t="s">
        <v>946</v>
      </c>
      <c r="B4165">
        <v>11.313700000000001</v>
      </c>
      <c r="C4165">
        <v>1.5073910000000001E-3</v>
      </c>
    </row>
    <row r="4166" spans="1:3" x14ac:dyDescent="0.15">
      <c r="A4166" t="s">
        <v>946</v>
      </c>
      <c r="B4166">
        <v>16</v>
      </c>
      <c r="C4166">
        <v>1.0830600000000001E-3</v>
      </c>
    </row>
    <row r="4167" spans="1:3" x14ac:dyDescent="0.15">
      <c r="A4167" t="s">
        <v>946</v>
      </c>
      <c r="B4167">
        <v>22.627400000000002</v>
      </c>
      <c r="C4167">
        <v>9.6362699999999999E-4</v>
      </c>
    </row>
    <row r="4168" spans="1:3" x14ac:dyDescent="0.15">
      <c r="A4168" t="s">
        <v>946</v>
      </c>
      <c r="B4168">
        <v>32</v>
      </c>
      <c r="C4168">
        <v>1.0240889999999999E-3</v>
      </c>
    </row>
    <row r="4169" spans="1:3" x14ac:dyDescent="0.15">
      <c r="A4169" t="s">
        <v>946</v>
      </c>
      <c r="B4169">
        <v>45.254800000000003</v>
      </c>
      <c r="C4169">
        <v>1.0828470000000001E-3</v>
      </c>
    </row>
    <row r="4170" spans="1:3" x14ac:dyDescent="0.15">
      <c r="A4170" t="s">
        <v>946</v>
      </c>
      <c r="B4170">
        <v>64</v>
      </c>
      <c r="C4170">
        <v>1.2453130000000001E-3</v>
      </c>
    </row>
    <row r="4171" spans="1:3" x14ac:dyDescent="0.15">
      <c r="A4171" t="s">
        <v>946</v>
      </c>
      <c r="B4171">
        <v>90.509699999999995</v>
      </c>
      <c r="C4171">
        <v>1.3121229999999999E-3</v>
      </c>
    </row>
    <row r="4172" spans="1:3" x14ac:dyDescent="0.15">
      <c r="A4172" t="s">
        <v>946</v>
      </c>
      <c r="B4172">
        <v>128</v>
      </c>
      <c r="C4172">
        <v>1.2288069999999999E-3</v>
      </c>
    </row>
    <row r="4173" spans="1:3" x14ac:dyDescent="0.15">
      <c r="A4173" t="s">
        <v>946</v>
      </c>
      <c r="B4173">
        <v>181.01929999999999</v>
      </c>
      <c r="C4173">
        <v>6.2282799999999997E-4</v>
      </c>
    </row>
    <row r="4174" spans="1:3" x14ac:dyDescent="0.15">
      <c r="A4174" t="s">
        <v>946</v>
      </c>
      <c r="B4174">
        <v>256</v>
      </c>
      <c r="C4174">
        <v>9.5754000000000005E-5</v>
      </c>
    </row>
    <row r="4175" spans="1:3" x14ac:dyDescent="0.15">
      <c r="A4175" t="s">
        <v>946</v>
      </c>
      <c r="B4175">
        <v>362.03870000000001</v>
      </c>
      <c r="C4175">
        <v>1.7859999999999999E-6</v>
      </c>
    </row>
    <row r="4176" spans="1:3" x14ac:dyDescent="0.15">
      <c r="A4176" t="s">
        <v>946</v>
      </c>
      <c r="B4176">
        <v>512</v>
      </c>
      <c r="C4176">
        <v>2.0000000000000001E-9</v>
      </c>
    </row>
    <row r="4177" spans="1:3" x14ac:dyDescent="0.15">
      <c r="A4177" t="s">
        <v>946</v>
      </c>
      <c r="B4177">
        <v>724.07730000000004</v>
      </c>
      <c r="C4177">
        <v>0</v>
      </c>
    </row>
    <row r="4178" spans="1:3" x14ac:dyDescent="0.15">
      <c r="A4178" t="s">
        <v>947</v>
      </c>
      <c r="B4178">
        <v>2</v>
      </c>
      <c r="C4178">
        <v>6.5977899999999999E-4</v>
      </c>
    </row>
    <row r="4179" spans="1:3" x14ac:dyDescent="0.15">
      <c r="A4179" t="s">
        <v>947</v>
      </c>
      <c r="B4179">
        <v>2.8283999999999998</v>
      </c>
      <c r="C4179">
        <v>6.6080299999999995E-4</v>
      </c>
    </row>
    <row r="4180" spans="1:3" x14ac:dyDescent="0.15">
      <c r="A4180" t="s">
        <v>947</v>
      </c>
      <c r="B4180">
        <v>4</v>
      </c>
      <c r="C4180">
        <v>6.59828E-4</v>
      </c>
    </row>
    <row r="4181" spans="1:3" x14ac:dyDescent="0.15">
      <c r="A4181" t="s">
        <v>947</v>
      </c>
      <c r="B4181">
        <v>5.6569000000000003</v>
      </c>
      <c r="C4181">
        <v>6.74254E-4</v>
      </c>
    </row>
    <row r="4182" spans="1:3" x14ac:dyDescent="0.15">
      <c r="A4182" t="s">
        <v>947</v>
      </c>
      <c r="B4182">
        <v>8</v>
      </c>
      <c r="C4182">
        <v>6.4112000000000001E-4</v>
      </c>
    </row>
    <row r="4183" spans="1:3" x14ac:dyDescent="0.15">
      <c r="A4183" t="s">
        <v>947</v>
      </c>
      <c r="B4183">
        <v>11.313700000000001</v>
      </c>
      <c r="C4183">
        <v>4.9756400000000004E-4</v>
      </c>
    </row>
    <row r="4184" spans="1:3" x14ac:dyDescent="0.15">
      <c r="A4184" t="s">
        <v>947</v>
      </c>
      <c r="B4184">
        <v>16</v>
      </c>
      <c r="C4184">
        <v>4.0306199999999998E-4</v>
      </c>
    </row>
    <row r="4185" spans="1:3" x14ac:dyDescent="0.15">
      <c r="A4185" t="s">
        <v>947</v>
      </c>
      <c r="B4185">
        <v>22.627400000000002</v>
      </c>
      <c r="C4185">
        <v>4.4729500000000001E-4</v>
      </c>
    </row>
    <row r="4186" spans="1:3" x14ac:dyDescent="0.15">
      <c r="A4186" t="s">
        <v>947</v>
      </c>
      <c r="B4186">
        <v>32</v>
      </c>
      <c r="C4186">
        <v>3.9432900000000001E-4</v>
      </c>
    </row>
    <row r="4187" spans="1:3" x14ac:dyDescent="0.15">
      <c r="A4187" t="s">
        <v>947</v>
      </c>
      <c r="B4187">
        <v>45.254800000000003</v>
      </c>
      <c r="C4187">
        <v>1.70469E-4</v>
      </c>
    </row>
    <row r="4188" spans="1:3" x14ac:dyDescent="0.15">
      <c r="A4188" t="s">
        <v>947</v>
      </c>
      <c r="B4188">
        <v>64</v>
      </c>
      <c r="C4188">
        <v>2.4054999999999999E-5</v>
      </c>
    </row>
    <row r="4189" spans="1:3" x14ac:dyDescent="0.15">
      <c r="A4189" t="s">
        <v>947</v>
      </c>
      <c r="B4189">
        <v>90.509699999999995</v>
      </c>
      <c r="C4189">
        <v>1.9874E-5</v>
      </c>
    </row>
    <row r="4190" spans="1:3" x14ac:dyDescent="0.15">
      <c r="A4190" t="s">
        <v>947</v>
      </c>
      <c r="B4190">
        <v>128</v>
      </c>
      <c r="C4190">
        <v>3.146E-6</v>
      </c>
    </row>
    <row r="4191" spans="1:3" x14ac:dyDescent="0.15">
      <c r="A4191" t="s">
        <v>947</v>
      </c>
      <c r="B4191">
        <v>181.01929999999999</v>
      </c>
      <c r="C4191">
        <v>5.8999999999999999E-8</v>
      </c>
    </row>
    <row r="4192" spans="1:3" x14ac:dyDescent="0.15">
      <c r="A4192" t="s">
        <v>947</v>
      </c>
      <c r="B4192">
        <v>256</v>
      </c>
      <c r="C4192">
        <v>0</v>
      </c>
    </row>
    <row r="4193" spans="1:3" x14ac:dyDescent="0.15">
      <c r="A4193" t="s">
        <v>947</v>
      </c>
      <c r="B4193">
        <v>362.03870000000001</v>
      </c>
      <c r="C4193">
        <v>0</v>
      </c>
    </row>
    <row r="4194" spans="1:3" x14ac:dyDescent="0.15">
      <c r="A4194" t="s">
        <v>947</v>
      </c>
      <c r="B4194">
        <v>512</v>
      </c>
      <c r="C4194">
        <v>0</v>
      </c>
    </row>
    <row r="4195" spans="1:3" x14ac:dyDescent="0.15">
      <c r="A4195" t="s">
        <v>947</v>
      </c>
      <c r="B4195">
        <v>724.07730000000004</v>
      </c>
      <c r="C4195">
        <v>0</v>
      </c>
    </row>
    <row r="4196" spans="1:3" x14ac:dyDescent="0.15">
      <c r="A4196" t="s">
        <v>948</v>
      </c>
      <c r="B4196">
        <v>2</v>
      </c>
      <c r="C4196">
        <v>4.0479099999999999E-4</v>
      </c>
    </row>
    <row r="4197" spans="1:3" x14ac:dyDescent="0.15">
      <c r="A4197" t="s">
        <v>948</v>
      </c>
      <c r="B4197">
        <v>2.8283999999999998</v>
      </c>
      <c r="C4197">
        <v>5.0456700000000004E-4</v>
      </c>
    </row>
    <row r="4198" spans="1:3" x14ac:dyDescent="0.15">
      <c r="A4198" t="s">
        <v>948</v>
      </c>
      <c r="B4198">
        <v>4</v>
      </c>
      <c r="C4198">
        <v>5.9884700000000001E-4</v>
      </c>
    </row>
    <row r="4199" spans="1:3" x14ac:dyDescent="0.15">
      <c r="A4199" t="s">
        <v>948</v>
      </c>
      <c r="B4199">
        <v>5.6569000000000003</v>
      </c>
      <c r="C4199">
        <v>6.6522599999999999E-4</v>
      </c>
    </row>
    <row r="4200" spans="1:3" x14ac:dyDescent="0.15">
      <c r="A4200" t="s">
        <v>948</v>
      </c>
      <c r="B4200">
        <v>8</v>
      </c>
      <c r="C4200">
        <v>7.2889099999999996E-4</v>
      </c>
    </row>
    <row r="4201" spans="1:3" x14ac:dyDescent="0.15">
      <c r="A4201" t="s">
        <v>948</v>
      </c>
      <c r="B4201">
        <v>11.313700000000001</v>
      </c>
      <c r="C4201">
        <v>7.0069999999999996E-4</v>
      </c>
    </row>
    <row r="4202" spans="1:3" x14ac:dyDescent="0.15">
      <c r="A4202" t="s">
        <v>948</v>
      </c>
      <c r="B4202">
        <v>16</v>
      </c>
      <c r="C4202">
        <v>5.6898099999999998E-4</v>
      </c>
    </row>
    <row r="4203" spans="1:3" x14ac:dyDescent="0.15">
      <c r="A4203" t="s">
        <v>948</v>
      </c>
      <c r="B4203">
        <v>22.627400000000002</v>
      </c>
      <c r="C4203">
        <v>5.2985E-4</v>
      </c>
    </row>
    <row r="4204" spans="1:3" x14ac:dyDescent="0.15">
      <c r="A4204" t="s">
        <v>948</v>
      </c>
      <c r="B4204">
        <v>32</v>
      </c>
      <c r="C4204">
        <v>5.2630500000000002E-4</v>
      </c>
    </row>
    <row r="4205" spans="1:3" x14ac:dyDescent="0.15">
      <c r="A4205" t="s">
        <v>948</v>
      </c>
      <c r="B4205">
        <v>45.254800000000003</v>
      </c>
      <c r="C4205">
        <v>5.5263700000000003E-4</v>
      </c>
    </row>
    <row r="4206" spans="1:3" x14ac:dyDescent="0.15">
      <c r="A4206" t="s">
        <v>948</v>
      </c>
      <c r="B4206">
        <v>64</v>
      </c>
      <c r="C4206">
        <v>5.5180599999999995E-4</v>
      </c>
    </row>
    <row r="4207" spans="1:3" x14ac:dyDescent="0.15">
      <c r="A4207" t="s">
        <v>948</v>
      </c>
      <c r="B4207">
        <v>90.509699999999995</v>
      </c>
      <c r="C4207">
        <v>3.93581E-4</v>
      </c>
    </row>
    <row r="4208" spans="1:3" x14ac:dyDescent="0.15">
      <c r="A4208" t="s">
        <v>948</v>
      </c>
      <c r="B4208">
        <v>128</v>
      </c>
      <c r="C4208">
        <v>2.9438899999999999E-4</v>
      </c>
    </row>
    <row r="4209" spans="1:3" x14ac:dyDescent="0.15">
      <c r="A4209" t="s">
        <v>948</v>
      </c>
      <c r="B4209">
        <v>181.01929999999999</v>
      </c>
      <c r="C4209">
        <v>1.4678900000000001E-4</v>
      </c>
    </row>
    <row r="4210" spans="1:3" x14ac:dyDescent="0.15">
      <c r="A4210" t="s">
        <v>948</v>
      </c>
      <c r="B4210">
        <v>256</v>
      </c>
      <c r="C4210">
        <v>2.2512000000000001E-5</v>
      </c>
    </row>
    <row r="4211" spans="1:3" x14ac:dyDescent="0.15">
      <c r="A4211" t="s">
        <v>948</v>
      </c>
      <c r="B4211">
        <v>362.03870000000001</v>
      </c>
      <c r="C4211">
        <v>4.2E-7</v>
      </c>
    </row>
    <row r="4212" spans="1:3" x14ac:dyDescent="0.15">
      <c r="A4212" t="s">
        <v>948</v>
      </c>
      <c r="B4212">
        <v>512</v>
      </c>
      <c r="C4212">
        <v>0</v>
      </c>
    </row>
    <row r="4213" spans="1:3" x14ac:dyDescent="0.15">
      <c r="A4213" t="s">
        <v>948</v>
      </c>
      <c r="B4213">
        <v>724.07730000000004</v>
      </c>
      <c r="C4213">
        <v>0</v>
      </c>
    </row>
    <row r="4214" spans="1:3" x14ac:dyDescent="0.15">
      <c r="A4214" t="s">
        <v>949</v>
      </c>
      <c r="B4214">
        <v>2</v>
      </c>
      <c r="C4214">
        <v>7.0361899999999995E-4</v>
      </c>
    </row>
    <row r="4215" spans="1:3" x14ac:dyDescent="0.15">
      <c r="A4215" t="s">
        <v>949</v>
      </c>
      <c r="B4215">
        <v>2.8283999999999998</v>
      </c>
      <c r="C4215">
        <v>8.4451999999999997E-4</v>
      </c>
    </row>
    <row r="4216" spans="1:3" x14ac:dyDescent="0.15">
      <c r="A4216" t="s">
        <v>949</v>
      </c>
      <c r="B4216">
        <v>4</v>
      </c>
      <c r="C4216">
        <v>8.8111000000000005E-4</v>
      </c>
    </row>
    <row r="4217" spans="1:3" x14ac:dyDescent="0.15">
      <c r="A4217" t="s">
        <v>949</v>
      </c>
      <c r="B4217">
        <v>5.6569000000000003</v>
      </c>
      <c r="C4217">
        <v>8.4164999999999999E-4</v>
      </c>
    </row>
    <row r="4218" spans="1:3" x14ac:dyDescent="0.15">
      <c r="A4218" t="s">
        <v>949</v>
      </c>
      <c r="B4218">
        <v>8</v>
      </c>
      <c r="C4218">
        <v>8.7334399999999996E-4</v>
      </c>
    </row>
    <row r="4219" spans="1:3" x14ac:dyDescent="0.15">
      <c r="A4219" t="s">
        <v>949</v>
      </c>
      <c r="B4219">
        <v>11.313700000000001</v>
      </c>
      <c r="C4219">
        <v>8.5813800000000004E-4</v>
      </c>
    </row>
    <row r="4220" spans="1:3" x14ac:dyDescent="0.15">
      <c r="A4220" t="s">
        <v>949</v>
      </c>
      <c r="B4220">
        <v>16</v>
      </c>
      <c r="C4220">
        <v>6.7810799999999997E-4</v>
      </c>
    </row>
    <row r="4221" spans="1:3" x14ac:dyDescent="0.15">
      <c r="A4221" t="s">
        <v>949</v>
      </c>
      <c r="B4221">
        <v>22.627400000000002</v>
      </c>
      <c r="C4221">
        <v>5.4887100000000004E-4</v>
      </c>
    </row>
    <row r="4222" spans="1:3" x14ac:dyDescent="0.15">
      <c r="A4222" t="s">
        <v>949</v>
      </c>
      <c r="B4222">
        <v>32</v>
      </c>
      <c r="C4222">
        <v>5.1860999999999997E-4</v>
      </c>
    </row>
    <row r="4223" spans="1:3" x14ac:dyDescent="0.15">
      <c r="A4223" t="s">
        <v>949</v>
      </c>
      <c r="B4223">
        <v>45.254800000000003</v>
      </c>
      <c r="C4223">
        <v>5.2623899999999996E-4</v>
      </c>
    </row>
    <row r="4224" spans="1:3" x14ac:dyDescent="0.15">
      <c r="A4224" t="s">
        <v>949</v>
      </c>
      <c r="B4224">
        <v>64</v>
      </c>
      <c r="C4224">
        <v>5.1727000000000001E-4</v>
      </c>
    </row>
    <row r="4225" spans="1:3" x14ac:dyDescent="0.15">
      <c r="A4225" t="s">
        <v>949</v>
      </c>
      <c r="B4225">
        <v>90.509699999999995</v>
      </c>
      <c r="C4225">
        <v>3.8779899999999998E-4</v>
      </c>
    </row>
    <row r="4226" spans="1:3" x14ac:dyDescent="0.15">
      <c r="A4226" t="s">
        <v>949</v>
      </c>
      <c r="B4226">
        <v>128</v>
      </c>
      <c r="C4226">
        <v>3.0924499999999998E-4</v>
      </c>
    </row>
    <row r="4227" spans="1:3" x14ac:dyDescent="0.15">
      <c r="A4227" t="s">
        <v>949</v>
      </c>
      <c r="B4227">
        <v>181.01929999999999</v>
      </c>
      <c r="C4227">
        <v>1.54697E-4</v>
      </c>
    </row>
    <row r="4228" spans="1:3" x14ac:dyDescent="0.15">
      <c r="A4228" t="s">
        <v>949</v>
      </c>
      <c r="B4228">
        <v>256</v>
      </c>
      <c r="C4228">
        <v>2.3717999999999999E-5</v>
      </c>
    </row>
    <row r="4229" spans="1:3" x14ac:dyDescent="0.15">
      <c r="A4229" t="s">
        <v>949</v>
      </c>
      <c r="B4229">
        <v>362.03870000000001</v>
      </c>
      <c r="C4229">
        <v>4.4200000000000001E-7</v>
      </c>
    </row>
    <row r="4230" spans="1:3" x14ac:dyDescent="0.15">
      <c r="A4230" t="s">
        <v>949</v>
      </c>
      <c r="B4230">
        <v>512</v>
      </c>
      <c r="C4230">
        <v>0</v>
      </c>
    </row>
    <row r="4231" spans="1:3" x14ac:dyDescent="0.15">
      <c r="A4231" t="s">
        <v>949</v>
      </c>
      <c r="B4231">
        <v>724.07730000000004</v>
      </c>
      <c r="C4231">
        <v>0</v>
      </c>
    </row>
    <row r="4232" spans="1:3" x14ac:dyDescent="0.15">
      <c r="A4232" t="s">
        <v>950</v>
      </c>
      <c r="B4232">
        <v>2</v>
      </c>
      <c r="C4232">
        <v>5.3244800000000004E-4</v>
      </c>
    </row>
    <row r="4233" spans="1:3" x14ac:dyDescent="0.15">
      <c r="A4233" t="s">
        <v>950</v>
      </c>
      <c r="B4233">
        <v>2.8283999999999998</v>
      </c>
      <c r="C4233">
        <v>6.5302199999999996E-4</v>
      </c>
    </row>
    <row r="4234" spans="1:3" x14ac:dyDescent="0.15">
      <c r="A4234" t="s">
        <v>950</v>
      </c>
      <c r="B4234">
        <v>4</v>
      </c>
      <c r="C4234">
        <v>7.5440100000000003E-4</v>
      </c>
    </row>
    <row r="4235" spans="1:3" x14ac:dyDescent="0.15">
      <c r="A4235" t="s">
        <v>950</v>
      </c>
      <c r="B4235">
        <v>5.6569000000000003</v>
      </c>
      <c r="C4235">
        <v>7.8487800000000003E-4</v>
      </c>
    </row>
    <row r="4236" spans="1:3" x14ac:dyDescent="0.15">
      <c r="A4236" t="s">
        <v>950</v>
      </c>
      <c r="B4236">
        <v>8</v>
      </c>
      <c r="C4236">
        <v>7.7160800000000002E-4</v>
      </c>
    </row>
    <row r="4237" spans="1:3" x14ac:dyDescent="0.15">
      <c r="A4237" t="s">
        <v>950</v>
      </c>
      <c r="B4237">
        <v>11.313700000000001</v>
      </c>
      <c r="C4237">
        <v>7.7754300000000001E-4</v>
      </c>
    </row>
    <row r="4238" spans="1:3" x14ac:dyDescent="0.15">
      <c r="A4238" t="s">
        <v>950</v>
      </c>
      <c r="B4238">
        <v>16</v>
      </c>
      <c r="C4238">
        <v>7.7793299999999997E-4</v>
      </c>
    </row>
    <row r="4239" spans="1:3" x14ac:dyDescent="0.15">
      <c r="A4239" t="s">
        <v>950</v>
      </c>
      <c r="B4239">
        <v>22.627400000000002</v>
      </c>
      <c r="C4239">
        <v>7.1525799999999997E-4</v>
      </c>
    </row>
    <row r="4240" spans="1:3" x14ac:dyDescent="0.15">
      <c r="A4240" t="s">
        <v>950</v>
      </c>
      <c r="B4240">
        <v>32</v>
      </c>
      <c r="C4240">
        <v>5.5975100000000004E-4</v>
      </c>
    </row>
    <row r="4241" spans="1:3" x14ac:dyDescent="0.15">
      <c r="A4241" t="s">
        <v>950</v>
      </c>
      <c r="B4241">
        <v>45.254800000000003</v>
      </c>
      <c r="C4241">
        <v>3.6696999999999999E-4</v>
      </c>
    </row>
    <row r="4242" spans="1:3" x14ac:dyDescent="0.15">
      <c r="A4242" t="s">
        <v>950</v>
      </c>
      <c r="B4242">
        <v>64</v>
      </c>
      <c r="C4242">
        <v>2.1798999999999999E-4</v>
      </c>
    </row>
    <row r="4243" spans="1:3" x14ac:dyDescent="0.15">
      <c r="A4243" t="s">
        <v>950</v>
      </c>
      <c r="B4243">
        <v>90.509699999999995</v>
      </c>
      <c r="C4243">
        <v>1.6932000000000001E-4</v>
      </c>
    </row>
    <row r="4244" spans="1:3" x14ac:dyDescent="0.15">
      <c r="A4244" t="s">
        <v>950</v>
      </c>
      <c r="B4244">
        <v>128</v>
      </c>
      <c r="C4244">
        <v>1.52786E-4</v>
      </c>
    </row>
    <row r="4245" spans="1:3" x14ac:dyDescent="0.15">
      <c r="A4245" t="s">
        <v>950</v>
      </c>
      <c r="B4245">
        <v>181.01929999999999</v>
      </c>
      <c r="C4245">
        <v>7.4604000000000006E-5</v>
      </c>
    </row>
    <row r="4246" spans="1:3" x14ac:dyDescent="0.15">
      <c r="A4246" t="s">
        <v>950</v>
      </c>
      <c r="B4246">
        <v>256</v>
      </c>
      <c r="C4246">
        <v>1.1309E-5</v>
      </c>
    </row>
    <row r="4247" spans="1:3" x14ac:dyDescent="0.15">
      <c r="A4247" t="s">
        <v>950</v>
      </c>
      <c r="B4247">
        <v>362.03870000000001</v>
      </c>
      <c r="C4247">
        <v>2.11E-7</v>
      </c>
    </row>
    <row r="4248" spans="1:3" x14ac:dyDescent="0.15">
      <c r="A4248" t="s">
        <v>950</v>
      </c>
      <c r="B4248">
        <v>512</v>
      </c>
      <c r="C4248">
        <v>0</v>
      </c>
    </row>
    <row r="4249" spans="1:3" x14ac:dyDescent="0.15">
      <c r="A4249" t="s">
        <v>950</v>
      </c>
      <c r="B4249">
        <v>724.07730000000004</v>
      </c>
      <c r="C4249">
        <v>0</v>
      </c>
    </row>
    <row r="4250" spans="1:3" x14ac:dyDescent="0.15">
      <c r="A4250" t="s">
        <v>951</v>
      </c>
      <c r="B4250">
        <v>2</v>
      </c>
      <c r="C4250">
        <v>1.2982569999999999E-3</v>
      </c>
    </row>
    <row r="4251" spans="1:3" x14ac:dyDescent="0.15">
      <c r="A4251" t="s">
        <v>951</v>
      </c>
      <c r="B4251">
        <v>2.8283999999999998</v>
      </c>
      <c r="C4251">
        <v>1.4137170000000001E-3</v>
      </c>
    </row>
    <row r="4252" spans="1:3" x14ac:dyDescent="0.15">
      <c r="A4252" t="s">
        <v>951</v>
      </c>
      <c r="B4252">
        <v>4</v>
      </c>
      <c r="C4252">
        <v>1.381326E-3</v>
      </c>
    </row>
    <row r="4253" spans="1:3" x14ac:dyDescent="0.15">
      <c r="A4253" t="s">
        <v>951</v>
      </c>
      <c r="B4253">
        <v>5.6569000000000003</v>
      </c>
      <c r="C4253">
        <v>1.286557E-3</v>
      </c>
    </row>
    <row r="4254" spans="1:3" x14ac:dyDescent="0.15">
      <c r="A4254" t="s">
        <v>951</v>
      </c>
      <c r="B4254">
        <v>8</v>
      </c>
      <c r="C4254">
        <v>1.1974469999999999E-3</v>
      </c>
    </row>
    <row r="4255" spans="1:3" x14ac:dyDescent="0.15">
      <c r="A4255" t="s">
        <v>951</v>
      </c>
      <c r="B4255">
        <v>11.313700000000001</v>
      </c>
      <c r="C4255">
        <v>1.143228E-3</v>
      </c>
    </row>
    <row r="4256" spans="1:3" x14ac:dyDescent="0.15">
      <c r="A4256" t="s">
        <v>951</v>
      </c>
      <c r="B4256">
        <v>16</v>
      </c>
      <c r="C4256">
        <v>9.6759999999999999E-4</v>
      </c>
    </row>
    <row r="4257" spans="1:3" x14ac:dyDescent="0.15">
      <c r="A4257" t="s">
        <v>951</v>
      </c>
      <c r="B4257">
        <v>22.627400000000002</v>
      </c>
      <c r="C4257">
        <v>5.9655099999999996E-4</v>
      </c>
    </row>
    <row r="4258" spans="1:3" x14ac:dyDescent="0.15">
      <c r="A4258" t="s">
        <v>951</v>
      </c>
      <c r="B4258">
        <v>32</v>
      </c>
      <c r="C4258">
        <v>4.7109300000000001E-4</v>
      </c>
    </row>
    <row r="4259" spans="1:3" x14ac:dyDescent="0.15">
      <c r="A4259" t="s">
        <v>951</v>
      </c>
      <c r="B4259">
        <v>45.254800000000003</v>
      </c>
      <c r="C4259">
        <v>6.2633999999999997E-4</v>
      </c>
    </row>
    <row r="4260" spans="1:3" x14ac:dyDescent="0.15">
      <c r="A4260" t="s">
        <v>951</v>
      </c>
      <c r="B4260">
        <v>64</v>
      </c>
      <c r="C4260">
        <v>7.6474400000000004E-4</v>
      </c>
    </row>
    <row r="4261" spans="1:3" x14ac:dyDescent="0.15">
      <c r="A4261" t="s">
        <v>951</v>
      </c>
      <c r="B4261">
        <v>90.509699999999995</v>
      </c>
      <c r="C4261">
        <v>8.1127399999999996E-4</v>
      </c>
    </row>
    <row r="4262" spans="1:3" x14ac:dyDescent="0.15">
      <c r="A4262" t="s">
        <v>951</v>
      </c>
      <c r="B4262">
        <v>128</v>
      </c>
      <c r="C4262">
        <v>7.7504699999999995E-4</v>
      </c>
    </row>
    <row r="4263" spans="1:3" x14ac:dyDescent="0.15">
      <c r="A4263" t="s">
        <v>951</v>
      </c>
      <c r="B4263">
        <v>181.01929999999999</v>
      </c>
      <c r="C4263">
        <v>3.9291400000000001E-4</v>
      </c>
    </row>
    <row r="4264" spans="1:3" x14ac:dyDescent="0.15">
      <c r="A4264" t="s">
        <v>951</v>
      </c>
      <c r="B4264">
        <v>256</v>
      </c>
      <c r="C4264">
        <v>6.0337999999999997E-5</v>
      </c>
    </row>
    <row r="4265" spans="1:3" x14ac:dyDescent="0.15">
      <c r="A4265" t="s">
        <v>951</v>
      </c>
      <c r="B4265">
        <v>362.03870000000001</v>
      </c>
      <c r="C4265">
        <v>1.125E-6</v>
      </c>
    </row>
    <row r="4266" spans="1:3" x14ac:dyDescent="0.15">
      <c r="A4266" t="s">
        <v>951</v>
      </c>
      <c r="B4266">
        <v>512</v>
      </c>
      <c r="C4266">
        <v>1.0000000000000001E-9</v>
      </c>
    </row>
    <row r="4267" spans="1:3" x14ac:dyDescent="0.15">
      <c r="A4267" t="s">
        <v>951</v>
      </c>
      <c r="B4267">
        <v>724.07730000000004</v>
      </c>
      <c r="C4267">
        <v>0</v>
      </c>
    </row>
    <row r="4268" spans="1:3" x14ac:dyDescent="0.15">
      <c r="A4268" t="s">
        <v>953</v>
      </c>
      <c r="B4268">
        <v>2</v>
      </c>
      <c r="C4268">
        <v>8.0676499999999998E-4</v>
      </c>
    </row>
    <row r="4269" spans="1:3" x14ac:dyDescent="0.15">
      <c r="A4269" t="s">
        <v>953</v>
      </c>
      <c r="B4269">
        <v>2.8283999999999998</v>
      </c>
      <c r="C4269">
        <v>8.8685999999999995E-4</v>
      </c>
    </row>
    <row r="4270" spans="1:3" x14ac:dyDescent="0.15">
      <c r="A4270" t="s">
        <v>953</v>
      </c>
      <c r="B4270">
        <v>4</v>
      </c>
      <c r="C4270">
        <v>8.6634899999999998E-4</v>
      </c>
    </row>
    <row r="4271" spans="1:3" x14ac:dyDescent="0.15">
      <c r="A4271" t="s">
        <v>953</v>
      </c>
      <c r="B4271">
        <v>5.6569000000000003</v>
      </c>
      <c r="C4271">
        <v>8.3162500000000001E-4</v>
      </c>
    </row>
    <row r="4272" spans="1:3" x14ac:dyDescent="0.15">
      <c r="A4272" t="s">
        <v>953</v>
      </c>
      <c r="B4272">
        <v>8</v>
      </c>
      <c r="C4272">
        <v>8.3934899999999998E-4</v>
      </c>
    </row>
    <row r="4273" spans="1:3" x14ac:dyDescent="0.15">
      <c r="A4273" t="s">
        <v>953</v>
      </c>
      <c r="B4273">
        <v>11.313700000000001</v>
      </c>
      <c r="C4273">
        <v>8.5131300000000003E-4</v>
      </c>
    </row>
    <row r="4274" spans="1:3" x14ac:dyDescent="0.15">
      <c r="A4274" t="s">
        <v>953</v>
      </c>
      <c r="B4274">
        <v>16</v>
      </c>
      <c r="C4274">
        <v>7.2163499999999998E-4</v>
      </c>
    </row>
    <row r="4275" spans="1:3" x14ac:dyDescent="0.15">
      <c r="A4275" t="s">
        <v>953</v>
      </c>
      <c r="B4275">
        <v>22.627400000000002</v>
      </c>
      <c r="C4275">
        <v>4.9475599999999995E-4</v>
      </c>
    </row>
    <row r="4276" spans="1:3" x14ac:dyDescent="0.15">
      <c r="A4276" t="s">
        <v>953</v>
      </c>
      <c r="B4276">
        <v>32</v>
      </c>
      <c r="C4276">
        <v>4.1761100000000002E-4</v>
      </c>
    </row>
    <row r="4277" spans="1:3" x14ac:dyDescent="0.15">
      <c r="A4277" t="s">
        <v>953</v>
      </c>
      <c r="B4277">
        <v>45.254800000000003</v>
      </c>
      <c r="C4277">
        <v>4.9259900000000003E-4</v>
      </c>
    </row>
    <row r="4278" spans="1:3" x14ac:dyDescent="0.15">
      <c r="A4278" t="s">
        <v>953</v>
      </c>
      <c r="B4278">
        <v>64</v>
      </c>
      <c r="C4278">
        <v>5.6112499999999999E-4</v>
      </c>
    </row>
    <row r="4279" spans="1:3" x14ac:dyDescent="0.15">
      <c r="A4279" t="s">
        <v>953</v>
      </c>
      <c r="B4279">
        <v>90.509699999999995</v>
      </c>
      <c r="C4279">
        <v>4.7793800000000002E-4</v>
      </c>
    </row>
    <row r="4280" spans="1:3" x14ac:dyDescent="0.15">
      <c r="A4280" t="s">
        <v>953</v>
      </c>
      <c r="B4280">
        <v>128</v>
      </c>
      <c r="C4280">
        <v>3.82891E-4</v>
      </c>
    </row>
    <row r="4281" spans="1:3" x14ac:dyDescent="0.15">
      <c r="A4281" t="s">
        <v>953</v>
      </c>
      <c r="B4281">
        <v>181.01929999999999</v>
      </c>
      <c r="C4281">
        <v>1.90521E-4</v>
      </c>
    </row>
    <row r="4282" spans="1:3" x14ac:dyDescent="0.15">
      <c r="A4282" t="s">
        <v>953</v>
      </c>
      <c r="B4282">
        <v>256</v>
      </c>
      <c r="C4282">
        <v>2.9243000000000001E-5</v>
      </c>
    </row>
    <row r="4283" spans="1:3" x14ac:dyDescent="0.15">
      <c r="A4283" t="s">
        <v>953</v>
      </c>
      <c r="B4283">
        <v>362.03870000000001</v>
      </c>
      <c r="C4283">
        <v>5.4499999999999997E-7</v>
      </c>
    </row>
    <row r="4284" spans="1:3" x14ac:dyDescent="0.15">
      <c r="A4284" t="s">
        <v>953</v>
      </c>
      <c r="B4284">
        <v>512</v>
      </c>
      <c r="C4284">
        <v>1.0000000000000001E-9</v>
      </c>
    </row>
    <row r="4285" spans="1:3" x14ac:dyDescent="0.15">
      <c r="A4285" t="s">
        <v>953</v>
      </c>
      <c r="B4285">
        <v>724.07730000000004</v>
      </c>
      <c r="C4285">
        <v>0</v>
      </c>
    </row>
    <row r="4286" spans="1:3" x14ac:dyDescent="0.15">
      <c r="A4286" t="s">
        <v>952</v>
      </c>
      <c r="B4286">
        <v>2</v>
      </c>
      <c r="C4286">
        <v>6.8175099999999997E-4</v>
      </c>
    </row>
    <row r="4287" spans="1:3" x14ac:dyDescent="0.15">
      <c r="A4287" t="s">
        <v>952</v>
      </c>
      <c r="B4287">
        <v>2.8283999999999998</v>
      </c>
      <c r="C4287">
        <v>8.0248099999999996E-4</v>
      </c>
    </row>
    <row r="4288" spans="1:3" x14ac:dyDescent="0.15">
      <c r="A4288" t="s">
        <v>952</v>
      </c>
      <c r="B4288">
        <v>4</v>
      </c>
      <c r="C4288">
        <v>8.6656899999999998E-4</v>
      </c>
    </row>
    <row r="4289" spans="1:3" x14ac:dyDescent="0.15">
      <c r="A4289" t="s">
        <v>952</v>
      </c>
      <c r="B4289">
        <v>5.6569000000000003</v>
      </c>
      <c r="C4289">
        <v>8.3136500000000003E-4</v>
      </c>
    </row>
    <row r="4290" spans="1:3" x14ac:dyDescent="0.15">
      <c r="A4290" t="s">
        <v>952</v>
      </c>
      <c r="B4290">
        <v>8</v>
      </c>
      <c r="C4290">
        <v>7.9527500000000002E-4</v>
      </c>
    </row>
    <row r="4291" spans="1:3" x14ac:dyDescent="0.15">
      <c r="A4291" t="s">
        <v>952</v>
      </c>
      <c r="B4291">
        <v>11.313700000000001</v>
      </c>
      <c r="C4291">
        <v>7.9564800000000004E-4</v>
      </c>
    </row>
    <row r="4292" spans="1:3" x14ac:dyDescent="0.15">
      <c r="A4292" t="s">
        <v>952</v>
      </c>
      <c r="B4292">
        <v>16</v>
      </c>
      <c r="C4292">
        <v>7.6614800000000002E-4</v>
      </c>
    </row>
    <row r="4293" spans="1:3" x14ac:dyDescent="0.15">
      <c r="A4293" t="s">
        <v>952</v>
      </c>
      <c r="B4293">
        <v>22.627400000000002</v>
      </c>
      <c r="C4293">
        <v>6.6362300000000001E-4</v>
      </c>
    </row>
    <row r="4294" spans="1:3" x14ac:dyDescent="0.15">
      <c r="A4294" t="s">
        <v>952</v>
      </c>
      <c r="B4294">
        <v>32</v>
      </c>
      <c r="C4294">
        <v>5.10397E-4</v>
      </c>
    </row>
    <row r="4295" spans="1:3" x14ac:dyDescent="0.15">
      <c r="A4295" t="s">
        <v>952</v>
      </c>
      <c r="B4295">
        <v>45.254800000000003</v>
      </c>
      <c r="C4295">
        <v>2.9646799999999998E-4</v>
      </c>
    </row>
    <row r="4296" spans="1:3" x14ac:dyDescent="0.15">
      <c r="A4296" t="s">
        <v>952</v>
      </c>
      <c r="B4296">
        <v>64</v>
      </c>
      <c r="C4296">
        <v>1.6794999999999999E-4</v>
      </c>
    </row>
    <row r="4297" spans="1:3" x14ac:dyDescent="0.15">
      <c r="A4297" t="s">
        <v>952</v>
      </c>
      <c r="B4297">
        <v>90.509699999999995</v>
      </c>
      <c r="C4297">
        <v>8.7459000000000004E-5</v>
      </c>
    </row>
    <row r="4298" spans="1:3" x14ac:dyDescent="0.15">
      <c r="A4298" t="s">
        <v>952</v>
      </c>
      <c r="B4298">
        <v>128</v>
      </c>
      <c r="C4298">
        <v>1.8564E-5</v>
      </c>
    </row>
    <row r="4299" spans="1:3" x14ac:dyDescent="0.15">
      <c r="A4299" t="s">
        <v>952</v>
      </c>
      <c r="B4299">
        <v>181.01929999999999</v>
      </c>
      <c r="C4299">
        <v>5.6500000000000001E-6</v>
      </c>
    </row>
    <row r="4300" spans="1:3" x14ac:dyDescent="0.15">
      <c r="A4300" t="s">
        <v>952</v>
      </c>
      <c r="B4300">
        <v>256</v>
      </c>
      <c r="C4300">
        <v>8.2600000000000001E-7</v>
      </c>
    </row>
    <row r="4301" spans="1:3" x14ac:dyDescent="0.15">
      <c r="A4301" t="s">
        <v>952</v>
      </c>
      <c r="B4301">
        <v>362.03870000000001</v>
      </c>
      <c r="C4301">
        <v>1.4999999999999999E-8</v>
      </c>
    </row>
    <row r="4302" spans="1:3" x14ac:dyDescent="0.15">
      <c r="A4302" t="s">
        <v>952</v>
      </c>
      <c r="B4302">
        <v>512</v>
      </c>
      <c r="C4302">
        <v>0</v>
      </c>
    </row>
    <row r="4303" spans="1:3" x14ac:dyDescent="0.15">
      <c r="A4303" t="s">
        <v>952</v>
      </c>
      <c r="B4303">
        <v>724.07730000000004</v>
      </c>
      <c r="C4303">
        <v>0</v>
      </c>
    </row>
    <row r="4304" spans="1:3" x14ac:dyDescent="0.15">
      <c r="A4304" t="s">
        <v>954</v>
      </c>
      <c r="B4304">
        <v>2</v>
      </c>
      <c r="C4304">
        <v>3.6157600000000001E-4</v>
      </c>
    </row>
    <row r="4305" spans="1:3" x14ac:dyDescent="0.15">
      <c r="A4305" t="s">
        <v>954</v>
      </c>
      <c r="B4305">
        <v>2.8283999999999998</v>
      </c>
      <c r="C4305">
        <v>4.0320699999999999E-4</v>
      </c>
    </row>
    <row r="4306" spans="1:3" x14ac:dyDescent="0.15">
      <c r="A4306" t="s">
        <v>954</v>
      </c>
      <c r="B4306">
        <v>4</v>
      </c>
      <c r="C4306">
        <v>4.5560400000000002E-4</v>
      </c>
    </row>
    <row r="4307" spans="1:3" x14ac:dyDescent="0.15">
      <c r="A4307" t="s">
        <v>954</v>
      </c>
      <c r="B4307">
        <v>5.6569000000000003</v>
      </c>
      <c r="C4307">
        <v>4.7970700000000001E-4</v>
      </c>
    </row>
    <row r="4308" spans="1:3" x14ac:dyDescent="0.15">
      <c r="A4308" t="s">
        <v>954</v>
      </c>
      <c r="B4308">
        <v>8</v>
      </c>
      <c r="C4308">
        <v>4.5099400000000003E-4</v>
      </c>
    </row>
    <row r="4309" spans="1:3" x14ac:dyDescent="0.15">
      <c r="A4309" t="s">
        <v>954</v>
      </c>
      <c r="B4309">
        <v>11.313700000000001</v>
      </c>
      <c r="C4309">
        <v>4.1320000000000001E-4</v>
      </c>
    </row>
    <row r="4310" spans="1:3" x14ac:dyDescent="0.15">
      <c r="A4310" t="s">
        <v>954</v>
      </c>
      <c r="B4310">
        <v>16</v>
      </c>
      <c r="C4310">
        <v>3.7940599999999999E-4</v>
      </c>
    </row>
    <row r="4311" spans="1:3" x14ac:dyDescent="0.15">
      <c r="A4311" t="s">
        <v>954</v>
      </c>
      <c r="B4311">
        <v>22.627400000000002</v>
      </c>
      <c r="C4311">
        <v>3.3021800000000002E-4</v>
      </c>
    </row>
    <row r="4312" spans="1:3" x14ac:dyDescent="0.15">
      <c r="A4312" t="s">
        <v>954</v>
      </c>
      <c r="B4312">
        <v>32</v>
      </c>
      <c r="C4312">
        <v>2.6155900000000002E-4</v>
      </c>
    </row>
    <row r="4313" spans="1:3" x14ac:dyDescent="0.15">
      <c r="A4313" t="s">
        <v>954</v>
      </c>
      <c r="B4313">
        <v>45.254800000000003</v>
      </c>
      <c r="C4313">
        <v>1.8276300000000001E-4</v>
      </c>
    </row>
    <row r="4314" spans="1:3" x14ac:dyDescent="0.15">
      <c r="A4314" t="s">
        <v>954</v>
      </c>
      <c r="B4314">
        <v>64</v>
      </c>
      <c r="C4314">
        <v>1.4739899999999999E-4</v>
      </c>
    </row>
    <row r="4315" spans="1:3" x14ac:dyDescent="0.15">
      <c r="A4315" t="s">
        <v>954</v>
      </c>
      <c r="B4315">
        <v>90.509699999999995</v>
      </c>
      <c r="C4315">
        <v>1.45053E-4</v>
      </c>
    </row>
    <row r="4316" spans="1:3" x14ac:dyDescent="0.15">
      <c r="A4316" t="s">
        <v>954</v>
      </c>
      <c r="B4316">
        <v>128</v>
      </c>
      <c r="C4316">
        <v>1.26816E-4</v>
      </c>
    </row>
    <row r="4317" spans="1:3" x14ac:dyDescent="0.15">
      <c r="A4317" t="s">
        <v>954</v>
      </c>
      <c r="B4317">
        <v>181.01929999999999</v>
      </c>
      <c r="C4317">
        <v>6.3157999999999994E-5</v>
      </c>
    </row>
    <row r="4318" spans="1:3" x14ac:dyDescent="0.15">
      <c r="A4318" t="s">
        <v>954</v>
      </c>
      <c r="B4318">
        <v>256</v>
      </c>
      <c r="C4318">
        <v>9.7010000000000008E-6</v>
      </c>
    </row>
    <row r="4319" spans="1:3" x14ac:dyDescent="0.15">
      <c r="A4319" t="s">
        <v>954</v>
      </c>
      <c r="B4319">
        <v>362.03870000000001</v>
      </c>
      <c r="C4319">
        <v>1.8099999999999999E-7</v>
      </c>
    </row>
    <row r="4320" spans="1:3" x14ac:dyDescent="0.15">
      <c r="A4320" t="s">
        <v>954</v>
      </c>
      <c r="B4320">
        <v>512</v>
      </c>
      <c r="C4320">
        <v>0</v>
      </c>
    </row>
    <row r="4321" spans="1:3" x14ac:dyDescent="0.15">
      <c r="A4321" t="s">
        <v>954</v>
      </c>
      <c r="B4321">
        <v>724.07730000000004</v>
      </c>
      <c r="C4321">
        <v>0</v>
      </c>
    </row>
    <row r="4322" spans="1:3" x14ac:dyDescent="0.15">
      <c r="A4322" t="s">
        <v>955</v>
      </c>
      <c r="B4322">
        <v>2</v>
      </c>
      <c r="C4322">
        <v>7.0082E-4</v>
      </c>
    </row>
    <row r="4323" spans="1:3" x14ac:dyDescent="0.15">
      <c r="A4323" t="s">
        <v>955</v>
      </c>
      <c r="B4323">
        <v>2.8283999999999998</v>
      </c>
      <c r="C4323">
        <v>8.7705499999999996E-4</v>
      </c>
    </row>
    <row r="4324" spans="1:3" x14ac:dyDescent="0.15">
      <c r="A4324" t="s">
        <v>955</v>
      </c>
      <c r="B4324">
        <v>4</v>
      </c>
      <c r="C4324">
        <v>9.6766099999999998E-4</v>
      </c>
    </row>
    <row r="4325" spans="1:3" x14ac:dyDescent="0.15">
      <c r="A4325" t="s">
        <v>955</v>
      </c>
      <c r="B4325">
        <v>5.6569000000000003</v>
      </c>
      <c r="C4325">
        <v>9.2909199999999996E-4</v>
      </c>
    </row>
    <row r="4326" spans="1:3" x14ac:dyDescent="0.15">
      <c r="A4326" t="s">
        <v>955</v>
      </c>
      <c r="B4326">
        <v>8</v>
      </c>
      <c r="C4326">
        <v>8.2998600000000001E-4</v>
      </c>
    </row>
    <row r="4327" spans="1:3" x14ac:dyDescent="0.15">
      <c r="A4327" t="s">
        <v>955</v>
      </c>
      <c r="B4327">
        <v>11.313700000000001</v>
      </c>
      <c r="C4327">
        <v>7.2288599999999995E-4</v>
      </c>
    </row>
    <row r="4328" spans="1:3" x14ac:dyDescent="0.15">
      <c r="A4328" t="s">
        <v>955</v>
      </c>
      <c r="B4328">
        <v>16</v>
      </c>
      <c r="C4328">
        <v>5.6626599999999995E-4</v>
      </c>
    </row>
    <row r="4329" spans="1:3" x14ac:dyDescent="0.15">
      <c r="A4329" t="s">
        <v>955</v>
      </c>
      <c r="B4329">
        <v>22.627400000000002</v>
      </c>
      <c r="C4329">
        <v>4.21576E-4</v>
      </c>
    </row>
    <row r="4330" spans="1:3" x14ac:dyDescent="0.15">
      <c r="A4330" t="s">
        <v>955</v>
      </c>
      <c r="B4330">
        <v>32</v>
      </c>
      <c r="C4330">
        <v>3.3933999999999999E-4</v>
      </c>
    </row>
    <row r="4331" spans="1:3" x14ac:dyDescent="0.15">
      <c r="A4331" t="s">
        <v>955</v>
      </c>
      <c r="B4331">
        <v>45.254800000000003</v>
      </c>
      <c r="C4331">
        <v>3.1931599999999999E-4</v>
      </c>
    </row>
    <row r="4332" spans="1:3" x14ac:dyDescent="0.15">
      <c r="A4332" t="s">
        <v>955</v>
      </c>
      <c r="B4332">
        <v>64</v>
      </c>
      <c r="C4332">
        <v>3.1564199999999998E-4</v>
      </c>
    </row>
    <row r="4333" spans="1:3" x14ac:dyDescent="0.15">
      <c r="A4333" t="s">
        <v>955</v>
      </c>
      <c r="B4333">
        <v>90.509699999999995</v>
      </c>
      <c r="C4333">
        <v>2.20156E-4</v>
      </c>
    </row>
    <row r="4334" spans="1:3" x14ac:dyDescent="0.15">
      <c r="A4334" t="s">
        <v>955</v>
      </c>
      <c r="B4334">
        <v>128</v>
      </c>
      <c r="C4334">
        <v>1.64604E-4</v>
      </c>
    </row>
    <row r="4335" spans="1:3" x14ac:dyDescent="0.15">
      <c r="A4335" t="s">
        <v>955</v>
      </c>
      <c r="B4335">
        <v>181.01929999999999</v>
      </c>
      <c r="C4335">
        <v>8.5443000000000002E-5</v>
      </c>
    </row>
    <row r="4336" spans="1:3" x14ac:dyDescent="0.15">
      <c r="A4336" t="s">
        <v>955</v>
      </c>
      <c r="B4336">
        <v>256</v>
      </c>
      <c r="C4336">
        <v>1.3315999999999999E-5</v>
      </c>
    </row>
    <row r="4337" spans="1:3" x14ac:dyDescent="0.15">
      <c r="A4337" t="s">
        <v>955</v>
      </c>
      <c r="B4337">
        <v>362.03870000000001</v>
      </c>
      <c r="C4337">
        <v>2.4900000000000002E-7</v>
      </c>
    </row>
    <row r="4338" spans="1:3" x14ac:dyDescent="0.15">
      <c r="A4338" t="s">
        <v>955</v>
      </c>
      <c r="B4338">
        <v>512</v>
      </c>
      <c r="C4338">
        <v>0</v>
      </c>
    </row>
    <row r="4339" spans="1:3" x14ac:dyDescent="0.15">
      <c r="A4339" t="s">
        <v>955</v>
      </c>
      <c r="B4339">
        <v>724.07730000000004</v>
      </c>
      <c r="C4339">
        <v>0</v>
      </c>
    </row>
    <row r="4340" spans="1:3" x14ac:dyDescent="0.15">
      <c r="A4340" t="s">
        <v>956</v>
      </c>
      <c r="B4340">
        <v>2</v>
      </c>
      <c r="C4340">
        <v>1.492323E-3</v>
      </c>
    </row>
    <row r="4341" spans="1:3" x14ac:dyDescent="0.15">
      <c r="A4341" t="s">
        <v>956</v>
      </c>
      <c r="B4341">
        <v>2.8283999999999998</v>
      </c>
      <c r="C4341">
        <v>1.597701E-3</v>
      </c>
    </row>
    <row r="4342" spans="1:3" x14ac:dyDescent="0.15">
      <c r="A4342" t="s">
        <v>956</v>
      </c>
      <c r="B4342">
        <v>4</v>
      </c>
      <c r="C4342">
        <v>1.6085509999999999E-3</v>
      </c>
    </row>
    <row r="4343" spans="1:3" x14ac:dyDescent="0.15">
      <c r="A4343" t="s">
        <v>956</v>
      </c>
      <c r="B4343">
        <v>5.6569000000000003</v>
      </c>
      <c r="C4343">
        <v>1.458052E-3</v>
      </c>
    </row>
    <row r="4344" spans="1:3" x14ac:dyDescent="0.15">
      <c r="A4344" t="s">
        <v>956</v>
      </c>
      <c r="B4344">
        <v>8</v>
      </c>
      <c r="C4344">
        <v>1.2193219999999999E-3</v>
      </c>
    </row>
    <row r="4345" spans="1:3" x14ac:dyDescent="0.15">
      <c r="A4345" t="s">
        <v>956</v>
      </c>
      <c r="B4345">
        <v>11.313700000000001</v>
      </c>
      <c r="C4345">
        <v>1.0667470000000001E-3</v>
      </c>
    </row>
    <row r="4346" spans="1:3" x14ac:dyDescent="0.15">
      <c r="A4346" t="s">
        <v>956</v>
      </c>
      <c r="B4346">
        <v>16</v>
      </c>
      <c r="C4346">
        <v>1.005751E-3</v>
      </c>
    </row>
    <row r="4347" spans="1:3" x14ac:dyDescent="0.15">
      <c r="A4347" t="s">
        <v>956</v>
      </c>
      <c r="B4347">
        <v>22.627400000000002</v>
      </c>
      <c r="C4347">
        <v>9.2473900000000005E-4</v>
      </c>
    </row>
    <row r="4348" spans="1:3" x14ac:dyDescent="0.15">
      <c r="A4348" t="s">
        <v>956</v>
      </c>
      <c r="B4348">
        <v>32</v>
      </c>
      <c r="C4348">
        <v>8.29586E-4</v>
      </c>
    </row>
    <row r="4349" spans="1:3" x14ac:dyDescent="0.15">
      <c r="A4349" t="s">
        <v>956</v>
      </c>
      <c r="B4349">
        <v>45.254800000000003</v>
      </c>
      <c r="C4349">
        <v>6.68704E-4</v>
      </c>
    </row>
    <row r="4350" spans="1:3" x14ac:dyDescent="0.15">
      <c r="A4350" t="s">
        <v>956</v>
      </c>
      <c r="B4350">
        <v>64</v>
      </c>
      <c r="C4350">
        <v>4.25081E-4</v>
      </c>
    </row>
    <row r="4351" spans="1:3" x14ac:dyDescent="0.15">
      <c r="A4351" t="s">
        <v>956</v>
      </c>
      <c r="B4351">
        <v>90.509699999999995</v>
      </c>
      <c r="C4351">
        <v>2.1460899999999999E-4</v>
      </c>
    </row>
    <row r="4352" spans="1:3" x14ac:dyDescent="0.15">
      <c r="A4352" t="s">
        <v>956</v>
      </c>
      <c r="B4352">
        <v>128</v>
      </c>
      <c r="C4352">
        <v>1.41638E-4</v>
      </c>
    </row>
    <row r="4353" spans="1:3" x14ac:dyDescent="0.15">
      <c r="A4353" t="s">
        <v>956</v>
      </c>
      <c r="B4353">
        <v>181.01929999999999</v>
      </c>
      <c r="C4353">
        <v>6.9797999999999998E-5</v>
      </c>
    </row>
    <row r="4354" spans="1:3" x14ac:dyDescent="0.15">
      <c r="A4354" t="s">
        <v>956</v>
      </c>
      <c r="B4354">
        <v>256</v>
      </c>
      <c r="C4354">
        <v>1.0625000000000001E-5</v>
      </c>
    </row>
    <row r="4355" spans="1:3" x14ac:dyDescent="0.15">
      <c r="A4355" t="s">
        <v>956</v>
      </c>
      <c r="B4355">
        <v>362.03870000000001</v>
      </c>
      <c r="C4355">
        <v>1.98E-7</v>
      </c>
    </row>
    <row r="4356" spans="1:3" x14ac:dyDescent="0.15">
      <c r="A4356" t="s">
        <v>956</v>
      </c>
      <c r="B4356">
        <v>512</v>
      </c>
      <c r="C4356">
        <v>0</v>
      </c>
    </row>
    <row r="4357" spans="1:3" x14ac:dyDescent="0.15">
      <c r="A4357" t="s">
        <v>956</v>
      </c>
      <c r="B4357">
        <v>724.07730000000004</v>
      </c>
      <c r="C4357">
        <v>0</v>
      </c>
    </row>
    <row r="4358" spans="1:3" x14ac:dyDescent="0.15">
      <c r="A4358" t="s">
        <v>957</v>
      </c>
      <c r="B4358">
        <v>2</v>
      </c>
      <c r="C4358">
        <v>7.9312399999999998E-4</v>
      </c>
    </row>
    <row r="4359" spans="1:3" x14ac:dyDescent="0.15">
      <c r="A4359" t="s">
        <v>957</v>
      </c>
      <c r="B4359">
        <v>2.8283999999999998</v>
      </c>
      <c r="C4359">
        <v>9.9850799999999995E-4</v>
      </c>
    </row>
    <row r="4360" spans="1:3" x14ac:dyDescent="0.15">
      <c r="A4360" t="s">
        <v>957</v>
      </c>
      <c r="B4360">
        <v>4</v>
      </c>
      <c r="C4360">
        <v>1.0167399999999999E-3</v>
      </c>
    </row>
    <row r="4361" spans="1:3" x14ac:dyDescent="0.15">
      <c r="A4361" t="s">
        <v>957</v>
      </c>
      <c r="B4361">
        <v>5.6569000000000003</v>
      </c>
      <c r="C4361">
        <v>8.78841E-4</v>
      </c>
    </row>
    <row r="4362" spans="1:3" x14ac:dyDescent="0.15">
      <c r="A4362" t="s">
        <v>957</v>
      </c>
      <c r="B4362">
        <v>8</v>
      </c>
      <c r="C4362">
        <v>8.1381499999999996E-4</v>
      </c>
    </row>
    <row r="4363" spans="1:3" x14ac:dyDescent="0.15">
      <c r="A4363" t="s">
        <v>957</v>
      </c>
      <c r="B4363">
        <v>11.313700000000001</v>
      </c>
      <c r="C4363">
        <v>7.7753399999999997E-4</v>
      </c>
    </row>
    <row r="4364" spans="1:3" x14ac:dyDescent="0.15">
      <c r="A4364" t="s">
        <v>957</v>
      </c>
      <c r="B4364">
        <v>16</v>
      </c>
      <c r="C4364">
        <v>6.3871900000000005E-4</v>
      </c>
    </row>
    <row r="4365" spans="1:3" x14ac:dyDescent="0.15">
      <c r="A4365" t="s">
        <v>957</v>
      </c>
      <c r="B4365">
        <v>22.627400000000002</v>
      </c>
      <c r="C4365">
        <v>5.6597600000000004E-4</v>
      </c>
    </row>
    <row r="4366" spans="1:3" x14ac:dyDescent="0.15">
      <c r="A4366" t="s">
        <v>957</v>
      </c>
      <c r="B4366">
        <v>32</v>
      </c>
      <c r="C4366">
        <v>5.7039299999999999E-4</v>
      </c>
    </row>
    <row r="4367" spans="1:3" x14ac:dyDescent="0.15">
      <c r="A4367" t="s">
        <v>957</v>
      </c>
      <c r="B4367">
        <v>45.254800000000003</v>
      </c>
      <c r="C4367">
        <v>6.7961300000000003E-4</v>
      </c>
    </row>
    <row r="4368" spans="1:3" x14ac:dyDescent="0.15">
      <c r="A4368" t="s">
        <v>957</v>
      </c>
      <c r="B4368">
        <v>64</v>
      </c>
      <c r="C4368">
        <v>8.0101E-4</v>
      </c>
    </row>
    <row r="4369" spans="1:3" x14ac:dyDescent="0.15">
      <c r="A4369" t="s">
        <v>957</v>
      </c>
      <c r="B4369">
        <v>90.509699999999995</v>
      </c>
      <c r="C4369">
        <v>7.7173400000000005E-4</v>
      </c>
    </row>
    <row r="4370" spans="1:3" x14ac:dyDescent="0.15">
      <c r="A4370" t="s">
        <v>957</v>
      </c>
      <c r="B4370">
        <v>128</v>
      </c>
      <c r="C4370">
        <v>5.6903200000000002E-4</v>
      </c>
    </row>
    <row r="4371" spans="1:3" x14ac:dyDescent="0.15">
      <c r="A4371" t="s">
        <v>957</v>
      </c>
      <c r="B4371">
        <v>181.01929999999999</v>
      </c>
      <c r="C4371">
        <v>4.0735800000000003E-4</v>
      </c>
    </row>
    <row r="4372" spans="1:3" x14ac:dyDescent="0.15">
      <c r="A4372" t="s">
        <v>957</v>
      </c>
      <c r="B4372">
        <v>256</v>
      </c>
      <c r="C4372">
        <v>2.5891400000000001E-4</v>
      </c>
    </row>
    <row r="4373" spans="1:3" x14ac:dyDescent="0.15">
      <c r="A4373" t="s">
        <v>957</v>
      </c>
      <c r="B4373">
        <v>362.03870000000001</v>
      </c>
      <c r="C4373">
        <v>1.18046E-4</v>
      </c>
    </row>
    <row r="4374" spans="1:3" x14ac:dyDescent="0.15">
      <c r="A4374" t="s">
        <v>957</v>
      </c>
      <c r="B4374">
        <v>512</v>
      </c>
      <c r="C4374">
        <v>1.8074E-5</v>
      </c>
    </row>
    <row r="4375" spans="1:3" x14ac:dyDescent="0.15">
      <c r="A4375" t="s">
        <v>957</v>
      </c>
      <c r="B4375">
        <v>724.07730000000004</v>
      </c>
      <c r="C4375">
        <v>3.3700000000000001E-7</v>
      </c>
    </row>
    <row r="4376" spans="1:3" x14ac:dyDescent="0.15">
      <c r="A4376" t="s">
        <v>958</v>
      </c>
      <c r="B4376">
        <v>2</v>
      </c>
      <c r="C4376">
        <v>1.563559E-3</v>
      </c>
    </row>
    <row r="4377" spans="1:3" x14ac:dyDescent="0.15">
      <c r="A4377" t="s">
        <v>958</v>
      </c>
      <c r="B4377">
        <v>2.8283999999999998</v>
      </c>
      <c r="C4377">
        <v>1.9449840000000001E-3</v>
      </c>
    </row>
    <row r="4378" spans="1:3" x14ac:dyDescent="0.15">
      <c r="A4378" t="s">
        <v>958</v>
      </c>
      <c r="B4378">
        <v>4</v>
      </c>
      <c r="C4378">
        <v>2.111557E-3</v>
      </c>
    </row>
    <row r="4379" spans="1:3" x14ac:dyDescent="0.15">
      <c r="A4379" t="s">
        <v>958</v>
      </c>
      <c r="B4379">
        <v>5.6569000000000003</v>
      </c>
      <c r="C4379">
        <v>2.0224409999999998E-3</v>
      </c>
    </row>
    <row r="4380" spans="1:3" x14ac:dyDescent="0.15">
      <c r="A4380" t="s">
        <v>958</v>
      </c>
      <c r="B4380">
        <v>8</v>
      </c>
      <c r="C4380">
        <v>1.7977239999999999E-3</v>
      </c>
    </row>
    <row r="4381" spans="1:3" x14ac:dyDescent="0.15">
      <c r="A4381" t="s">
        <v>958</v>
      </c>
      <c r="B4381">
        <v>11.313700000000001</v>
      </c>
      <c r="C4381">
        <v>1.560858E-3</v>
      </c>
    </row>
    <row r="4382" spans="1:3" x14ac:dyDescent="0.15">
      <c r="A4382" t="s">
        <v>958</v>
      </c>
      <c r="B4382">
        <v>16</v>
      </c>
      <c r="C4382">
        <v>1.3538339999999999E-3</v>
      </c>
    </row>
    <row r="4383" spans="1:3" x14ac:dyDescent="0.15">
      <c r="A4383" t="s">
        <v>958</v>
      </c>
      <c r="B4383">
        <v>22.627400000000002</v>
      </c>
      <c r="C4383">
        <v>1.0817450000000001E-3</v>
      </c>
    </row>
    <row r="4384" spans="1:3" x14ac:dyDescent="0.15">
      <c r="A4384" t="s">
        <v>958</v>
      </c>
      <c r="B4384">
        <v>32</v>
      </c>
      <c r="C4384">
        <v>7.2338899999999995E-4</v>
      </c>
    </row>
    <row r="4385" spans="1:3" x14ac:dyDescent="0.15">
      <c r="A4385" t="s">
        <v>958</v>
      </c>
      <c r="B4385">
        <v>45.254800000000003</v>
      </c>
      <c r="C4385">
        <v>6.8716199999999995E-4</v>
      </c>
    </row>
    <row r="4386" spans="1:3" x14ac:dyDescent="0.15">
      <c r="A4386" t="s">
        <v>958</v>
      </c>
      <c r="B4386">
        <v>64</v>
      </c>
      <c r="C4386">
        <v>7.9044399999999996E-4</v>
      </c>
    </row>
    <row r="4387" spans="1:3" x14ac:dyDescent="0.15">
      <c r="A4387" t="s">
        <v>958</v>
      </c>
      <c r="B4387">
        <v>90.509699999999995</v>
      </c>
      <c r="C4387">
        <v>8.5769700000000004E-4</v>
      </c>
    </row>
    <row r="4388" spans="1:3" x14ac:dyDescent="0.15">
      <c r="A4388" t="s">
        <v>958</v>
      </c>
      <c r="B4388">
        <v>128</v>
      </c>
      <c r="C4388">
        <v>8.3608200000000004E-4</v>
      </c>
    </row>
    <row r="4389" spans="1:3" x14ac:dyDescent="0.15">
      <c r="A4389" t="s">
        <v>958</v>
      </c>
      <c r="B4389">
        <v>181.01929999999999</v>
      </c>
      <c r="C4389">
        <v>4.2723400000000002E-4</v>
      </c>
    </row>
    <row r="4390" spans="1:3" x14ac:dyDescent="0.15">
      <c r="A4390" t="s">
        <v>958</v>
      </c>
      <c r="B4390">
        <v>256</v>
      </c>
      <c r="C4390">
        <v>6.5816999999999997E-5</v>
      </c>
    </row>
    <row r="4391" spans="1:3" x14ac:dyDescent="0.15">
      <c r="A4391" t="s">
        <v>958</v>
      </c>
      <c r="B4391">
        <v>362.03870000000001</v>
      </c>
      <c r="C4391">
        <v>1.2279999999999999E-6</v>
      </c>
    </row>
    <row r="4392" spans="1:3" x14ac:dyDescent="0.15">
      <c r="A4392" t="s">
        <v>958</v>
      </c>
      <c r="B4392">
        <v>512</v>
      </c>
      <c r="C4392">
        <v>1.0000000000000001E-9</v>
      </c>
    </row>
    <row r="4393" spans="1:3" x14ac:dyDescent="0.15">
      <c r="A4393" t="s">
        <v>958</v>
      </c>
      <c r="B4393">
        <v>724.07730000000004</v>
      </c>
      <c r="C4393">
        <v>0</v>
      </c>
    </row>
    <row r="4394" spans="1:3" x14ac:dyDescent="0.15">
      <c r="A4394" t="s">
        <v>959</v>
      </c>
      <c r="B4394">
        <v>2</v>
      </c>
      <c r="C4394">
        <v>1.3998859999999999E-3</v>
      </c>
    </row>
    <row r="4395" spans="1:3" x14ac:dyDescent="0.15">
      <c r="A4395" t="s">
        <v>959</v>
      </c>
      <c r="B4395">
        <v>2.8283999999999998</v>
      </c>
      <c r="C4395">
        <v>1.762469E-3</v>
      </c>
    </row>
    <row r="4396" spans="1:3" x14ac:dyDescent="0.15">
      <c r="A4396" t="s">
        <v>959</v>
      </c>
      <c r="B4396">
        <v>4</v>
      </c>
      <c r="C4396">
        <v>1.919542E-3</v>
      </c>
    </row>
    <row r="4397" spans="1:3" x14ac:dyDescent="0.15">
      <c r="A4397" t="s">
        <v>959</v>
      </c>
      <c r="B4397">
        <v>5.6569000000000003</v>
      </c>
      <c r="C4397">
        <v>1.6707270000000001E-3</v>
      </c>
    </row>
    <row r="4398" spans="1:3" x14ac:dyDescent="0.15">
      <c r="A4398" t="s">
        <v>959</v>
      </c>
      <c r="B4398">
        <v>8</v>
      </c>
      <c r="C4398">
        <v>1.1707899999999999E-3</v>
      </c>
    </row>
    <row r="4399" spans="1:3" x14ac:dyDescent="0.15">
      <c r="A4399" t="s">
        <v>959</v>
      </c>
      <c r="B4399">
        <v>11.313700000000001</v>
      </c>
      <c r="C4399">
        <v>9.7110499999999999E-4</v>
      </c>
    </row>
    <row r="4400" spans="1:3" x14ac:dyDescent="0.15">
      <c r="A4400" t="s">
        <v>959</v>
      </c>
      <c r="B4400">
        <v>16</v>
      </c>
      <c r="C4400">
        <v>8.7259299999999996E-4</v>
      </c>
    </row>
    <row r="4401" spans="1:3" x14ac:dyDescent="0.15">
      <c r="A4401" t="s">
        <v>959</v>
      </c>
      <c r="B4401">
        <v>22.627400000000002</v>
      </c>
      <c r="C4401">
        <v>7.71139E-4</v>
      </c>
    </row>
    <row r="4402" spans="1:3" x14ac:dyDescent="0.15">
      <c r="A4402" t="s">
        <v>959</v>
      </c>
      <c r="B4402">
        <v>32</v>
      </c>
      <c r="C4402">
        <v>7.7080499999999995E-4</v>
      </c>
    </row>
    <row r="4403" spans="1:3" x14ac:dyDescent="0.15">
      <c r="A4403" t="s">
        <v>959</v>
      </c>
      <c r="B4403">
        <v>45.254800000000003</v>
      </c>
      <c r="C4403">
        <v>1.028492E-3</v>
      </c>
    </row>
    <row r="4404" spans="1:3" x14ac:dyDescent="0.15">
      <c r="A4404" t="s">
        <v>959</v>
      </c>
      <c r="B4404">
        <v>64</v>
      </c>
      <c r="C4404">
        <v>1.191906E-3</v>
      </c>
    </row>
    <row r="4405" spans="1:3" x14ac:dyDescent="0.15">
      <c r="A4405" t="s">
        <v>959</v>
      </c>
      <c r="B4405">
        <v>90.509699999999995</v>
      </c>
      <c r="C4405">
        <v>1.282463E-3</v>
      </c>
    </row>
    <row r="4406" spans="1:3" x14ac:dyDescent="0.15">
      <c r="A4406" t="s">
        <v>959</v>
      </c>
      <c r="B4406">
        <v>128</v>
      </c>
      <c r="C4406">
        <v>1.2188749999999999E-3</v>
      </c>
    </row>
    <row r="4407" spans="1:3" x14ac:dyDescent="0.15">
      <c r="A4407" t="s">
        <v>959</v>
      </c>
      <c r="B4407">
        <v>181.01929999999999</v>
      </c>
      <c r="C4407">
        <v>6.12343E-4</v>
      </c>
    </row>
    <row r="4408" spans="1:3" x14ac:dyDescent="0.15">
      <c r="A4408" t="s">
        <v>959</v>
      </c>
      <c r="B4408">
        <v>256</v>
      </c>
      <c r="C4408">
        <v>9.3808999999999996E-5</v>
      </c>
    </row>
    <row r="4409" spans="1:3" x14ac:dyDescent="0.15">
      <c r="A4409" t="s">
        <v>959</v>
      </c>
      <c r="B4409">
        <v>362.03870000000001</v>
      </c>
      <c r="C4409">
        <v>1.7489999999999999E-6</v>
      </c>
    </row>
    <row r="4410" spans="1:3" x14ac:dyDescent="0.15">
      <c r="A4410" t="s">
        <v>959</v>
      </c>
      <c r="B4410">
        <v>512</v>
      </c>
      <c r="C4410">
        <v>1.0000000000000001E-9</v>
      </c>
    </row>
    <row r="4411" spans="1:3" x14ac:dyDescent="0.15">
      <c r="A4411" t="s">
        <v>959</v>
      </c>
      <c r="B4411">
        <v>724.07730000000004</v>
      </c>
      <c r="C4411">
        <v>0</v>
      </c>
    </row>
    <row r="4412" spans="1:3" x14ac:dyDescent="0.15">
      <c r="A4412" t="s">
        <v>961</v>
      </c>
      <c r="B4412">
        <v>2</v>
      </c>
      <c r="C4412">
        <v>9.8660000000000002E-4</v>
      </c>
    </row>
    <row r="4413" spans="1:3" x14ac:dyDescent="0.15">
      <c r="A4413" t="s">
        <v>961</v>
      </c>
      <c r="B4413">
        <v>2.8283999999999998</v>
      </c>
      <c r="C4413">
        <v>1.2297689999999999E-3</v>
      </c>
    </row>
    <row r="4414" spans="1:3" x14ac:dyDescent="0.15">
      <c r="A4414" t="s">
        <v>961</v>
      </c>
      <c r="B4414">
        <v>4</v>
      </c>
      <c r="C4414">
        <v>1.3151020000000001E-3</v>
      </c>
    </row>
    <row r="4415" spans="1:3" x14ac:dyDescent="0.15">
      <c r="A4415" t="s">
        <v>961</v>
      </c>
      <c r="B4415">
        <v>5.6569000000000003</v>
      </c>
      <c r="C4415">
        <v>1.1288540000000001E-3</v>
      </c>
    </row>
    <row r="4416" spans="1:3" x14ac:dyDescent="0.15">
      <c r="A4416" t="s">
        <v>961</v>
      </c>
      <c r="B4416">
        <v>8</v>
      </c>
      <c r="C4416">
        <v>7.47169E-4</v>
      </c>
    </row>
    <row r="4417" spans="1:3" x14ac:dyDescent="0.15">
      <c r="A4417" t="s">
        <v>961</v>
      </c>
      <c r="B4417">
        <v>11.313700000000001</v>
      </c>
      <c r="C4417">
        <v>6.4400099999999995E-4</v>
      </c>
    </row>
    <row r="4418" spans="1:3" x14ac:dyDescent="0.15">
      <c r="A4418" t="s">
        <v>961</v>
      </c>
      <c r="B4418">
        <v>16</v>
      </c>
      <c r="C4418">
        <v>7.2717799999999998E-4</v>
      </c>
    </row>
    <row r="4419" spans="1:3" x14ac:dyDescent="0.15">
      <c r="A4419" t="s">
        <v>961</v>
      </c>
      <c r="B4419">
        <v>22.627400000000002</v>
      </c>
      <c r="C4419">
        <v>7.54048E-4</v>
      </c>
    </row>
    <row r="4420" spans="1:3" x14ac:dyDescent="0.15">
      <c r="A4420" t="s">
        <v>961</v>
      </c>
      <c r="B4420">
        <v>32</v>
      </c>
      <c r="C4420">
        <v>6.2048799999999999E-4</v>
      </c>
    </row>
    <row r="4421" spans="1:3" x14ac:dyDescent="0.15">
      <c r="A4421" t="s">
        <v>961</v>
      </c>
      <c r="B4421">
        <v>45.254800000000003</v>
      </c>
      <c r="C4421">
        <v>5.1939900000000003E-4</v>
      </c>
    </row>
    <row r="4422" spans="1:3" x14ac:dyDescent="0.15">
      <c r="A4422" t="s">
        <v>961</v>
      </c>
      <c r="B4422">
        <v>64</v>
      </c>
      <c r="C4422">
        <v>6.4808699999999999E-4</v>
      </c>
    </row>
    <row r="4423" spans="1:3" x14ac:dyDescent="0.15">
      <c r="A4423" t="s">
        <v>961</v>
      </c>
      <c r="B4423">
        <v>90.509699999999995</v>
      </c>
      <c r="C4423">
        <v>7.9938000000000003E-4</v>
      </c>
    </row>
    <row r="4424" spans="1:3" x14ac:dyDescent="0.15">
      <c r="A4424" t="s">
        <v>961</v>
      </c>
      <c r="B4424">
        <v>128</v>
      </c>
      <c r="C4424">
        <v>7.6643299999999996E-4</v>
      </c>
    </row>
    <row r="4425" spans="1:3" x14ac:dyDescent="0.15">
      <c r="A4425" t="s">
        <v>961</v>
      </c>
      <c r="B4425">
        <v>181.01929999999999</v>
      </c>
      <c r="C4425">
        <v>3.8355399999999998E-4</v>
      </c>
    </row>
    <row r="4426" spans="1:3" x14ac:dyDescent="0.15">
      <c r="A4426" t="s">
        <v>961</v>
      </c>
      <c r="B4426">
        <v>256</v>
      </c>
      <c r="C4426">
        <v>5.8767999999999997E-5</v>
      </c>
    </row>
    <row r="4427" spans="1:3" x14ac:dyDescent="0.15">
      <c r="A4427" t="s">
        <v>961</v>
      </c>
      <c r="B4427">
        <v>362.03870000000001</v>
      </c>
      <c r="C4427">
        <v>1.096E-6</v>
      </c>
    </row>
    <row r="4428" spans="1:3" x14ac:dyDescent="0.15">
      <c r="A4428" t="s">
        <v>961</v>
      </c>
      <c r="B4428">
        <v>512</v>
      </c>
      <c r="C4428">
        <v>1.0000000000000001E-9</v>
      </c>
    </row>
    <row r="4429" spans="1:3" x14ac:dyDescent="0.15">
      <c r="A4429" t="s">
        <v>961</v>
      </c>
      <c r="B4429">
        <v>724.07730000000004</v>
      </c>
      <c r="C4429">
        <v>0</v>
      </c>
    </row>
    <row r="4430" spans="1:3" x14ac:dyDescent="0.15">
      <c r="A4430" t="s">
        <v>962</v>
      </c>
      <c r="B4430">
        <v>2</v>
      </c>
      <c r="C4430">
        <v>2.1942870000000001E-3</v>
      </c>
    </row>
    <row r="4431" spans="1:3" x14ac:dyDescent="0.15">
      <c r="A4431" t="s">
        <v>962</v>
      </c>
      <c r="B4431">
        <v>2.8283999999999998</v>
      </c>
      <c r="C4431">
        <v>2.0715529999999998E-3</v>
      </c>
    </row>
    <row r="4432" spans="1:3" x14ac:dyDescent="0.15">
      <c r="A4432" t="s">
        <v>962</v>
      </c>
      <c r="B4432">
        <v>4</v>
      </c>
      <c r="C4432">
        <v>2.1809080000000001E-3</v>
      </c>
    </row>
    <row r="4433" spans="1:3" x14ac:dyDescent="0.15">
      <c r="A4433" t="s">
        <v>962</v>
      </c>
      <c r="B4433">
        <v>5.6569000000000003</v>
      </c>
      <c r="C4433">
        <v>2.312499E-3</v>
      </c>
    </row>
    <row r="4434" spans="1:3" x14ac:dyDescent="0.15">
      <c r="A4434" t="s">
        <v>962</v>
      </c>
      <c r="B4434">
        <v>8</v>
      </c>
      <c r="C4434">
        <v>2.2404959999999998E-3</v>
      </c>
    </row>
    <row r="4435" spans="1:3" x14ac:dyDescent="0.15">
      <c r="A4435" t="s">
        <v>962</v>
      </c>
      <c r="B4435">
        <v>11.313700000000001</v>
      </c>
      <c r="C4435">
        <v>1.9867999999999999E-3</v>
      </c>
    </row>
    <row r="4436" spans="1:3" x14ac:dyDescent="0.15">
      <c r="A4436" t="s">
        <v>962</v>
      </c>
      <c r="B4436">
        <v>16</v>
      </c>
      <c r="C4436">
        <v>1.7514760000000001E-3</v>
      </c>
    </row>
    <row r="4437" spans="1:3" x14ac:dyDescent="0.15">
      <c r="A4437" t="s">
        <v>962</v>
      </c>
      <c r="B4437">
        <v>22.627400000000002</v>
      </c>
      <c r="C4437">
        <v>1.625818E-3</v>
      </c>
    </row>
    <row r="4438" spans="1:3" x14ac:dyDescent="0.15">
      <c r="A4438" t="s">
        <v>962</v>
      </c>
      <c r="B4438">
        <v>32</v>
      </c>
      <c r="C4438">
        <v>1.446927E-3</v>
      </c>
    </row>
    <row r="4439" spans="1:3" x14ac:dyDescent="0.15">
      <c r="A4439" t="s">
        <v>962</v>
      </c>
      <c r="B4439">
        <v>45.254800000000003</v>
      </c>
      <c r="C4439">
        <v>9.6475900000000004E-4</v>
      </c>
    </row>
    <row r="4440" spans="1:3" x14ac:dyDescent="0.15">
      <c r="A4440" t="s">
        <v>962</v>
      </c>
      <c r="B4440">
        <v>64</v>
      </c>
      <c r="C4440">
        <v>4.8324899999999999E-4</v>
      </c>
    </row>
    <row r="4441" spans="1:3" x14ac:dyDescent="0.15">
      <c r="A4441" t="s">
        <v>962</v>
      </c>
      <c r="B4441">
        <v>90.509699999999995</v>
      </c>
      <c r="C4441">
        <v>2.0642999999999999E-4</v>
      </c>
    </row>
    <row r="4442" spans="1:3" x14ac:dyDescent="0.15">
      <c r="A4442" t="s">
        <v>962</v>
      </c>
      <c r="B4442">
        <v>128</v>
      </c>
      <c r="C4442">
        <v>3.1809E-5</v>
      </c>
    </row>
    <row r="4443" spans="1:3" x14ac:dyDescent="0.15">
      <c r="A4443" t="s">
        <v>962</v>
      </c>
      <c r="B4443">
        <v>181.01929999999999</v>
      </c>
      <c r="C4443">
        <v>5.9400000000000005E-7</v>
      </c>
    </row>
    <row r="4444" spans="1:3" x14ac:dyDescent="0.15">
      <c r="A4444" t="s">
        <v>962</v>
      </c>
      <c r="B4444">
        <v>256</v>
      </c>
      <c r="C4444">
        <v>1.0000000000000001E-9</v>
      </c>
    </row>
    <row r="4445" spans="1:3" x14ac:dyDescent="0.15">
      <c r="A4445" t="s">
        <v>962</v>
      </c>
      <c r="B4445">
        <v>362.03870000000001</v>
      </c>
      <c r="C4445">
        <v>0</v>
      </c>
    </row>
    <row r="4446" spans="1:3" x14ac:dyDescent="0.15">
      <c r="A4446" t="s">
        <v>962</v>
      </c>
      <c r="B4446">
        <v>512</v>
      </c>
      <c r="C4446">
        <v>0</v>
      </c>
    </row>
    <row r="4447" spans="1:3" x14ac:dyDescent="0.15">
      <c r="A4447" t="s">
        <v>962</v>
      </c>
      <c r="B4447">
        <v>724.07730000000004</v>
      </c>
      <c r="C4447">
        <v>0</v>
      </c>
    </row>
    <row r="4448" spans="1:3" x14ac:dyDescent="0.15">
      <c r="A4448" t="s">
        <v>963</v>
      </c>
      <c r="B4448">
        <v>2</v>
      </c>
      <c r="C4448">
        <v>1.06876E-3</v>
      </c>
    </row>
    <row r="4449" spans="1:3" x14ac:dyDescent="0.15">
      <c r="A4449" t="s">
        <v>963</v>
      </c>
      <c r="B4449">
        <v>2.8283999999999998</v>
      </c>
      <c r="C4449">
        <v>1.190506E-3</v>
      </c>
    </row>
    <row r="4450" spans="1:3" x14ac:dyDescent="0.15">
      <c r="A4450" t="s">
        <v>963</v>
      </c>
      <c r="B4450">
        <v>4</v>
      </c>
      <c r="C4450">
        <v>1.1637819999999999E-3</v>
      </c>
    </row>
    <row r="4451" spans="1:3" x14ac:dyDescent="0.15">
      <c r="A4451" t="s">
        <v>963</v>
      </c>
      <c r="B4451">
        <v>5.6569000000000003</v>
      </c>
      <c r="C4451">
        <v>1.0323039999999999E-3</v>
      </c>
    </row>
    <row r="4452" spans="1:3" x14ac:dyDescent="0.15">
      <c r="A4452" t="s">
        <v>963</v>
      </c>
      <c r="B4452">
        <v>8</v>
      </c>
      <c r="C4452">
        <v>9.4825900000000002E-4</v>
      </c>
    </row>
    <row r="4453" spans="1:3" x14ac:dyDescent="0.15">
      <c r="A4453" t="s">
        <v>963</v>
      </c>
      <c r="B4453">
        <v>11.313700000000001</v>
      </c>
      <c r="C4453">
        <v>9.6191600000000005E-4</v>
      </c>
    </row>
    <row r="4454" spans="1:3" x14ac:dyDescent="0.15">
      <c r="A4454" t="s">
        <v>963</v>
      </c>
      <c r="B4454">
        <v>16</v>
      </c>
      <c r="C4454">
        <v>9.3923400000000005E-4</v>
      </c>
    </row>
    <row r="4455" spans="1:3" x14ac:dyDescent="0.15">
      <c r="A4455" t="s">
        <v>963</v>
      </c>
      <c r="B4455">
        <v>22.627400000000002</v>
      </c>
      <c r="C4455">
        <v>7.6269200000000004E-4</v>
      </c>
    </row>
    <row r="4456" spans="1:3" x14ac:dyDescent="0.15">
      <c r="A4456" t="s">
        <v>963</v>
      </c>
      <c r="B4456">
        <v>32</v>
      </c>
      <c r="C4456">
        <v>4.9047100000000003E-4</v>
      </c>
    </row>
    <row r="4457" spans="1:3" x14ac:dyDescent="0.15">
      <c r="A4457" t="s">
        <v>963</v>
      </c>
      <c r="B4457">
        <v>45.254800000000003</v>
      </c>
      <c r="C4457">
        <v>3.9710899999999998E-4</v>
      </c>
    </row>
    <row r="4458" spans="1:3" x14ac:dyDescent="0.15">
      <c r="A4458" t="s">
        <v>963</v>
      </c>
      <c r="B4458">
        <v>64</v>
      </c>
      <c r="C4458">
        <v>4.0887600000000002E-4</v>
      </c>
    </row>
    <row r="4459" spans="1:3" x14ac:dyDescent="0.15">
      <c r="A4459" t="s">
        <v>963</v>
      </c>
      <c r="B4459">
        <v>90.509699999999995</v>
      </c>
      <c r="C4459">
        <v>2.7157400000000001E-4</v>
      </c>
    </row>
    <row r="4460" spans="1:3" x14ac:dyDescent="0.15">
      <c r="A4460" t="s">
        <v>963</v>
      </c>
      <c r="B4460">
        <v>128</v>
      </c>
      <c r="C4460">
        <v>1.12416E-4</v>
      </c>
    </row>
    <row r="4461" spans="1:3" x14ac:dyDescent="0.15">
      <c r="A4461" t="s">
        <v>963</v>
      </c>
      <c r="B4461">
        <v>181.01929999999999</v>
      </c>
      <c r="C4461">
        <v>4.5269000000000003E-5</v>
      </c>
    </row>
    <row r="4462" spans="1:3" x14ac:dyDescent="0.15">
      <c r="A4462" t="s">
        <v>963</v>
      </c>
      <c r="B4462">
        <v>256</v>
      </c>
      <c r="C4462">
        <v>6.9260000000000003E-6</v>
      </c>
    </row>
    <row r="4463" spans="1:3" x14ac:dyDescent="0.15">
      <c r="A4463" t="s">
        <v>963</v>
      </c>
      <c r="B4463">
        <v>362.03870000000001</v>
      </c>
      <c r="C4463">
        <v>1.29E-7</v>
      </c>
    </row>
    <row r="4464" spans="1:3" x14ac:dyDescent="0.15">
      <c r="A4464" t="s">
        <v>963</v>
      </c>
      <c r="B4464">
        <v>512</v>
      </c>
      <c r="C4464">
        <v>0</v>
      </c>
    </row>
    <row r="4465" spans="1:3" x14ac:dyDescent="0.15">
      <c r="A4465" t="s">
        <v>963</v>
      </c>
      <c r="B4465">
        <v>724.07730000000004</v>
      </c>
      <c r="C4465">
        <v>0</v>
      </c>
    </row>
    <row r="4466" spans="1:3" x14ac:dyDescent="0.15">
      <c r="A4466" t="s">
        <v>964</v>
      </c>
      <c r="B4466">
        <v>2</v>
      </c>
      <c r="C4466">
        <v>6.5996499999999999E-4</v>
      </c>
    </row>
    <row r="4467" spans="1:3" x14ac:dyDescent="0.15">
      <c r="A4467" t="s">
        <v>964</v>
      </c>
      <c r="B4467">
        <v>2.8283999999999998</v>
      </c>
      <c r="C4467">
        <v>8.8166000000000004E-4</v>
      </c>
    </row>
    <row r="4468" spans="1:3" x14ac:dyDescent="0.15">
      <c r="A4468" t="s">
        <v>964</v>
      </c>
      <c r="B4468">
        <v>4</v>
      </c>
      <c r="C4468">
        <v>1.0953149999999999E-3</v>
      </c>
    </row>
    <row r="4469" spans="1:3" x14ac:dyDescent="0.15">
      <c r="A4469" t="s">
        <v>964</v>
      </c>
      <c r="B4469">
        <v>5.6569000000000003</v>
      </c>
      <c r="C4469">
        <v>1.152248E-3</v>
      </c>
    </row>
    <row r="4470" spans="1:3" x14ac:dyDescent="0.15">
      <c r="A4470" t="s">
        <v>964</v>
      </c>
      <c r="B4470">
        <v>8</v>
      </c>
      <c r="C4470">
        <v>1.026585E-3</v>
      </c>
    </row>
    <row r="4471" spans="1:3" x14ac:dyDescent="0.15">
      <c r="A4471" t="s">
        <v>964</v>
      </c>
      <c r="B4471">
        <v>11.313700000000001</v>
      </c>
      <c r="C4471">
        <v>7.9235199999999997E-4</v>
      </c>
    </row>
    <row r="4472" spans="1:3" x14ac:dyDescent="0.15">
      <c r="A4472" t="s">
        <v>964</v>
      </c>
      <c r="B4472">
        <v>16</v>
      </c>
      <c r="C4472">
        <v>5.7038300000000004E-4</v>
      </c>
    </row>
    <row r="4473" spans="1:3" x14ac:dyDescent="0.15">
      <c r="A4473" t="s">
        <v>964</v>
      </c>
      <c r="B4473">
        <v>22.627400000000002</v>
      </c>
      <c r="C4473">
        <v>4.4023E-4</v>
      </c>
    </row>
    <row r="4474" spans="1:3" x14ac:dyDescent="0.15">
      <c r="A4474" t="s">
        <v>964</v>
      </c>
      <c r="B4474">
        <v>32</v>
      </c>
      <c r="C4474">
        <v>3.5861900000000002E-4</v>
      </c>
    </row>
    <row r="4475" spans="1:3" x14ac:dyDescent="0.15">
      <c r="A4475" t="s">
        <v>964</v>
      </c>
      <c r="B4475">
        <v>45.254800000000003</v>
      </c>
      <c r="C4475">
        <v>3.08165E-4</v>
      </c>
    </row>
    <row r="4476" spans="1:3" x14ac:dyDescent="0.15">
      <c r="A4476" t="s">
        <v>964</v>
      </c>
      <c r="B4476">
        <v>64</v>
      </c>
      <c r="C4476">
        <v>3.21737E-4</v>
      </c>
    </row>
    <row r="4477" spans="1:3" x14ac:dyDescent="0.15">
      <c r="A4477" t="s">
        <v>964</v>
      </c>
      <c r="B4477">
        <v>90.509699999999995</v>
      </c>
      <c r="C4477">
        <v>3.5191399999999999E-4</v>
      </c>
    </row>
    <row r="4478" spans="1:3" x14ac:dyDescent="0.15">
      <c r="A4478" t="s">
        <v>964</v>
      </c>
      <c r="B4478">
        <v>128</v>
      </c>
      <c r="C4478">
        <v>3.3278600000000001E-4</v>
      </c>
    </row>
    <row r="4479" spans="1:3" x14ac:dyDescent="0.15">
      <c r="A4479" t="s">
        <v>964</v>
      </c>
      <c r="B4479">
        <v>181.01929999999999</v>
      </c>
      <c r="C4479">
        <v>1.6385099999999999E-4</v>
      </c>
    </row>
    <row r="4480" spans="1:3" x14ac:dyDescent="0.15">
      <c r="A4480" t="s">
        <v>964</v>
      </c>
      <c r="B4480">
        <v>256</v>
      </c>
      <c r="C4480">
        <v>2.4856999999999999E-5</v>
      </c>
    </row>
    <row r="4481" spans="1:3" x14ac:dyDescent="0.15">
      <c r="A4481" t="s">
        <v>964</v>
      </c>
      <c r="B4481">
        <v>362.03870000000001</v>
      </c>
      <c r="C4481">
        <v>4.63E-7</v>
      </c>
    </row>
    <row r="4482" spans="1:3" x14ac:dyDescent="0.15">
      <c r="A4482" t="s">
        <v>964</v>
      </c>
      <c r="B4482">
        <v>512</v>
      </c>
      <c r="C4482">
        <v>1.0000000000000001E-9</v>
      </c>
    </row>
    <row r="4483" spans="1:3" x14ac:dyDescent="0.15">
      <c r="A4483" t="s">
        <v>964</v>
      </c>
      <c r="B4483">
        <v>724.07730000000004</v>
      </c>
      <c r="C4483">
        <v>0</v>
      </c>
    </row>
    <row r="4484" spans="1:3" x14ac:dyDescent="0.15">
      <c r="A4484" t="s">
        <v>965</v>
      </c>
      <c r="B4484">
        <v>2</v>
      </c>
      <c r="C4484">
        <v>9.8774299999999991E-4</v>
      </c>
    </row>
    <row r="4485" spans="1:3" x14ac:dyDescent="0.15">
      <c r="A4485" t="s">
        <v>965</v>
      </c>
      <c r="B4485">
        <v>2.8283999999999998</v>
      </c>
      <c r="C4485">
        <v>1.22912E-3</v>
      </c>
    </row>
    <row r="4486" spans="1:3" x14ac:dyDescent="0.15">
      <c r="A4486" t="s">
        <v>965</v>
      </c>
      <c r="B4486">
        <v>4</v>
      </c>
      <c r="C4486">
        <v>1.427649E-3</v>
      </c>
    </row>
    <row r="4487" spans="1:3" x14ac:dyDescent="0.15">
      <c r="A4487" t="s">
        <v>965</v>
      </c>
      <c r="B4487">
        <v>5.6569000000000003</v>
      </c>
      <c r="C4487">
        <v>1.491816E-3</v>
      </c>
    </row>
    <row r="4488" spans="1:3" x14ac:dyDescent="0.15">
      <c r="A4488" t="s">
        <v>965</v>
      </c>
      <c r="B4488">
        <v>8</v>
      </c>
      <c r="C4488">
        <v>1.443628E-3</v>
      </c>
    </row>
    <row r="4489" spans="1:3" x14ac:dyDescent="0.15">
      <c r="A4489" t="s">
        <v>965</v>
      </c>
      <c r="B4489">
        <v>11.313700000000001</v>
      </c>
      <c r="C4489">
        <v>1.3160229999999999E-3</v>
      </c>
    </row>
    <row r="4490" spans="1:3" x14ac:dyDescent="0.15">
      <c r="A4490" t="s">
        <v>965</v>
      </c>
      <c r="B4490">
        <v>16</v>
      </c>
      <c r="C4490">
        <v>1.1526920000000001E-3</v>
      </c>
    </row>
    <row r="4491" spans="1:3" x14ac:dyDescent="0.15">
      <c r="A4491" t="s">
        <v>965</v>
      </c>
      <c r="B4491">
        <v>22.627400000000002</v>
      </c>
      <c r="C4491">
        <v>9.828599999999999E-4</v>
      </c>
    </row>
    <row r="4492" spans="1:3" x14ac:dyDescent="0.15">
      <c r="A4492" t="s">
        <v>965</v>
      </c>
      <c r="B4492">
        <v>32</v>
      </c>
      <c r="C4492">
        <v>6.8248199999999999E-4</v>
      </c>
    </row>
    <row r="4493" spans="1:3" x14ac:dyDescent="0.15">
      <c r="A4493" t="s">
        <v>965</v>
      </c>
      <c r="B4493">
        <v>45.254800000000003</v>
      </c>
      <c r="C4493">
        <v>2.6801599999999999E-4</v>
      </c>
    </row>
    <row r="4494" spans="1:3" x14ac:dyDescent="0.15">
      <c r="A4494" t="s">
        <v>965</v>
      </c>
      <c r="B4494">
        <v>64</v>
      </c>
      <c r="C4494">
        <v>6.5504000000000002E-5</v>
      </c>
    </row>
    <row r="4495" spans="1:3" x14ac:dyDescent="0.15">
      <c r="A4495" t="s">
        <v>965</v>
      </c>
      <c r="B4495">
        <v>90.509699999999995</v>
      </c>
      <c r="C4495">
        <v>2.6347999999999999E-5</v>
      </c>
    </row>
    <row r="4496" spans="1:3" x14ac:dyDescent="0.15">
      <c r="A4496" t="s">
        <v>965</v>
      </c>
      <c r="B4496">
        <v>128</v>
      </c>
      <c r="C4496">
        <v>2.0805000000000002E-5</v>
      </c>
    </row>
    <row r="4497" spans="1:3" x14ac:dyDescent="0.15">
      <c r="A4497" t="s">
        <v>965</v>
      </c>
      <c r="B4497">
        <v>181.01929999999999</v>
      </c>
      <c r="C4497">
        <v>1.3611000000000001E-5</v>
      </c>
    </row>
    <row r="4498" spans="1:3" x14ac:dyDescent="0.15">
      <c r="A4498" t="s">
        <v>965</v>
      </c>
      <c r="B4498">
        <v>256</v>
      </c>
      <c r="C4498">
        <v>2.137E-6</v>
      </c>
    </row>
    <row r="4499" spans="1:3" x14ac:dyDescent="0.15">
      <c r="A4499" t="s">
        <v>965</v>
      </c>
      <c r="B4499">
        <v>362.03870000000001</v>
      </c>
      <c r="C4499">
        <v>4.0000000000000001E-8</v>
      </c>
    </row>
    <row r="4500" spans="1:3" x14ac:dyDescent="0.15">
      <c r="A4500" t="s">
        <v>965</v>
      </c>
      <c r="B4500">
        <v>512</v>
      </c>
      <c r="C4500">
        <v>0</v>
      </c>
    </row>
    <row r="4501" spans="1:3" x14ac:dyDescent="0.15">
      <c r="A4501" t="s">
        <v>965</v>
      </c>
      <c r="B4501">
        <v>724.07730000000004</v>
      </c>
      <c r="C4501">
        <v>0</v>
      </c>
    </row>
    <row r="4502" spans="1:3" x14ac:dyDescent="0.15">
      <c r="A4502" t="s">
        <v>966</v>
      </c>
      <c r="B4502">
        <v>2</v>
      </c>
      <c r="C4502">
        <v>8.8996099999999999E-4</v>
      </c>
    </row>
    <row r="4503" spans="1:3" x14ac:dyDescent="0.15">
      <c r="A4503" t="s">
        <v>966</v>
      </c>
      <c r="B4503">
        <v>2.8283999999999998</v>
      </c>
      <c r="C4503">
        <v>1.043275E-3</v>
      </c>
    </row>
    <row r="4504" spans="1:3" x14ac:dyDescent="0.15">
      <c r="A4504" t="s">
        <v>966</v>
      </c>
      <c r="B4504">
        <v>4</v>
      </c>
      <c r="C4504">
        <v>1.090653E-3</v>
      </c>
    </row>
    <row r="4505" spans="1:3" x14ac:dyDescent="0.15">
      <c r="A4505" t="s">
        <v>966</v>
      </c>
      <c r="B4505">
        <v>5.6569000000000003</v>
      </c>
      <c r="C4505">
        <v>1.0026760000000001E-3</v>
      </c>
    </row>
    <row r="4506" spans="1:3" x14ac:dyDescent="0.15">
      <c r="A4506" t="s">
        <v>966</v>
      </c>
      <c r="B4506">
        <v>8</v>
      </c>
      <c r="C4506">
        <v>9.9289499999999993E-4</v>
      </c>
    </row>
    <row r="4507" spans="1:3" x14ac:dyDescent="0.15">
      <c r="A4507" t="s">
        <v>966</v>
      </c>
      <c r="B4507">
        <v>11.313700000000001</v>
      </c>
      <c r="C4507">
        <v>1.053305E-3</v>
      </c>
    </row>
    <row r="4508" spans="1:3" x14ac:dyDescent="0.15">
      <c r="A4508" t="s">
        <v>966</v>
      </c>
      <c r="B4508">
        <v>16</v>
      </c>
      <c r="C4508">
        <v>9.43142E-4</v>
      </c>
    </row>
    <row r="4509" spans="1:3" x14ac:dyDescent="0.15">
      <c r="A4509" t="s">
        <v>966</v>
      </c>
      <c r="B4509">
        <v>22.627400000000002</v>
      </c>
      <c r="C4509">
        <v>7.1125699999999997E-4</v>
      </c>
    </row>
    <row r="4510" spans="1:3" x14ac:dyDescent="0.15">
      <c r="A4510" t="s">
        <v>966</v>
      </c>
      <c r="B4510">
        <v>32</v>
      </c>
      <c r="C4510">
        <v>6.4291200000000004E-4</v>
      </c>
    </row>
    <row r="4511" spans="1:3" x14ac:dyDescent="0.15">
      <c r="A4511" t="s">
        <v>966</v>
      </c>
      <c r="B4511">
        <v>45.254800000000003</v>
      </c>
      <c r="C4511">
        <v>6.9578499999999998E-4</v>
      </c>
    </row>
    <row r="4512" spans="1:3" x14ac:dyDescent="0.15">
      <c r="A4512" t="s">
        <v>966</v>
      </c>
      <c r="B4512">
        <v>64</v>
      </c>
      <c r="C4512">
        <v>6.2064300000000004E-4</v>
      </c>
    </row>
    <row r="4513" spans="1:3" x14ac:dyDescent="0.15">
      <c r="A4513" t="s">
        <v>966</v>
      </c>
      <c r="B4513">
        <v>90.509699999999995</v>
      </c>
      <c r="C4513">
        <v>2.9206300000000001E-4</v>
      </c>
    </row>
    <row r="4514" spans="1:3" x14ac:dyDescent="0.15">
      <c r="A4514" t="s">
        <v>966</v>
      </c>
      <c r="B4514">
        <v>128</v>
      </c>
      <c r="C4514">
        <v>9.0628E-5</v>
      </c>
    </row>
    <row r="4515" spans="1:3" x14ac:dyDescent="0.15">
      <c r="A4515" t="s">
        <v>966</v>
      </c>
      <c r="B4515">
        <v>181.01929999999999</v>
      </c>
      <c r="C4515">
        <v>4.4569E-5</v>
      </c>
    </row>
    <row r="4516" spans="1:3" x14ac:dyDescent="0.15">
      <c r="A4516" t="s">
        <v>966</v>
      </c>
      <c r="B4516">
        <v>256</v>
      </c>
      <c r="C4516">
        <v>6.8669999999999996E-6</v>
      </c>
    </row>
    <row r="4517" spans="1:3" x14ac:dyDescent="0.15">
      <c r="A4517" t="s">
        <v>966</v>
      </c>
      <c r="B4517">
        <v>362.03870000000001</v>
      </c>
      <c r="C4517">
        <v>1.2800000000000001E-7</v>
      </c>
    </row>
    <row r="4518" spans="1:3" x14ac:dyDescent="0.15">
      <c r="A4518" t="s">
        <v>966</v>
      </c>
      <c r="B4518">
        <v>512</v>
      </c>
      <c r="C4518">
        <v>0</v>
      </c>
    </row>
    <row r="4519" spans="1:3" x14ac:dyDescent="0.15">
      <c r="A4519" t="s">
        <v>966</v>
      </c>
      <c r="B4519">
        <v>724.07730000000004</v>
      </c>
      <c r="C4519">
        <v>0</v>
      </c>
    </row>
    <row r="4520" spans="1:3" x14ac:dyDescent="0.15">
      <c r="A4520" t="s">
        <v>967</v>
      </c>
      <c r="B4520">
        <v>2</v>
      </c>
      <c r="C4520">
        <v>7.3824800000000005E-4</v>
      </c>
    </row>
    <row r="4521" spans="1:3" x14ac:dyDescent="0.15">
      <c r="A4521" t="s">
        <v>967</v>
      </c>
      <c r="B4521">
        <v>2.8283999999999998</v>
      </c>
      <c r="C4521">
        <v>1.002438E-3</v>
      </c>
    </row>
    <row r="4522" spans="1:3" x14ac:dyDescent="0.15">
      <c r="A4522" t="s">
        <v>967</v>
      </c>
      <c r="B4522">
        <v>4</v>
      </c>
      <c r="C4522">
        <v>1.1920839999999999E-3</v>
      </c>
    </row>
    <row r="4523" spans="1:3" x14ac:dyDescent="0.15">
      <c r="A4523" t="s">
        <v>967</v>
      </c>
      <c r="B4523">
        <v>5.6569000000000003</v>
      </c>
      <c r="C4523">
        <v>1.0968620000000001E-3</v>
      </c>
    </row>
    <row r="4524" spans="1:3" x14ac:dyDescent="0.15">
      <c r="A4524" t="s">
        <v>967</v>
      </c>
      <c r="B4524">
        <v>8</v>
      </c>
      <c r="C4524">
        <v>7.8986799999999999E-4</v>
      </c>
    </row>
    <row r="4525" spans="1:3" x14ac:dyDescent="0.15">
      <c r="A4525" t="s">
        <v>967</v>
      </c>
      <c r="B4525">
        <v>11.313700000000001</v>
      </c>
      <c r="C4525">
        <v>6.77766E-4</v>
      </c>
    </row>
    <row r="4526" spans="1:3" x14ac:dyDescent="0.15">
      <c r="A4526" t="s">
        <v>967</v>
      </c>
      <c r="B4526">
        <v>16</v>
      </c>
      <c r="C4526">
        <v>6.6714499999999996E-4</v>
      </c>
    </row>
    <row r="4527" spans="1:3" x14ac:dyDescent="0.15">
      <c r="A4527" t="s">
        <v>967</v>
      </c>
      <c r="B4527">
        <v>22.627400000000002</v>
      </c>
      <c r="C4527">
        <v>7.71531E-4</v>
      </c>
    </row>
    <row r="4528" spans="1:3" x14ac:dyDescent="0.15">
      <c r="A4528" t="s">
        <v>967</v>
      </c>
      <c r="B4528">
        <v>32</v>
      </c>
      <c r="C4528">
        <v>9.6403799999999996E-4</v>
      </c>
    </row>
    <row r="4529" spans="1:3" x14ac:dyDescent="0.15">
      <c r="A4529" t="s">
        <v>967</v>
      </c>
      <c r="B4529">
        <v>45.254800000000003</v>
      </c>
      <c r="C4529">
        <v>9.9807499999999996E-4</v>
      </c>
    </row>
    <row r="4530" spans="1:3" x14ac:dyDescent="0.15">
      <c r="A4530" t="s">
        <v>967</v>
      </c>
      <c r="B4530">
        <v>64</v>
      </c>
      <c r="C4530">
        <v>9.2167799999999999E-4</v>
      </c>
    </row>
    <row r="4531" spans="1:3" x14ac:dyDescent="0.15">
      <c r="A4531" t="s">
        <v>967</v>
      </c>
      <c r="B4531">
        <v>90.509699999999995</v>
      </c>
      <c r="C4531">
        <v>7.1403999999999999E-4</v>
      </c>
    </row>
    <row r="4532" spans="1:3" x14ac:dyDescent="0.15">
      <c r="A4532" t="s">
        <v>967</v>
      </c>
      <c r="B4532">
        <v>128</v>
      </c>
      <c r="C4532">
        <v>4.1556399999999999E-4</v>
      </c>
    </row>
    <row r="4533" spans="1:3" x14ac:dyDescent="0.15">
      <c r="A4533" t="s">
        <v>967</v>
      </c>
      <c r="B4533">
        <v>181.01929999999999</v>
      </c>
      <c r="C4533">
        <v>1.83566E-4</v>
      </c>
    </row>
    <row r="4534" spans="1:3" x14ac:dyDescent="0.15">
      <c r="A4534" t="s">
        <v>967</v>
      </c>
      <c r="B4534">
        <v>256</v>
      </c>
      <c r="C4534">
        <v>2.8008999999999999E-5</v>
      </c>
    </row>
    <row r="4535" spans="1:3" x14ac:dyDescent="0.15">
      <c r="A4535" t="s">
        <v>967</v>
      </c>
      <c r="B4535">
        <v>362.03870000000001</v>
      </c>
      <c r="C4535">
        <v>5.2200000000000004E-7</v>
      </c>
    </row>
    <row r="4536" spans="1:3" x14ac:dyDescent="0.15">
      <c r="A4536" t="s">
        <v>967</v>
      </c>
      <c r="B4536">
        <v>512</v>
      </c>
      <c r="C4536">
        <v>0</v>
      </c>
    </row>
    <row r="4537" spans="1:3" x14ac:dyDescent="0.15">
      <c r="A4537" t="s">
        <v>967</v>
      </c>
      <c r="B4537">
        <v>724.07730000000004</v>
      </c>
      <c r="C4537">
        <v>0</v>
      </c>
    </row>
    <row r="4538" spans="1:3" x14ac:dyDescent="0.15">
      <c r="A4538" t="s">
        <v>968</v>
      </c>
      <c r="B4538">
        <v>2</v>
      </c>
      <c r="C4538">
        <v>1.314597E-3</v>
      </c>
    </row>
    <row r="4539" spans="1:3" x14ac:dyDescent="0.15">
      <c r="A4539" t="s">
        <v>968</v>
      </c>
      <c r="B4539">
        <v>2.8283999999999998</v>
      </c>
      <c r="C4539">
        <v>1.527062E-3</v>
      </c>
    </row>
    <row r="4540" spans="1:3" x14ac:dyDescent="0.15">
      <c r="A4540" t="s">
        <v>968</v>
      </c>
      <c r="B4540">
        <v>4</v>
      </c>
      <c r="C4540">
        <v>1.4517740000000001E-3</v>
      </c>
    </row>
    <row r="4541" spans="1:3" x14ac:dyDescent="0.15">
      <c r="A4541" t="s">
        <v>968</v>
      </c>
      <c r="B4541">
        <v>5.6569000000000003</v>
      </c>
      <c r="C4541">
        <v>1.2050660000000001E-3</v>
      </c>
    </row>
    <row r="4542" spans="1:3" x14ac:dyDescent="0.15">
      <c r="A4542" t="s">
        <v>968</v>
      </c>
      <c r="B4542">
        <v>8</v>
      </c>
      <c r="C4542">
        <v>1.010892E-3</v>
      </c>
    </row>
    <row r="4543" spans="1:3" x14ac:dyDescent="0.15">
      <c r="A4543" t="s">
        <v>968</v>
      </c>
      <c r="B4543">
        <v>11.313700000000001</v>
      </c>
      <c r="C4543">
        <v>9.5149799999999995E-4</v>
      </c>
    </row>
    <row r="4544" spans="1:3" x14ac:dyDescent="0.15">
      <c r="A4544" t="s">
        <v>968</v>
      </c>
      <c r="B4544">
        <v>16</v>
      </c>
      <c r="C4544">
        <v>7.8930799999999996E-4</v>
      </c>
    </row>
    <row r="4545" spans="1:3" x14ac:dyDescent="0.15">
      <c r="A4545" t="s">
        <v>968</v>
      </c>
      <c r="B4545">
        <v>22.627400000000002</v>
      </c>
      <c r="C4545">
        <v>6.3651799999999998E-4</v>
      </c>
    </row>
    <row r="4546" spans="1:3" x14ac:dyDescent="0.15">
      <c r="A4546" t="s">
        <v>968</v>
      </c>
      <c r="B4546">
        <v>32</v>
      </c>
      <c r="C4546">
        <v>7.4001000000000004E-4</v>
      </c>
    </row>
    <row r="4547" spans="1:3" x14ac:dyDescent="0.15">
      <c r="A4547" t="s">
        <v>968</v>
      </c>
      <c r="B4547">
        <v>45.254800000000003</v>
      </c>
      <c r="C4547">
        <v>9.7078400000000003E-4</v>
      </c>
    </row>
    <row r="4548" spans="1:3" x14ac:dyDescent="0.15">
      <c r="A4548" t="s">
        <v>968</v>
      </c>
      <c r="B4548">
        <v>64</v>
      </c>
      <c r="C4548">
        <v>1.084689E-3</v>
      </c>
    </row>
    <row r="4549" spans="1:3" x14ac:dyDescent="0.15">
      <c r="A4549" t="s">
        <v>968</v>
      </c>
      <c r="B4549">
        <v>90.509699999999995</v>
      </c>
      <c r="C4549">
        <v>8.3618899999999999E-4</v>
      </c>
    </row>
    <row r="4550" spans="1:3" x14ac:dyDescent="0.15">
      <c r="A4550" t="s">
        <v>968</v>
      </c>
      <c r="B4550">
        <v>128</v>
      </c>
      <c r="C4550">
        <v>6.1795700000000003E-4</v>
      </c>
    </row>
    <row r="4551" spans="1:3" x14ac:dyDescent="0.15">
      <c r="A4551" t="s">
        <v>968</v>
      </c>
      <c r="B4551">
        <v>181.01929999999999</v>
      </c>
      <c r="C4551">
        <v>3.0647900000000002E-4</v>
      </c>
    </row>
    <row r="4552" spans="1:3" x14ac:dyDescent="0.15">
      <c r="A4552" t="s">
        <v>968</v>
      </c>
      <c r="B4552">
        <v>256</v>
      </c>
      <c r="C4552">
        <v>4.7088E-5</v>
      </c>
    </row>
    <row r="4553" spans="1:3" x14ac:dyDescent="0.15">
      <c r="A4553" t="s">
        <v>968</v>
      </c>
      <c r="B4553">
        <v>362.03870000000001</v>
      </c>
      <c r="C4553">
        <v>8.78E-7</v>
      </c>
    </row>
    <row r="4554" spans="1:3" x14ac:dyDescent="0.15">
      <c r="A4554" t="s">
        <v>968</v>
      </c>
      <c r="B4554">
        <v>512</v>
      </c>
      <c r="C4554">
        <v>2.0000000000000001E-9</v>
      </c>
    </row>
    <row r="4555" spans="1:3" x14ac:dyDescent="0.15">
      <c r="A4555" t="s">
        <v>968</v>
      </c>
      <c r="B4555">
        <v>724.07730000000004</v>
      </c>
      <c r="C4555">
        <v>0</v>
      </c>
    </row>
    <row r="4556" spans="1:3" x14ac:dyDescent="0.15">
      <c r="A4556" t="s">
        <v>969</v>
      </c>
      <c r="B4556">
        <v>2</v>
      </c>
      <c r="C4556">
        <v>6.6642399999999999E-4</v>
      </c>
    </row>
    <row r="4557" spans="1:3" x14ac:dyDescent="0.15">
      <c r="A4557" t="s">
        <v>969</v>
      </c>
      <c r="B4557">
        <v>2.8283999999999998</v>
      </c>
      <c r="C4557">
        <v>7.7545399999999997E-4</v>
      </c>
    </row>
    <row r="4558" spans="1:3" x14ac:dyDescent="0.15">
      <c r="A4558" t="s">
        <v>969</v>
      </c>
      <c r="B4558">
        <v>4</v>
      </c>
      <c r="C4558">
        <v>8.8566899999999995E-4</v>
      </c>
    </row>
    <row r="4559" spans="1:3" x14ac:dyDescent="0.15">
      <c r="A4559" t="s">
        <v>969</v>
      </c>
      <c r="B4559">
        <v>5.6569000000000003</v>
      </c>
      <c r="C4559">
        <v>8.9861900000000002E-4</v>
      </c>
    </row>
    <row r="4560" spans="1:3" x14ac:dyDescent="0.15">
      <c r="A4560" t="s">
        <v>969</v>
      </c>
      <c r="B4560">
        <v>8</v>
      </c>
      <c r="C4560">
        <v>8.3886300000000002E-4</v>
      </c>
    </row>
    <row r="4561" spans="1:3" x14ac:dyDescent="0.15">
      <c r="A4561" t="s">
        <v>969</v>
      </c>
      <c r="B4561">
        <v>11.313700000000001</v>
      </c>
      <c r="C4561">
        <v>7.7802800000000005E-4</v>
      </c>
    </row>
    <row r="4562" spans="1:3" x14ac:dyDescent="0.15">
      <c r="A4562" t="s">
        <v>969</v>
      </c>
      <c r="B4562">
        <v>16</v>
      </c>
      <c r="C4562">
        <v>7.1927600000000003E-4</v>
      </c>
    </row>
    <row r="4563" spans="1:3" x14ac:dyDescent="0.15">
      <c r="A4563" t="s">
        <v>969</v>
      </c>
      <c r="B4563">
        <v>22.627400000000002</v>
      </c>
      <c r="C4563">
        <v>6.1393000000000005E-4</v>
      </c>
    </row>
    <row r="4564" spans="1:3" x14ac:dyDescent="0.15">
      <c r="A4564" t="s">
        <v>969</v>
      </c>
      <c r="B4564">
        <v>32</v>
      </c>
      <c r="C4564">
        <v>4.5139099999999999E-4</v>
      </c>
    </row>
    <row r="4565" spans="1:3" x14ac:dyDescent="0.15">
      <c r="A4565" t="s">
        <v>969</v>
      </c>
      <c r="B4565">
        <v>45.254800000000003</v>
      </c>
      <c r="C4565">
        <v>2.8970899999999997E-4</v>
      </c>
    </row>
    <row r="4566" spans="1:3" x14ac:dyDescent="0.15">
      <c r="A4566" t="s">
        <v>969</v>
      </c>
      <c r="B4566">
        <v>64</v>
      </c>
      <c r="C4566">
        <v>2.31206E-4</v>
      </c>
    </row>
    <row r="4567" spans="1:3" x14ac:dyDescent="0.15">
      <c r="A4567" t="s">
        <v>969</v>
      </c>
      <c r="B4567">
        <v>90.509699999999995</v>
      </c>
      <c r="C4567">
        <v>1.56995E-4</v>
      </c>
    </row>
    <row r="4568" spans="1:3" x14ac:dyDescent="0.15">
      <c r="A4568" t="s">
        <v>969</v>
      </c>
      <c r="B4568">
        <v>128</v>
      </c>
      <c r="C4568">
        <v>9.7633000000000005E-5</v>
      </c>
    </row>
    <row r="4569" spans="1:3" x14ac:dyDescent="0.15">
      <c r="A4569" t="s">
        <v>969</v>
      </c>
      <c r="B4569">
        <v>181.01929999999999</v>
      </c>
      <c r="C4569">
        <v>4.6665000000000001E-5</v>
      </c>
    </row>
    <row r="4570" spans="1:3" x14ac:dyDescent="0.15">
      <c r="A4570" t="s">
        <v>969</v>
      </c>
      <c r="B4570">
        <v>256</v>
      </c>
      <c r="C4570">
        <v>7.1149999999999996E-6</v>
      </c>
    </row>
    <row r="4571" spans="1:3" x14ac:dyDescent="0.15">
      <c r="A4571" t="s">
        <v>969</v>
      </c>
      <c r="B4571">
        <v>362.03870000000001</v>
      </c>
      <c r="C4571">
        <v>1.3300000000000001E-7</v>
      </c>
    </row>
    <row r="4572" spans="1:3" x14ac:dyDescent="0.15">
      <c r="A4572" t="s">
        <v>969</v>
      </c>
      <c r="B4572">
        <v>512</v>
      </c>
      <c r="C4572">
        <v>0</v>
      </c>
    </row>
    <row r="4573" spans="1:3" x14ac:dyDescent="0.15">
      <c r="A4573" t="s">
        <v>969</v>
      </c>
      <c r="B4573">
        <v>724.07730000000004</v>
      </c>
      <c r="C4573">
        <v>0</v>
      </c>
    </row>
    <row r="4574" spans="1:3" x14ac:dyDescent="0.15">
      <c r="A4574" t="s">
        <v>970</v>
      </c>
      <c r="B4574">
        <v>2</v>
      </c>
      <c r="C4574">
        <v>1.236652E-3</v>
      </c>
    </row>
    <row r="4575" spans="1:3" x14ac:dyDescent="0.15">
      <c r="A4575" t="s">
        <v>970</v>
      </c>
      <c r="B4575">
        <v>2.8283999999999998</v>
      </c>
      <c r="C4575">
        <v>1.4072100000000001E-3</v>
      </c>
    </row>
    <row r="4576" spans="1:3" x14ac:dyDescent="0.15">
      <c r="A4576" t="s">
        <v>970</v>
      </c>
      <c r="B4576">
        <v>4</v>
      </c>
      <c r="C4576">
        <v>1.3200709999999999E-3</v>
      </c>
    </row>
    <row r="4577" spans="1:3" x14ac:dyDescent="0.15">
      <c r="A4577" t="s">
        <v>970</v>
      </c>
      <c r="B4577">
        <v>5.6569000000000003</v>
      </c>
      <c r="C4577">
        <v>9.2700400000000004E-4</v>
      </c>
    </row>
    <row r="4578" spans="1:3" x14ac:dyDescent="0.15">
      <c r="A4578" t="s">
        <v>970</v>
      </c>
      <c r="B4578">
        <v>8</v>
      </c>
      <c r="C4578">
        <v>6.4917700000000002E-4</v>
      </c>
    </row>
    <row r="4579" spans="1:3" x14ac:dyDescent="0.15">
      <c r="A4579" t="s">
        <v>970</v>
      </c>
      <c r="B4579">
        <v>11.313700000000001</v>
      </c>
      <c r="C4579">
        <v>6.3143599999999998E-4</v>
      </c>
    </row>
    <row r="4580" spans="1:3" x14ac:dyDescent="0.15">
      <c r="A4580" t="s">
        <v>970</v>
      </c>
      <c r="B4580">
        <v>16</v>
      </c>
      <c r="C4580">
        <v>6.8332699999999996E-4</v>
      </c>
    </row>
    <row r="4581" spans="1:3" x14ac:dyDescent="0.15">
      <c r="A4581" t="s">
        <v>970</v>
      </c>
      <c r="B4581">
        <v>22.627400000000002</v>
      </c>
      <c r="C4581">
        <v>7.9318499999999996E-4</v>
      </c>
    </row>
    <row r="4582" spans="1:3" x14ac:dyDescent="0.15">
      <c r="A4582" t="s">
        <v>970</v>
      </c>
      <c r="B4582">
        <v>32</v>
      </c>
      <c r="C4582">
        <v>8.8692800000000004E-4</v>
      </c>
    </row>
    <row r="4583" spans="1:3" x14ac:dyDescent="0.15">
      <c r="A4583" t="s">
        <v>970</v>
      </c>
      <c r="B4583">
        <v>45.254800000000003</v>
      </c>
      <c r="C4583">
        <v>9.7805500000000003E-4</v>
      </c>
    </row>
    <row r="4584" spans="1:3" x14ac:dyDescent="0.15">
      <c r="A4584" t="s">
        <v>970</v>
      </c>
      <c r="B4584">
        <v>64</v>
      </c>
      <c r="C4584">
        <v>1.0593530000000001E-3</v>
      </c>
    </row>
    <row r="4585" spans="1:3" x14ac:dyDescent="0.15">
      <c r="A4585" t="s">
        <v>970</v>
      </c>
      <c r="B4585">
        <v>90.509699999999995</v>
      </c>
      <c r="C4585">
        <v>9.0429400000000004E-4</v>
      </c>
    </row>
    <row r="4586" spans="1:3" x14ac:dyDescent="0.15">
      <c r="A4586" t="s">
        <v>970</v>
      </c>
      <c r="B4586">
        <v>128</v>
      </c>
      <c r="C4586">
        <v>7.8208499999999996E-4</v>
      </c>
    </row>
    <row r="4587" spans="1:3" x14ac:dyDescent="0.15">
      <c r="A4587" t="s">
        <v>970</v>
      </c>
      <c r="B4587">
        <v>181.01929999999999</v>
      </c>
      <c r="C4587">
        <v>3.9939499999999998E-4</v>
      </c>
    </row>
    <row r="4588" spans="1:3" x14ac:dyDescent="0.15">
      <c r="A4588" t="s">
        <v>970</v>
      </c>
      <c r="B4588">
        <v>256</v>
      </c>
      <c r="C4588">
        <v>6.1631999999999995E-5</v>
      </c>
    </row>
    <row r="4589" spans="1:3" x14ac:dyDescent="0.15">
      <c r="A4589" t="s">
        <v>970</v>
      </c>
      <c r="B4589">
        <v>362.03870000000001</v>
      </c>
      <c r="C4589">
        <v>1.15E-6</v>
      </c>
    </row>
    <row r="4590" spans="1:3" x14ac:dyDescent="0.15">
      <c r="A4590" t="s">
        <v>970</v>
      </c>
      <c r="B4590">
        <v>512</v>
      </c>
      <c r="C4590">
        <v>0</v>
      </c>
    </row>
    <row r="4591" spans="1:3" x14ac:dyDescent="0.15">
      <c r="A4591" t="s">
        <v>970</v>
      </c>
      <c r="B4591">
        <v>724.07730000000004</v>
      </c>
      <c r="C4591">
        <v>0</v>
      </c>
    </row>
    <row r="4592" spans="1:3" x14ac:dyDescent="0.15">
      <c r="A4592" t="s">
        <v>971</v>
      </c>
      <c r="B4592">
        <v>2</v>
      </c>
      <c r="C4592">
        <v>1.044417E-3</v>
      </c>
    </row>
    <row r="4593" spans="1:3" x14ac:dyDescent="0.15">
      <c r="A4593" t="s">
        <v>971</v>
      </c>
      <c r="B4593">
        <v>2.8283999999999998</v>
      </c>
      <c r="C4593">
        <v>1.374307E-3</v>
      </c>
    </row>
    <row r="4594" spans="1:3" x14ac:dyDescent="0.15">
      <c r="A4594" t="s">
        <v>971</v>
      </c>
      <c r="B4594">
        <v>4</v>
      </c>
      <c r="C4594">
        <v>1.6320359999999999E-3</v>
      </c>
    </row>
    <row r="4595" spans="1:3" x14ac:dyDescent="0.15">
      <c r="A4595" t="s">
        <v>971</v>
      </c>
      <c r="B4595">
        <v>5.6569000000000003</v>
      </c>
      <c r="C4595">
        <v>1.670862E-3</v>
      </c>
    </row>
    <row r="4596" spans="1:3" x14ac:dyDescent="0.15">
      <c r="A4596" t="s">
        <v>971</v>
      </c>
      <c r="B4596">
        <v>8</v>
      </c>
      <c r="C4596">
        <v>1.4532600000000001E-3</v>
      </c>
    </row>
    <row r="4597" spans="1:3" x14ac:dyDescent="0.15">
      <c r="A4597" t="s">
        <v>971</v>
      </c>
      <c r="B4597">
        <v>11.313700000000001</v>
      </c>
      <c r="C4597">
        <v>1.094799E-3</v>
      </c>
    </row>
    <row r="4598" spans="1:3" x14ac:dyDescent="0.15">
      <c r="A4598" t="s">
        <v>971</v>
      </c>
      <c r="B4598">
        <v>16</v>
      </c>
      <c r="C4598">
        <v>8.0495999999999996E-4</v>
      </c>
    </row>
    <row r="4599" spans="1:3" x14ac:dyDescent="0.15">
      <c r="A4599" t="s">
        <v>971</v>
      </c>
      <c r="B4599">
        <v>22.627400000000002</v>
      </c>
      <c r="C4599">
        <v>5.86507E-4</v>
      </c>
    </row>
    <row r="4600" spans="1:3" x14ac:dyDescent="0.15">
      <c r="A4600" t="s">
        <v>971</v>
      </c>
      <c r="B4600">
        <v>32</v>
      </c>
      <c r="C4600">
        <v>3.8613100000000001E-4</v>
      </c>
    </row>
    <row r="4601" spans="1:3" x14ac:dyDescent="0.15">
      <c r="A4601" t="s">
        <v>971</v>
      </c>
      <c r="B4601">
        <v>45.254800000000003</v>
      </c>
      <c r="C4601">
        <v>3.9319600000000001E-4</v>
      </c>
    </row>
    <row r="4602" spans="1:3" x14ac:dyDescent="0.15">
      <c r="A4602" t="s">
        <v>971</v>
      </c>
      <c r="B4602">
        <v>64</v>
      </c>
      <c r="C4602">
        <v>5.7469800000000001E-4</v>
      </c>
    </row>
    <row r="4603" spans="1:3" x14ac:dyDescent="0.15">
      <c r="A4603" t="s">
        <v>971</v>
      </c>
      <c r="B4603">
        <v>90.509699999999995</v>
      </c>
      <c r="C4603">
        <v>8.02318E-4</v>
      </c>
    </row>
    <row r="4604" spans="1:3" x14ac:dyDescent="0.15">
      <c r="A4604" t="s">
        <v>971</v>
      </c>
      <c r="B4604">
        <v>128</v>
      </c>
      <c r="C4604">
        <v>8.0253900000000001E-4</v>
      </c>
    </row>
    <row r="4605" spans="1:3" x14ac:dyDescent="0.15">
      <c r="A4605" t="s">
        <v>971</v>
      </c>
      <c r="B4605">
        <v>181.01929999999999</v>
      </c>
      <c r="C4605">
        <v>4.0956100000000002E-4</v>
      </c>
    </row>
    <row r="4606" spans="1:3" x14ac:dyDescent="0.15">
      <c r="A4606" t="s">
        <v>971</v>
      </c>
      <c r="B4606">
        <v>256</v>
      </c>
      <c r="C4606">
        <v>6.3194999999999994E-5</v>
      </c>
    </row>
    <row r="4607" spans="1:3" x14ac:dyDescent="0.15">
      <c r="A4607" t="s">
        <v>971</v>
      </c>
      <c r="B4607">
        <v>362.03870000000001</v>
      </c>
      <c r="C4607">
        <v>1.1790000000000001E-6</v>
      </c>
    </row>
    <row r="4608" spans="1:3" x14ac:dyDescent="0.15">
      <c r="A4608" t="s">
        <v>971</v>
      </c>
      <c r="B4608">
        <v>512</v>
      </c>
      <c r="C4608">
        <v>1.0000000000000001E-9</v>
      </c>
    </row>
    <row r="4609" spans="1:3" x14ac:dyDescent="0.15">
      <c r="A4609" t="s">
        <v>971</v>
      </c>
      <c r="B4609">
        <v>724.07730000000004</v>
      </c>
      <c r="C4609">
        <v>0</v>
      </c>
    </row>
    <row r="4610" spans="1:3" x14ac:dyDescent="0.15">
      <c r="A4610" t="s">
        <v>972</v>
      </c>
      <c r="B4610">
        <v>2</v>
      </c>
      <c r="C4610">
        <v>1.51998E-3</v>
      </c>
    </row>
    <row r="4611" spans="1:3" x14ac:dyDescent="0.15">
      <c r="A4611" t="s">
        <v>972</v>
      </c>
      <c r="B4611">
        <v>2.8283999999999998</v>
      </c>
      <c r="C4611">
        <v>1.357065E-3</v>
      </c>
    </row>
    <row r="4612" spans="1:3" x14ac:dyDescent="0.15">
      <c r="A4612" t="s">
        <v>972</v>
      </c>
      <c r="B4612">
        <v>4</v>
      </c>
      <c r="C4612">
        <v>1.3282789999999999E-3</v>
      </c>
    </row>
    <row r="4613" spans="1:3" x14ac:dyDescent="0.15">
      <c r="A4613" t="s">
        <v>972</v>
      </c>
      <c r="B4613">
        <v>5.6569000000000003</v>
      </c>
      <c r="C4613">
        <v>1.307346E-3</v>
      </c>
    </row>
    <row r="4614" spans="1:3" x14ac:dyDescent="0.15">
      <c r="A4614" t="s">
        <v>972</v>
      </c>
      <c r="B4614">
        <v>8</v>
      </c>
      <c r="C4614">
        <v>1.2370790000000001E-3</v>
      </c>
    </row>
    <row r="4615" spans="1:3" x14ac:dyDescent="0.15">
      <c r="A4615" t="s">
        <v>972</v>
      </c>
      <c r="B4615">
        <v>11.313700000000001</v>
      </c>
      <c r="C4615">
        <v>1.2158309999999999E-3</v>
      </c>
    </row>
    <row r="4616" spans="1:3" x14ac:dyDescent="0.15">
      <c r="A4616" t="s">
        <v>972</v>
      </c>
      <c r="B4616">
        <v>16</v>
      </c>
      <c r="C4616">
        <v>1.208415E-3</v>
      </c>
    </row>
    <row r="4617" spans="1:3" x14ac:dyDescent="0.15">
      <c r="A4617" t="s">
        <v>972</v>
      </c>
      <c r="B4617">
        <v>22.627400000000002</v>
      </c>
      <c r="C4617">
        <v>1.0533560000000001E-3</v>
      </c>
    </row>
    <row r="4618" spans="1:3" x14ac:dyDescent="0.15">
      <c r="A4618" t="s">
        <v>972</v>
      </c>
      <c r="B4618">
        <v>32</v>
      </c>
      <c r="C4618">
        <v>8.5768900000000002E-4</v>
      </c>
    </row>
    <row r="4619" spans="1:3" x14ac:dyDescent="0.15">
      <c r="A4619" t="s">
        <v>972</v>
      </c>
      <c r="B4619">
        <v>45.254800000000003</v>
      </c>
      <c r="C4619">
        <v>7.9466300000000003E-4</v>
      </c>
    </row>
    <row r="4620" spans="1:3" x14ac:dyDescent="0.15">
      <c r="A4620" t="s">
        <v>972</v>
      </c>
      <c r="B4620">
        <v>64</v>
      </c>
      <c r="C4620">
        <v>6.4321300000000001E-4</v>
      </c>
    </row>
    <row r="4621" spans="1:3" x14ac:dyDescent="0.15">
      <c r="A4621" t="s">
        <v>972</v>
      </c>
      <c r="B4621">
        <v>90.509699999999995</v>
      </c>
      <c r="C4621">
        <v>4.1118099999999999E-4</v>
      </c>
    </row>
    <row r="4622" spans="1:3" x14ac:dyDescent="0.15">
      <c r="A4622" t="s">
        <v>972</v>
      </c>
      <c r="B4622">
        <v>128</v>
      </c>
      <c r="C4622">
        <v>3.18883E-4</v>
      </c>
    </row>
    <row r="4623" spans="1:3" x14ac:dyDescent="0.15">
      <c r="A4623" t="s">
        <v>972</v>
      </c>
      <c r="B4623">
        <v>181.01929999999999</v>
      </c>
      <c r="C4623">
        <v>1.6058500000000001E-4</v>
      </c>
    </row>
    <row r="4624" spans="1:3" x14ac:dyDescent="0.15">
      <c r="A4624" t="s">
        <v>972</v>
      </c>
      <c r="B4624">
        <v>256</v>
      </c>
      <c r="C4624">
        <v>2.4729999999999999E-5</v>
      </c>
    </row>
    <row r="4625" spans="1:3" x14ac:dyDescent="0.15">
      <c r="A4625" t="s">
        <v>972</v>
      </c>
      <c r="B4625">
        <v>362.03870000000001</v>
      </c>
      <c r="C4625">
        <v>4.6100000000000001E-7</v>
      </c>
    </row>
    <row r="4626" spans="1:3" x14ac:dyDescent="0.15">
      <c r="A4626" t="s">
        <v>972</v>
      </c>
      <c r="B4626">
        <v>512</v>
      </c>
      <c r="C4626">
        <v>0</v>
      </c>
    </row>
    <row r="4627" spans="1:3" x14ac:dyDescent="0.15">
      <c r="A4627" t="s">
        <v>972</v>
      </c>
      <c r="B4627">
        <v>724.07730000000004</v>
      </c>
      <c r="C4627">
        <v>0</v>
      </c>
    </row>
    <row r="4628" spans="1:3" x14ac:dyDescent="0.15">
      <c r="A4628" t="s">
        <v>973</v>
      </c>
      <c r="B4628">
        <v>2</v>
      </c>
      <c r="C4628">
        <v>1.1045040000000001E-3</v>
      </c>
    </row>
    <row r="4629" spans="1:3" x14ac:dyDescent="0.15">
      <c r="A4629" t="s">
        <v>973</v>
      </c>
      <c r="B4629">
        <v>2.8283999999999998</v>
      </c>
      <c r="C4629">
        <v>1.328678E-3</v>
      </c>
    </row>
    <row r="4630" spans="1:3" x14ac:dyDescent="0.15">
      <c r="A4630" t="s">
        <v>973</v>
      </c>
      <c r="B4630">
        <v>4</v>
      </c>
      <c r="C4630">
        <v>1.4600679999999999E-3</v>
      </c>
    </row>
    <row r="4631" spans="1:3" x14ac:dyDescent="0.15">
      <c r="A4631" t="s">
        <v>973</v>
      </c>
      <c r="B4631">
        <v>5.6569000000000003</v>
      </c>
      <c r="C4631">
        <v>1.3700279999999999E-3</v>
      </c>
    </row>
    <row r="4632" spans="1:3" x14ac:dyDescent="0.15">
      <c r="A4632" t="s">
        <v>973</v>
      </c>
      <c r="B4632">
        <v>8</v>
      </c>
      <c r="C4632">
        <v>1.2633010000000001E-3</v>
      </c>
    </row>
    <row r="4633" spans="1:3" x14ac:dyDescent="0.15">
      <c r="A4633" t="s">
        <v>973</v>
      </c>
      <c r="B4633">
        <v>11.313700000000001</v>
      </c>
      <c r="C4633">
        <v>1.258892E-3</v>
      </c>
    </row>
    <row r="4634" spans="1:3" x14ac:dyDescent="0.15">
      <c r="A4634" t="s">
        <v>973</v>
      </c>
      <c r="B4634">
        <v>16</v>
      </c>
      <c r="C4634">
        <v>1.100581E-3</v>
      </c>
    </row>
    <row r="4635" spans="1:3" x14ac:dyDescent="0.15">
      <c r="A4635" t="s">
        <v>973</v>
      </c>
      <c r="B4635">
        <v>22.627400000000002</v>
      </c>
      <c r="C4635">
        <v>9.5127899999999997E-4</v>
      </c>
    </row>
    <row r="4636" spans="1:3" x14ac:dyDescent="0.15">
      <c r="A4636" t="s">
        <v>973</v>
      </c>
      <c r="B4636">
        <v>32</v>
      </c>
      <c r="C4636">
        <v>9.8953100000000009E-4</v>
      </c>
    </row>
    <row r="4637" spans="1:3" x14ac:dyDescent="0.15">
      <c r="A4637" t="s">
        <v>973</v>
      </c>
      <c r="B4637">
        <v>45.254800000000003</v>
      </c>
      <c r="C4637">
        <v>1.0942110000000001E-3</v>
      </c>
    </row>
    <row r="4638" spans="1:3" x14ac:dyDescent="0.15">
      <c r="A4638" t="s">
        <v>973</v>
      </c>
      <c r="B4638">
        <v>64</v>
      </c>
      <c r="C4638">
        <v>1.0485710000000001E-3</v>
      </c>
    </row>
    <row r="4639" spans="1:3" x14ac:dyDescent="0.15">
      <c r="A4639" t="s">
        <v>973</v>
      </c>
      <c r="B4639">
        <v>90.509699999999995</v>
      </c>
      <c r="C4639">
        <v>5.38946E-4</v>
      </c>
    </row>
    <row r="4640" spans="1:3" x14ac:dyDescent="0.15">
      <c r="A4640" t="s">
        <v>973</v>
      </c>
      <c r="B4640">
        <v>128</v>
      </c>
      <c r="C4640">
        <v>9.9426999999999995E-5</v>
      </c>
    </row>
    <row r="4641" spans="1:3" x14ac:dyDescent="0.15">
      <c r="A4641" t="s">
        <v>973</v>
      </c>
      <c r="B4641">
        <v>181.01929999999999</v>
      </c>
      <c r="C4641">
        <v>2.4317000000000001E-5</v>
      </c>
    </row>
    <row r="4642" spans="1:3" x14ac:dyDescent="0.15">
      <c r="A4642" t="s">
        <v>973</v>
      </c>
      <c r="B4642">
        <v>256</v>
      </c>
      <c r="C4642">
        <v>3.7890000000000001E-6</v>
      </c>
    </row>
    <row r="4643" spans="1:3" x14ac:dyDescent="0.15">
      <c r="A4643" t="s">
        <v>973</v>
      </c>
      <c r="B4643">
        <v>362.03870000000001</v>
      </c>
      <c r="C4643">
        <v>7.1E-8</v>
      </c>
    </row>
    <row r="4644" spans="1:3" x14ac:dyDescent="0.15">
      <c r="A4644" t="s">
        <v>973</v>
      </c>
      <c r="B4644">
        <v>512</v>
      </c>
      <c r="C4644">
        <v>0</v>
      </c>
    </row>
    <row r="4645" spans="1:3" x14ac:dyDescent="0.15">
      <c r="A4645" t="s">
        <v>973</v>
      </c>
      <c r="B4645">
        <v>724.07730000000004</v>
      </c>
      <c r="C4645">
        <v>0</v>
      </c>
    </row>
    <row r="4646" spans="1:3" x14ac:dyDescent="0.15">
      <c r="A4646" t="s">
        <v>974</v>
      </c>
      <c r="B4646">
        <v>2</v>
      </c>
      <c r="C4646">
        <v>7.1451900000000005E-4</v>
      </c>
    </row>
    <row r="4647" spans="1:3" x14ac:dyDescent="0.15">
      <c r="A4647" t="s">
        <v>974</v>
      </c>
      <c r="B4647">
        <v>2.8283999999999998</v>
      </c>
      <c r="C4647">
        <v>9.7060199999999999E-4</v>
      </c>
    </row>
    <row r="4648" spans="1:3" x14ac:dyDescent="0.15">
      <c r="A4648" t="s">
        <v>974</v>
      </c>
      <c r="B4648">
        <v>4</v>
      </c>
      <c r="C4648">
        <v>1.1696650000000001E-3</v>
      </c>
    </row>
    <row r="4649" spans="1:3" x14ac:dyDescent="0.15">
      <c r="A4649" t="s">
        <v>974</v>
      </c>
      <c r="B4649">
        <v>5.6569000000000003</v>
      </c>
      <c r="C4649">
        <v>1.1004420000000001E-3</v>
      </c>
    </row>
    <row r="4650" spans="1:3" x14ac:dyDescent="0.15">
      <c r="A4650" t="s">
        <v>974</v>
      </c>
      <c r="B4650">
        <v>8</v>
      </c>
      <c r="C4650">
        <v>8.5038900000000001E-4</v>
      </c>
    </row>
    <row r="4651" spans="1:3" x14ac:dyDescent="0.15">
      <c r="A4651" t="s">
        <v>974</v>
      </c>
      <c r="B4651">
        <v>11.313700000000001</v>
      </c>
      <c r="C4651">
        <v>7.3206400000000004E-4</v>
      </c>
    </row>
    <row r="4652" spans="1:3" x14ac:dyDescent="0.15">
      <c r="A4652" t="s">
        <v>974</v>
      </c>
      <c r="B4652">
        <v>16</v>
      </c>
      <c r="C4652">
        <v>6.7437699999999998E-4</v>
      </c>
    </row>
    <row r="4653" spans="1:3" x14ac:dyDescent="0.15">
      <c r="A4653" t="s">
        <v>974</v>
      </c>
      <c r="B4653">
        <v>22.627400000000002</v>
      </c>
      <c r="C4653">
        <v>5.42444E-4</v>
      </c>
    </row>
    <row r="4654" spans="1:3" x14ac:dyDescent="0.15">
      <c r="A4654" t="s">
        <v>974</v>
      </c>
      <c r="B4654">
        <v>32</v>
      </c>
      <c r="C4654">
        <v>5.0009200000000005E-4</v>
      </c>
    </row>
    <row r="4655" spans="1:3" x14ac:dyDescent="0.15">
      <c r="A4655" t="s">
        <v>974</v>
      </c>
      <c r="B4655">
        <v>45.254800000000003</v>
      </c>
      <c r="C4655">
        <v>5.29464E-4</v>
      </c>
    </row>
    <row r="4656" spans="1:3" x14ac:dyDescent="0.15">
      <c r="A4656" t="s">
        <v>974</v>
      </c>
      <c r="B4656">
        <v>64</v>
      </c>
      <c r="C4656">
        <v>5.0343000000000002E-4</v>
      </c>
    </row>
    <row r="4657" spans="1:3" x14ac:dyDescent="0.15">
      <c r="A4657" t="s">
        <v>974</v>
      </c>
      <c r="B4657">
        <v>90.509699999999995</v>
      </c>
      <c r="C4657">
        <v>4.1286300000000002E-4</v>
      </c>
    </row>
    <row r="4658" spans="1:3" x14ac:dyDescent="0.15">
      <c r="A4658" t="s">
        <v>974</v>
      </c>
      <c r="B4658">
        <v>128</v>
      </c>
      <c r="C4658">
        <v>3.47652E-4</v>
      </c>
    </row>
    <row r="4659" spans="1:3" x14ac:dyDescent="0.15">
      <c r="A4659" t="s">
        <v>974</v>
      </c>
      <c r="B4659">
        <v>181.01929999999999</v>
      </c>
      <c r="C4659">
        <v>1.7409700000000001E-4</v>
      </c>
    </row>
    <row r="4660" spans="1:3" x14ac:dyDescent="0.15">
      <c r="A4660" t="s">
        <v>974</v>
      </c>
      <c r="B4660">
        <v>256</v>
      </c>
      <c r="C4660">
        <v>2.6749000000000001E-5</v>
      </c>
    </row>
    <row r="4661" spans="1:3" x14ac:dyDescent="0.15">
      <c r="A4661" t="s">
        <v>974</v>
      </c>
      <c r="B4661">
        <v>362.03870000000001</v>
      </c>
      <c r="C4661">
        <v>4.9900000000000001E-7</v>
      </c>
    </row>
    <row r="4662" spans="1:3" x14ac:dyDescent="0.15">
      <c r="A4662" t="s">
        <v>974</v>
      </c>
      <c r="B4662">
        <v>512</v>
      </c>
      <c r="C4662">
        <v>0</v>
      </c>
    </row>
    <row r="4663" spans="1:3" x14ac:dyDescent="0.15">
      <c r="A4663" t="s">
        <v>974</v>
      </c>
      <c r="B4663">
        <v>724.07730000000004</v>
      </c>
      <c r="C4663">
        <v>0</v>
      </c>
    </row>
    <row r="4664" spans="1:3" x14ac:dyDescent="0.15">
      <c r="A4664" t="s">
        <v>975</v>
      </c>
      <c r="B4664">
        <v>2</v>
      </c>
      <c r="C4664">
        <v>8.7118999999999999E-4</v>
      </c>
    </row>
    <row r="4665" spans="1:3" x14ac:dyDescent="0.15">
      <c r="A4665" t="s">
        <v>975</v>
      </c>
      <c r="B4665">
        <v>2.8283999999999998</v>
      </c>
      <c r="C4665">
        <v>1.0042320000000001E-3</v>
      </c>
    </row>
    <row r="4666" spans="1:3" x14ac:dyDescent="0.15">
      <c r="A4666" t="s">
        <v>975</v>
      </c>
      <c r="B4666">
        <v>4</v>
      </c>
      <c r="C4666">
        <v>1.0368809999999999E-3</v>
      </c>
    </row>
    <row r="4667" spans="1:3" x14ac:dyDescent="0.15">
      <c r="A4667" t="s">
        <v>975</v>
      </c>
      <c r="B4667">
        <v>5.6569000000000003</v>
      </c>
      <c r="C4667">
        <v>9.9486699999999997E-4</v>
      </c>
    </row>
    <row r="4668" spans="1:3" x14ac:dyDescent="0.15">
      <c r="A4668" t="s">
        <v>975</v>
      </c>
      <c r="B4668">
        <v>8</v>
      </c>
      <c r="C4668">
        <v>1.0023040000000001E-3</v>
      </c>
    </row>
    <row r="4669" spans="1:3" x14ac:dyDescent="0.15">
      <c r="A4669" t="s">
        <v>975</v>
      </c>
      <c r="B4669">
        <v>11.313700000000001</v>
      </c>
      <c r="C4669">
        <v>1.03374E-3</v>
      </c>
    </row>
    <row r="4670" spans="1:3" x14ac:dyDescent="0.15">
      <c r="A4670" t="s">
        <v>975</v>
      </c>
      <c r="B4670">
        <v>16</v>
      </c>
      <c r="C4670">
        <v>9.6267200000000003E-4</v>
      </c>
    </row>
    <row r="4671" spans="1:3" x14ac:dyDescent="0.15">
      <c r="A4671" t="s">
        <v>975</v>
      </c>
      <c r="B4671">
        <v>22.627400000000002</v>
      </c>
      <c r="C4671">
        <v>7.6734100000000005E-4</v>
      </c>
    </row>
    <row r="4672" spans="1:3" x14ac:dyDescent="0.15">
      <c r="A4672" t="s">
        <v>975</v>
      </c>
      <c r="B4672">
        <v>32</v>
      </c>
      <c r="C4672">
        <v>5.2822800000000005E-4</v>
      </c>
    </row>
    <row r="4673" spans="1:3" x14ac:dyDescent="0.15">
      <c r="A4673" t="s">
        <v>975</v>
      </c>
      <c r="B4673">
        <v>45.254800000000003</v>
      </c>
      <c r="C4673">
        <v>3.65559E-4</v>
      </c>
    </row>
    <row r="4674" spans="1:3" x14ac:dyDescent="0.15">
      <c r="A4674" t="s">
        <v>975</v>
      </c>
      <c r="B4674">
        <v>64</v>
      </c>
      <c r="C4674">
        <v>2.9700499999999998E-4</v>
      </c>
    </row>
    <row r="4675" spans="1:3" x14ac:dyDescent="0.15">
      <c r="A4675" t="s">
        <v>975</v>
      </c>
      <c r="B4675">
        <v>90.509699999999995</v>
      </c>
      <c r="C4675">
        <v>1.54046E-4</v>
      </c>
    </row>
    <row r="4676" spans="1:3" x14ac:dyDescent="0.15">
      <c r="A4676" t="s">
        <v>975</v>
      </c>
      <c r="B4676">
        <v>128</v>
      </c>
      <c r="C4676">
        <v>6.4950000000000007E-5</v>
      </c>
    </row>
    <row r="4677" spans="1:3" x14ac:dyDescent="0.15">
      <c r="A4677" t="s">
        <v>975</v>
      </c>
      <c r="B4677">
        <v>181.01929999999999</v>
      </c>
      <c r="C4677">
        <v>3.1693999999999998E-5</v>
      </c>
    </row>
    <row r="4678" spans="1:3" x14ac:dyDescent="0.15">
      <c r="A4678" t="s">
        <v>975</v>
      </c>
      <c r="B4678">
        <v>256</v>
      </c>
      <c r="C4678">
        <v>4.8570000000000003E-6</v>
      </c>
    </row>
    <row r="4679" spans="1:3" x14ac:dyDescent="0.15">
      <c r="A4679" t="s">
        <v>975</v>
      </c>
      <c r="B4679">
        <v>362.03870000000001</v>
      </c>
      <c r="C4679">
        <v>8.9999999999999999E-8</v>
      </c>
    </row>
    <row r="4680" spans="1:3" x14ac:dyDescent="0.15">
      <c r="A4680" t="s">
        <v>975</v>
      </c>
      <c r="B4680">
        <v>512</v>
      </c>
      <c r="C4680">
        <v>0</v>
      </c>
    </row>
    <row r="4681" spans="1:3" x14ac:dyDescent="0.15">
      <c r="A4681" t="s">
        <v>975</v>
      </c>
      <c r="B4681">
        <v>724.07730000000004</v>
      </c>
      <c r="C4681">
        <v>0</v>
      </c>
    </row>
    <row r="4682" spans="1:3" x14ac:dyDescent="0.15">
      <c r="A4682" t="s">
        <v>976</v>
      </c>
      <c r="B4682">
        <v>2</v>
      </c>
      <c r="C4682">
        <v>1.9634539999999999E-3</v>
      </c>
    </row>
    <row r="4683" spans="1:3" x14ac:dyDescent="0.15">
      <c r="A4683" t="s">
        <v>976</v>
      </c>
      <c r="B4683">
        <v>2.8283999999999998</v>
      </c>
      <c r="C4683">
        <v>2.132391E-3</v>
      </c>
    </row>
    <row r="4684" spans="1:3" x14ac:dyDescent="0.15">
      <c r="A4684" t="s">
        <v>976</v>
      </c>
      <c r="B4684">
        <v>4</v>
      </c>
      <c r="C4684">
        <v>2.0736109999999999E-3</v>
      </c>
    </row>
    <row r="4685" spans="1:3" x14ac:dyDescent="0.15">
      <c r="A4685" t="s">
        <v>976</v>
      </c>
      <c r="B4685">
        <v>5.6569000000000003</v>
      </c>
      <c r="C4685">
        <v>1.8182929999999999E-3</v>
      </c>
    </row>
    <row r="4686" spans="1:3" x14ac:dyDescent="0.15">
      <c r="A4686" t="s">
        <v>976</v>
      </c>
      <c r="B4686">
        <v>8</v>
      </c>
      <c r="C4686">
        <v>1.47634E-3</v>
      </c>
    </row>
    <row r="4687" spans="1:3" x14ac:dyDescent="0.15">
      <c r="A4687" t="s">
        <v>976</v>
      </c>
      <c r="B4687">
        <v>11.313700000000001</v>
      </c>
      <c r="C4687">
        <v>1.187172E-3</v>
      </c>
    </row>
    <row r="4688" spans="1:3" x14ac:dyDescent="0.15">
      <c r="A4688" t="s">
        <v>976</v>
      </c>
      <c r="B4688">
        <v>16</v>
      </c>
      <c r="C4688">
        <v>1.000953E-3</v>
      </c>
    </row>
    <row r="4689" spans="1:3" x14ac:dyDescent="0.15">
      <c r="A4689" t="s">
        <v>976</v>
      </c>
      <c r="B4689">
        <v>22.627400000000002</v>
      </c>
      <c r="C4689">
        <v>7.9996699999999995E-4</v>
      </c>
    </row>
    <row r="4690" spans="1:3" x14ac:dyDescent="0.15">
      <c r="A4690" t="s">
        <v>976</v>
      </c>
      <c r="B4690">
        <v>32</v>
      </c>
      <c r="C4690">
        <v>7.6606999999999999E-4</v>
      </c>
    </row>
    <row r="4691" spans="1:3" x14ac:dyDescent="0.15">
      <c r="A4691" t="s">
        <v>976</v>
      </c>
      <c r="B4691">
        <v>45.254800000000003</v>
      </c>
      <c r="C4691">
        <v>8.7749900000000001E-4</v>
      </c>
    </row>
    <row r="4692" spans="1:3" x14ac:dyDescent="0.15">
      <c r="A4692" t="s">
        <v>976</v>
      </c>
      <c r="B4692">
        <v>64</v>
      </c>
      <c r="C4692">
        <v>7.9495E-4</v>
      </c>
    </row>
    <row r="4693" spans="1:3" x14ac:dyDescent="0.15">
      <c r="A4693" t="s">
        <v>976</v>
      </c>
      <c r="B4693">
        <v>90.509699999999995</v>
      </c>
      <c r="C4693">
        <v>6.3593000000000005E-4</v>
      </c>
    </row>
    <row r="4694" spans="1:3" x14ac:dyDescent="0.15">
      <c r="A4694" t="s">
        <v>976</v>
      </c>
      <c r="B4694">
        <v>128</v>
      </c>
      <c r="C4694">
        <v>5.76591E-4</v>
      </c>
    </row>
    <row r="4695" spans="1:3" x14ac:dyDescent="0.15">
      <c r="A4695" t="s">
        <v>976</v>
      </c>
      <c r="B4695">
        <v>181.01929999999999</v>
      </c>
      <c r="C4695">
        <v>2.9263200000000003E-4</v>
      </c>
    </row>
    <row r="4696" spans="1:3" x14ac:dyDescent="0.15">
      <c r="A4696" t="s">
        <v>976</v>
      </c>
      <c r="B4696">
        <v>256</v>
      </c>
      <c r="C4696">
        <v>4.494E-5</v>
      </c>
    </row>
    <row r="4697" spans="1:3" x14ac:dyDescent="0.15">
      <c r="A4697" t="s">
        <v>976</v>
      </c>
      <c r="B4697">
        <v>362.03870000000001</v>
      </c>
      <c r="C4697">
        <v>8.3799999999999996E-7</v>
      </c>
    </row>
    <row r="4698" spans="1:3" x14ac:dyDescent="0.15">
      <c r="A4698" t="s">
        <v>976</v>
      </c>
      <c r="B4698">
        <v>512</v>
      </c>
      <c r="C4698">
        <v>1.0000000000000001E-9</v>
      </c>
    </row>
    <row r="4699" spans="1:3" x14ac:dyDescent="0.15">
      <c r="A4699" t="s">
        <v>976</v>
      </c>
      <c r="B4699">
        <v>724.07730000000004</v>
      </c>
      <c r="C4699">
        <v>0</v>
      </c>
    </row>
    <row r="4700" spans="1:3" x14ac:dyDescent="0.15">
      <c r="A4700" t="s">
        <v>977</v>
      </c>
      <c r="B4700">
        <v>2</v>
      </c>
      <c r="C4700">
        <v>1.493184E-3</v>
      </c>
    </row>
    <row r="4701" spans="1:3" x14ac:dyDescent="0.15">
      <c r="A4701" t="s">
        <v>977</v>
      </c>
      <c r="B4701">
        <v>2.8283999999999998</v>
      </c>
      <c r="C4701">
        <v>1.685031E-3</v>
      </c>
    </row>
    <row r="4702" spans="1:3" x14ac:dyDescent="0.15">
      <c r="A4702" t="s">
        <v>977</v>
      </c>
      <c r="B4702">
        <v>4</v>
      </c>
      <c r="C4702">
        <v>1.784632E-3</v>
      </c>
    </row>
    <row r="4703" spans="1:3" x14ac:dyDescent="0.15">
      <c r="A4703" t="s">
        <v>977</v>
      </c>
      <c r="B4703">
        <v>5.6569000000000003</v>
      </c>
      <c r="C4703">
        <v>1.746063E-3</v>
      </c>
    </row>
    <row r="4704" spans="1:3" x14ac:dyDescent="0.15">
      <c r="A4704" t="s">
        <v>977</v>
      </c>
      <c r="B4704">
        <v>8</v>
      </c>
      <c r="C4704">
        <v>1.5992879999999999E-3</v>
      </c>
    </row>
    <row r="4705" spans="1:3" x14ac:dyDescent="0.15">
      <c r="A4705" t="s">
        <v>977</v>
      </c>
      <c r="B4705">
        <v>11.313700000000001</v>
      </c>
      <c r="C4705">
        <v>1.365837E-3</v>
      </c>
    </row>
    <row r="4706" spans="1:3" x14ac:dyDescent="0.15">
      <c r="A4706" t="s">
        <v>977</v>
      </c>
      <c r="B4706">
        <v>16</v>
      </c>
      <c r="C4706">
        <v>1.13474E-3</v>
      </c>
    </row>
    <row r="4707" spans="1:3" x14ac:dyDescent="0.15">
      <c r="A4707" t="s">
        <v>977</v>
      </c>
      <c r="B4707">
        <v>22.627400000000002</v>
      </c>
      <c r="C4707">
        <v>9.4821E-4</v>
      </c>
    </row>
    <row r="4708" spans="1:3" x14ac:dyDescent="0.15">
      <c r="A4708" t="s">
        <v>977</v>
      </c>
      <c r="B4708">
        <v>32</v>
      </c>
      <c r="C4708">
        <v>8.7075100000000001E-4</v>
      </c>
    </row>
    <row r="4709" spans="1:3" x14ac:dyDescent="0.15">
      <c r="A4709" t="s">
        <v>977</v>
      </c>
      <c r="B4709">
        <v>45.254800000000003</v>
      </c>
      <c r="C4709">
        <v>8.7186999999999996E-4</v>
      </c>
    </row>
    <row r="4710" spans="1:3" x14ac:dyDescent="0.15">
      <c r="A4710" t="s">
        <v>977</v>
      </c>
      <c r="B4710">
        <v>64</v>
      </c>
      <c r="C4710">
        <v>6.3385399999999999E-4</v>
      </c>
    </row>
    <row r="4711" spans="1:3" x14ac:dyDescent="0.15">
      <c r="A4711" t="s">
        <v>977</v>
      </c>
      <c r="B4711">
        <v>90.509699999999995</v>
      </c>
      <c r="C4711">
        <v>3.7238899999999999E-4</v>
      </c>
    </row>
    <row r="4712" spans="1:3" x14ac:dyDescent="0.15">
      <c r="A4712" t="s">
        <v>977</v>
      </c>
      <c r="B4712">
        <v>128</v>
      </c>
      <c r="C4712">
        <v>2.7354799999999998E-4</v>
      </c>
    </row>
    <row r="4713" spans="1:3" x14ac:dyDescent="0.15">
      <c r="A4713" t="s">
        <v>977</v>
      </c>
      <c r="B4713">
        <v>181.01929999999999</v>
      </c>
      <c r="C4713">
        <v>1.3500799999999999E-4</v>
      </c>
    </row>
    <row r="4714" spans="1:3" x14ac:dyDescent="0.15">
      <c r="A4714" t="s">
        <v>977</v>
      </c>
      <c r="B4714">
        <v>256</v>
      </c>
      <c r="C4714">
        <v>2.0749000000000001E-5</v>
      </c>
    </row>
    <row r="4715" spans="1:3" x14ac:dyDescent="0.15">
      <c r="A4715" t="s">
        <v>977</v>
      </c>
      <c r="B4715">
        <v>362.03870000000001</v>
      </c>
      <c r="C4715">
        <v>3.8700000000000001E-7</v>
      </c>
    </row>
    <row r="4716" spans="1:3" x14ac:dyDescent="0.15">
      <c r="A4716" t="s">
        <v>977</v>
      </c>
      <c r="B4716">
        <v>512</v>
      </c>
      <c r="C4716">
        <v>0</v>
      </c>
    </row>
    <row r="4717" spans="1:3" x14ac:dyDescent="0.15">
      <c r="A4717" t="s">
        <v>977</v>
      </c>
      <c r="B4717">
        <v>724.07730000000004</v>
      </c>
      <c r="C4717">
        <v>0</v>
      </c>
    </row>
    <row r="4718" spans="1:3" x14ac:dyDescent="0.15">
      <c r="A4718" t="s">
        <v>978</v>
      </c>
      <c r="B4718">
        <v>2</v>
      </c>
      <c r="C4718">
        <v>7.1421199999999998E-4</v>
      </c>
    </row>
    <row r="4719" spans="1:3" x14ac:dyDescent="0.15">
      <c r="A4719" t="s">
        <v>978</v>
      </c>
      <c r="B4719">
        <v>2.8283999999999998</v>
      </c>
      <c r="C4719">
        <v>8.7598699999999995E-4</v>
      </c>
    </row>
    <row r="4720" spans="1:3" x14ac:dyDescent="0.15">
      <c r="A4720" t="s">
        <v>978</v>
      </c>
      <c r="B4720">
        <v>4</v>
      </c>
      <c r="C4720">
        <v>1.0117100000000001E-3</v>
      </c>
    </row>
    <row r="4721" spans="1:3" x14ac:dyDescent="0.15">
      <c r="A4721" t="s">
        <v>978</v>
      </c>
      <c r="B4721">
        <v>5.6569000000000003</v>
      </c>
      <c r="C4721">
        <v>1.0204820000000001E-3</v>
      </c>
    </row>
    <row r="4722" spans="1:3" x14ac:dyDescent="0.15">
      <c r="A4722" t="s">
        <v>978</v>
      </c>
      <c r="B4722">
        <v>8</v>
      </c>
      <c r="C4722">
        <v>8.5426100000000004E-4</v>
      </c>
    </row>
    <row r="4723" spans="1:3" x14ac:dyDescent="0.15">
      <c r="A4723" t="s">
        <v>978</v>
      </c>
      <c r="B4723">
        <v>11.313700000000001</v>
      </c>
      <c r="C4723">
        <v>6.3592200000000003E-4</v>
      </c>
    </row>
    <row r="4724" spans="1:3" x14ac:dyDescent="0.15">
      <c r="A4724" t="s">
        <v>978</v>
      </c>
      <c r="B4724">
        <v>16</v>
      </c>
      <c r="C4724">
        <v>5.20774E-4</v>
      </c>
    </row>
    <row r="4725" spans="1:3" x14ac:dyDescent="0.15">
      <c r="A4725" t="s">
        <v>978</v>
      </c>
      <c r="B4725">
        <v>22.627400000000002</v>
      </c>
      <c r="C4725">
        <v>4.4194699999999999E-4</v>
      </c>
    </row>
    <row r="4726" spans="1:3" x14ac:dyDescent="0.15">
      <c r="A4726" t="s">
        <v>978</v>
      </c>
      <c r="B4726">
        <v>32</v>
      </c>
      <c r="C4726">
        <v>3.6844299999999998E-4</v>
      </c>
    </row>
    <row r="4727" spans="1:3" x14ac:dyDescent="0.15">
      <c r="A4727" t="s">
        <v>978</v>
      </c>
      <c r="B4727">
        <v>45.254800000000003</v>
      </c>
      <c r="C4727">
        <v>3.0642400000000002E-4</v>
      </c>
    </row>
    <row r="4728" spans="1:3" x14ac:dyDescent="0.15">
      <c r="A4728" t="s">
        <v>978</v>
      </c>
      <c r="B4728">
        <v>64</v>
      </c>
      <c r="C4728">
        <v>2.60649E-4</v>
      </c>
    </row>
    <row r="4729" spans="1:3" x14ac:dyDescent="0.15">
      <c r="A4729" t="s">
        <v>978</v>
      </c>
      <c r="B4729">
        <v>90.509699999999995</v>
      </c>
      <c r="C4729">
        <v>3.2688900000000002E-4</v>
      </c>
    </row>
    <row r="4730" spans="1:3" x14ac:dyDescent="0.15">
      <c r="A4730" t="s">
        <v>978</v>
      </c>
      <c r="B4730">
        <v>128</v>
      </c>
      <c r="C4730">
        <v>3.5428100000000002E-4</v>
      </c>
    </row>
    <row r="4731" spans="1:3" x14ac:dyDescent="0.15">
      <c r="A4731" t="s">
        <v>978</v>
      </c>
      <c r="B4731">
        <v>181.01929999999999</v>
      </c>
      <c r="C4731">
        <v>1.82888E-4</v>
      </c>
    </row>
    <row r="4732" spans="1:3" x14ac:dyDescent="0.15">
      <c r="A4732" t="s">
        <v>978</v>
      </c>
      <c r="B4732">
        <v>256</v>
      </c>
      <c r="C4732">
        <v>2.8129000000000001E-5</v>
      </c>
    </row>
    <row r="4733" spans="1:3" x14ac:dyDescent="0.15">
      <c r="A4733" t="s">
        <v>978</v>
      </c>
      <c r="B4733">
        <v>362.03870000000001</v>
      </c>
      <c r="C4733">
        <v>5.2499999999999995E-7</v>
      </c>
    </row>
    <row r="4734" spans="1:3" x14ac:dyDescent="0.15">
      <c r="A4734" t="s">
        <v>978</v>
      </c>
      <c r="B4734">
        <v>512</v>
      </c>
      <c r="C4734">
        <v>0</v>
      </c>
    </row>
    <row r="4735" spans="1:3" x14ac:dyDescent="0.15">
      <c r="A4735" t="s">
        <v>978</v>
      </c>
      <c r="B4735">
        <v>724.07730000000004</v>
      </c>
      <c r="C4735">
        <v>0</v>
      </c>
    </row>
    <row r="4736" spans="1:3" x14ac:dyDescent="0.15">
      <c r="A4736" t="s">
        <v>979</v>
      </c>
      <c r="B4736">
        <v>2</v>
      </c>
      <c r="C4736">
        <v>1.371866E-3</v>
      </c>
    </row>
    <row r="4737" spans="1:3" x14ac:dyDescent="0.15">
      <c r="A4737" t="s">
        <v>979</v>
      </c>
      <c r="B4737">
        <v>2.8283999999999998</v>
      </c>
      <c r="C4737">
        <v>1.799007E-3</v>
      </c>
    </row>
    <row r="4738" spans="1:3" x14ac:dyDescent="0.15">
      <c r="A4738" t="s">
        <v>979</v>
      </c>
      <c r="B4738">
        <v>4</v>
      </c>
      <c r="C4738">
        <v>2.0167459999999998E-3</v>
      </c>
    </row>
    <row r="4739" spans="1:3" x14ac:dyDescent="0.15">
      <c r="A4739" t="s">
        <v>979</v>
      </c>
      <c r="B4739">
        <v>5.6569000000000003</v>
      </c>
      <c r="C4739">
        <v>1.768501E-3</v>
      </c>
    </row>
    <row r="4740" spans="1:3" x14ac:dyDescent="0.15">
      <c r="A4740" t="s">
        <v>979</v>
      </c>
      <c r="B4740">
        <v>8</v>
      </c>
      <c r="C4740">
        <v>1.2768320000000001E-3</v>
      </c>
    </row>
    <row r="4741" spans="1:3" x14ac:dyDescent="0.15">
      <c r="A4741" t="s">
        <v>979</v>
      </c>
      <c r="B4741">
        <v>11.313700000000001</v>
      </c>
      <c r="C4741">
        <v>1.070884E-3</v>
      </c>
    </row>
    <row r="4742" spans="1:3" x14ac:dyDescent="0.15">
      <c r="A4742" t="s">
        <v>979</v>
      </c>
      <c r="B4742">
        <v>16</v>
      </c>
      <c r="C4742">
        <v>8.8895800000000002E-4</v>
      </c>
    </row>
    <row r="4743" spans="1:3" x14ac:dyDescent="0.15">
      <c r="A4743" t="s">
        <v>979</v>
      </c>
      <c r="B4743">
        <v>22.627400000000002</v>
      </c>
      <c r="C4743">
        <v>8.7921799999999997E-4</v>
      </c>
    </row>
    <row r="4744" spans="1:3" x14ac:dyDescent="0.15">
      <c r="A4744" t="s">
        <v>979</v>
      </c>
      <c r="B4744">
        <v>32</v>
      </c>
      <c r="C4744">
        <v>9.0291199999999996E-4</v>
      </c>
    </row>
    <row r="4745" spans="1:3" x14ac:dyDescent="0.15">
      <c r="A4745" t="s">
        <v>979</v>
      </c>
      <c r="B4745">
        <v>45.254800000000003</v>
      </c>
      <c r="C4745">
        <v>9.8901900000000005E-4</v>
      </c>
    </row>
    <row r="4746" spans="1:3" x14ac:dyDescent="0.15">
      <c r="A4746" t="s">
        <v>979</v>
      </c>
      <c r="B4746">
        <v>64</v>
      </c>
      <c r="C4746">
        <v>1.2563089999999999E-3</v>
      </c>
    </row>
    <row r="4747" spans="1:3" x14ac:dyDescent="0.15">
      <c r="A4747" t="s">
        <v>979</v>
      </c>
      <c r="B4747">
        <v>90.509699999999995</v>
      </c>
      <c r="C4747">
        <v>1.5549100000000001E-3</v>
      </c>
    </row>
    <row r="4748" spans="1:3" x14ac:dyDescent="0.15">
      <c r="A4748" t="s">
        <v>979</v>
      </c>
      <c r="B4748">
        <v>128</v>
      </c>
      <c r="C4748">
        <v>1.4583140000000001E-3</v>
      </c>
    </row>
    <row r="4749" spans="1:3" x14ac:dyDescent="0.15">
      <c r="A4749" t="s">
        <v>979</v>
      </c>
      <c r="B4749">
        <v>181.01929999999999</v>
      </c>
      <c r="C4749">
        <v>7.2599399999999999E-4</v>
      </c>
    </row>
    <row r="4750" spans="1:3" x14ac:dyDescent="0.15">
      <c r="A4750" t="s">
        <v>979</v>
      </c>
      <c r="B4750">
        <v>256</v>
      </c>
      <c r="C4750">
        <v>1.11226E-4</v>
      </c>
    </row>
    <row r="4751" spans="1:3" x14ac:dyDescent="0.15">
      <c r="A4751" t="s">
        <v>979</v>
      </c>
      <c r="B4751">
        <v>362.03870000000001</v>
      </c>
      <c r="C4751">
        <v>2.074E-6</v>
      </c>
    </row>
    <row r="4752" spans="1:3" x14ac:dyDescent="0.15">
      <c r="A4752" t="s">
        <v>979</v>
      </c>
      <c r="B4752">
        <v>512</v>
      </c>
      <c r="C4752">
        <v>2.0000000000000001E-9</v>
      </c>
    </row>
    <row r="4753" spans="1:3" x14ac:dyDescent="0.15">
      <c r="A4753" t="s">
        <v>979</v>
      </c>
      <c r="B4753">
        <v>724.07730000000004</v>
      </c>
      <c r="C4753">
        <v>0</v>
      </c>
    </row>
    <row r="4754" spans="1:3" x14ac:dyDescent="0.15">
      <c r="A4754" t="s">
        <v>980</v>
      </c>
      <c r="B4754">
        <v>2</v>
      </c>
      <c r="C4754">
        <v>1.255389E-3</v>
      </c>
    </row>
    <row r="4755" spans="1:3" x14ac:dyDescent="0.15">
      <c r="A4755" t="s">
        <v>980</v>
      </c>
      <c r="B4755">
        <v>2.8283999999999998</v>
      </c>
      <c r="C4755">
        <v>1.4582480000000001E-3</v>
      </c>
    </row>
    <row r="4756" spans="1:3" x14ac:dyDescent="0.15">
      <c r="A4756" t="s">
        <v>980</v>
      </c>
      <c r="B4756">
        <v>4</v>
      </c>
      <c r="C4756">
        <v>1.490892E-3</v>
      </c>
    </row>
    <row r="4757" spans="1:3" x14ac:dyDescent="0.15">
      <c r="A4757" t="s">
        <v>980</v>
      </c>
      <c r="B4757">
        <v>5.6569000000000003</v>
      </c>
      <c r="C4757">
        <v>1.3321190000000001E-3</v>
      </c>
    </row>
    <row r="4758" spans="1:3" x14ac:dyDescent="0.15">
      <c r="A4758" t="s">
        <v>980</v>
      </c>
      <c r="B4758">
        <v>8</v>
      </c>
      <c r="C4758">
        <v>1.1420969999999999E-3</v>
      </c>
    </row>
    <row r="4759" spans="1:3" x14ac:dyDescent="0.15">
      <c r="A4759" t="s">
        <v>980</v>
      </c>
      <c r="B4759">
        <v>11.313700000000001</v>
      </c>
      <c r="C4759">
        <v>1.027074E-3</v>
      </c>
    </row>
    <row r="4760" spans="1:3" x14ac:dyDescent="0.15">
      <c r="A4760" t="s">
        <v>980</v>
      </c>
      <c r="B4760">
        <v>16</v>
      </c>
      <c r="C4760">
        <v>9.4674799999999997E-4</v>
      </c>
    </row>
    <row r="4761" spans="1:3" x14ac:dyDescent="0.15">
      <c r="A4761" t="s">
        <v>980</v>
      </c>
      <c r="B4761">
        <v>22.627400000000002</v>
      </c>
      <c r="C4761">
        <v>8.2873699999999996E-4</v>
      </c>
    </row>
    <row r="4762" spans="1:3" x14ac:dyDescent="0.15">
      <c r="A4762" t="s">
        <v>980</v>
      </c>
      <c r="B4762">
        <v>32</v>
      </c>
      <c r="C4762">
        <v>6.4223999999999998E-4</v>
      </c>
    </row>
    <row r="4763" spans="1:3" x14ac:dyDescent="0.15">
      <c r="A4763" t="s">
        <v>980</v>
      </c>
      <c r="B4763">
        <v>45.254800000000003</v>
      </c>
      <c r="C4763">
        <v>5.1003500000000005E-4</v>
      </c>
    </row>
    <row r="4764" spans="1:3" x14ac:dyDescent="0.15">
      <c r="A4764" t="s">
        <v>980</v>
      </c>
      <c r="B4764">
        <v>64</v>
      </c>
      <c r="C4764">
        <v>3.41909E-4</v>
      </c>
    </row>
    <row r="4765" spans="1:3" x14ac:dyDescent="0.15">
      <c r="A4765" t="s">
        <v>980</v>
      </c>
      <c r="B4765">
        <v>90.509699999999995</v>
      </c>
      <c r="C4765">
        <v>1.06909E-4</v>
      </c>
    </row>
    <row r="4766" spans="1:3" x14ac:dyDescent="0.15">
      <c r="A4766" t="s">
        <v>980</v>
      </c>
      <c r="B4766">
        <v>128</v>
      </c>
      <c r="C4766">
        <v>1.4918E-5</v>
      </c>
    </row>
    <row r="4767" spans="1:3" x14ac:dyDescent="0.15">
      <c r="A4767" t="s">
        <v>980</v>
      </c>
      <c r="B4767">
        <v>181.01929999999999</v>
      </c>
      <c r="C4767">
        <v>1.5987000000000001E-5</v>
      </c>
    </row>
    <row r="4768" spans="1:3" x14ac:dyDescent="0.15">
      <c r="A4768" t="s">
        <v>980</v>
      </c>
      <c r="B4768">
        <v>256</v>
      </c>
      <c r="C4768">
        <v>2.5019999999999999E-6</v>
      </c>
    </row>
    <row r="4769" spans="1:3" x14ac:dyDescent="0.15">
      <c r="A4769" t="s">
        <v>980</v>
      </c>
      <c r="B4769">
        <v>362.03870000000001</v>
      </c>
      <c r="C4769">
        <v>4.6000000000000002E-8</v>
      </c>
    </row>
    <row r="4770" spans="1:3" x14ac:dyDescent="0.15">
      <c r="A4770" t="s">
        <v>980</v>
      </c>
      <c r="B4770">
        <v>512</v>
      </c>
      <c r="C4770">
        <v>0</v>
      </c>
    </row>
    <row r="4771" spans="1:3" x14ac:dyDescent="0.15">
      <c r="A4771" t="s">
        <v>980</v>
      </c>
      <c r="B4771">
        <v>724.07730000000004</v>
      </c>
      <c r="C4771">
        <v>0</v>
      </c>
    </row>
    <row r="4772" spans="1:3" x14ac:dyDescent="0.15">
      <c r="A4772" t="s">
        <v>981</v>
      </c>
      <c r="B4772">
        <v>2</v>
      </c>
      <c r="C4772">
        <v>1.6783779999999999E-3</v>
      </c>
    </row>
    <row r="4773" spans="1:3" x14ac:dyDescent="0.15">
      <c r="A4773" t="s">
        <v>981</v>
      </c>
      <c r="B4773">
        <v>2.8283999999999998</v>
      </c>
      <c r="C4773">
        <v>1.87458E-3</v>
      </c>
    </row>
    <row r="4774" spans="1:3" x14ac:dyDescent="0.15">
      <c r="A4774" t="s">
        <v>981</v>
      </c>
      <c r="B4774">
        <v>4</v>
      </c>
      <c r="C4774">
        <v>1.5295879999999999E-3</v>
      </c>
    </row>
    <row r="4775" spans="1:3" x14ac:dyDescent="0.15">
      <c r="A4775" t="s">
        <v>981</v>
      </c>
      <c r="B4775">
        <v>5.6569000000000003</v>
      </c>
      <c r="C4775">
        <v>9.22057E-4</v>
      </c>
    </row>
    <row r="4776" spans="1:3" x14ac:dyDescent="0.15">
      <c r="A4776" t="s">
        <v>981</v>
      </c>
      <c r="B4776">
        <v>8</v>
      </c>
      <c r="C4776">
        <v>8.1859399999999996E-4</v>
      </c>
    </row>
    <row r="4777" spans="1:3" x14ac:dyDescent="0.15">
      <c r="A4777" t="s">
        <v>981</v>
      </c>
      <c r="B4777">
        <v>11.313700000000001</v>
      </c>
      <c r="C4777">
        <v>9.3851500000000001E-4</v>
      </c>
    </row>
    <row r="4778" spans="1:3" x14ac:dyDescent="0.15">
      <c r="A4778" t="s">
        <v>981</v>
      </c>
      <c r="B4778">
        <v>16</v>
      </c>
      <c r="C4778">
        <v>1.241065E-3</v>
      </c>
    </row>
    <row r="4779" spans="1:3" x14ac:dyDescent="0.15">
      <c r="A4779" t="s">
        <v>981</v>
      </c>
      <c r="B4779">
        <v>22.627400000000002</v>
      </c>
      <c r="C4779">
        <v>1.6468019999999999E-3</v>
      </c>
    </row>
    <row r="4780" spans="1:3" x14ac:dyDescent="0.15">
      <c r="A4780" t="s">
        <v>981</v>
      </c>
      <c r="B4780">
        <v>32</v>
      </c>
      <c r="C4780">
        <v>1.9075229999999999E-3</v>
      </c>
    </row>
    <row r="4781" spans="1:3" x14ac:dyDescent="0.15">
      <c r="A4781" t="s">
        <v>981</v>
      </c>
      <c r="B4781">
        <v>45.254800000000003</v>
      </c>
      <c r="C4781">
        <v>1.709438E-3</v>
      </c>
    </row>
    <row r="4782" spans="1:3" x14ac:dyDescent="0.15">
      <c r="A4782" t="s">
        <v>981</v>
      </c>
      <c r="B4782">
        <v>64</v>
      </c>
      <c r="C4782">
        <v>1.2759830000000001E-3</v>
      </c>
    </row>
    <row r="4783" spans="1:3" x14ac:dyDescent="0.15">
      <c r="A4783" t="s">
        <v>981</v>
      </c>
      <c r="B4783">
        <v>90.509699999999995</v>
      </c>
      <c r="C4783">
        <v>6.1815600000000002E-4</v>
      </c>
    </row>
    <row r="4784" spans="1:3" x14ac:dyDescent="0.15">
      <c r="A4784" t="s">
        <v>981</v>
      </c>
      <c r="B4784">
        <v>128</v>
      </c>
      <c r="C4784">
        <v>9.5254999999999995E-5</v>
      </c>
    </row>
    <row r="4785" spans="1:3" x14ac:dyDescent="0.15">
      <c r="A4785" t="s">
        <v>981</v>
      </c>
      <c r="B4785">
        <v>181.01929999999999</v>
      </c>
      <c r="C4785">
        <v>1.778E-6</v>
      </c>
    </row>
    <row r="4786" spans="1:3" x14ac:dyDescent="0.15">
      <c r="A4786" t="s">
        <v>981</v>
      </c>
      <c r="B4786">
        <v>256</v>
      </c>
      <c r="C4786">
        <v>1.0000000000000001E-9</v>
      </c>
    </row>
    <row r="4787" spans="1:3" x14ac:dyDescent="0.15">
      <c r="A4787" t="s">
        <v>981</v>
      </c>
      <c r="B4787">
        <v>362.03870000000001</v>
      </c>
      <c r="C4787">
        <v>0</v>
      </c>
    </row>
    <row r="4788" spans="1:3" x14ac:dyDescent="0.15">
      <c r="A4788" t="s">
        <v>981</v>
      </c>
      <c r="B4788">
        <v>512</v>
      </c>
      <c r="C4788">
        <v>0</v>
      </c>
    </row>
    <row r="4789" spans="1:3" x14ac:dyDescent="0.15">
      <c r="A4789" t="s">
        <v>981</v>
      </c>
      <c r="B4789">
        <v>724.07730000000004</v>
      </c>
      <c r="C4789">
        <v>0</v>
      </c>
    </row>
    <row r="4790" spans="1:3" x14ac:dyDescent="0.15">
      <c r="A4790" t="s">
        <v>982</v>
      </c>
      <c r="B4790">
        <v>2</v>
      </c>
      <c r="C4790">
        <v>7.5446400000000005E-4</v>
      </c>
    </row>
    <row r="4791" spans="1:3" x14ac:dyDescent="0.15">
      <c r="A4791" t="s">
        <v>982</v>
      </c>
      <c r="B4791">
        <v>2.8283999999999998</v>
      </c>
      <c r="C4791">
        <v>9.4125000000000003E-4</v>
      </c>
    </row>
    <row r="4792" spans="1:3" x14ac:dyDescent="0.15">
      <c r="A4792" t="s">
        <v>982</v>
      </c>
      <c r="B4792">
        <v>4</v>
      </c>
      <c r="C4792">
        <v>1.100951E-3</v>
      </c>
    </row>
    <row r="4793" spans="1:3" x14ac:dyDescent="0.15">
      <c r="A4793" t="s">
        <v>982</v>
      </c>
      <c r="B4793">
        <v>5.6569000000000003</v>
      </c>
      <c r="C4793">
        <v>1.0955279999999999E-3</v>
      </c>
    </row>
    <row r="4794" spans="1:3" x14ac:dyDescent="0.15">
      <c r="A4794" t="s">
        <v>982</v>
      </c>
      <c r="B4794">
        <v>8</v>
      </c>
      <c r="C4794">
        <v>9.4529599999999998E-4</v>
      </c>
    </row>
    <row r="4795" spans="1:3" x14ac:dyDescent="0.15">
      <c r="A4795" t="s">
        <v>982</v>
      </c>
      <c r="B4795">
        <v>11.313700000000001</v>
      </c>
      <c r="C4795">
        <v>7.9513100000000003E-4</v>
      </c>
    </row>
    <row r="4796" spans="1:3" x14ac:dyDescent="0.15">
      <c r="A4796" t="s">
        <v>982</v>
      </c>
      <c r="B4796">
        <v>16</v>
      </c>
      <c r="C4796">
        <v>7.0071300000000005E-4</v>
      </c>
    </row>
    <row r="4797" spans="1:3" x14ac:dyDescent="0.15">
      <c r="A4797" t="s">
        <v>982</v>
      </c>
      <c r="B4797">
        <v>22.627400000000002</v>
      </c>
      <c r="C4797">
        <v>6.3012099999999998E-4</v>
      </c>
    </row>
    <row r="4798" spans="1:3" x14ac:dyDescent="0.15">
      <c r="A4798" t="s">
        <v>982</v>
      </c>
      <c r="B4798">
        <v>32</v>
      </c>
      <c r="C4798">
        <v>5.1904200000000005E-4</v>
      </c>
    </row>
    <row r="4799" spans="1:3" x14ac:dyDescent="0.15">
      <c r="A4799" t="s">
        <v>982</v>
      </c>
      <c r="B4799">
        <v>45.254800000000003</v>
      </c>
      <c r="C4799">
        <v>4.0273899999999999E-4</v>
      </c>
    </row>
    <row r="4800" spans="1:3" x14ac:dyDescent="0.15">
      <c r="A4800" t="s">
        <v>982</v>
      </c>
      <c r="B4800">
        <v>64</v>
      </c>
      <c r="C4800">
        <v>3.8009399999999998E-4</v>
      </c>
    </row>
    <row r="4801" spans="1:3" x14ac:dyDescent="0.15">
      <c r="A4801" t="s">
        <v>982</v>
      </c>
      <c r="B4801">
        <v>90.509699999999995</v>
      </c>
      <c r="C4801">
        <v>3.29656E-4</v>
      </c>
    </row>
    <row r="4802" spans="1:3" x14ac:dyDescent="0.15">
      <c r="A4802" t="s">
        <v>982</v>
      </c>
      <c r="B4802">
        <v>128</v>
      </c>
      <c r="C4802">
        <v>2.7791399999999998E-4</v>
      </c>
    </row>
    <row r="4803" spans="1:3" x14ac:dyDescent="0.15">
      <c r="A4803" t="s">
        <v>982</v>
      </c>
      <c r="B4803">
        <v>181.01929999999999</v>
      </c>
      <c r="C4803">
        <v>1.3798400000000001E-4</v>
      </c>
    </row>
    <row r="4804" spans="1:3" x14ac:dyDescent="0.15">
      <c r="A4804" t="s">
        <v>982</v>
      </c>
      <c r="B4804">
        <v>256</v>
      </c>
      <c r="C4804">
        <v>2.1083000000000001E-5</v>
      </c>
    </row>
    <row r="4805" spans="1:3" x14ac:dyDescent="0.15">
      <c r="A4805" t="s">
        <v>982</v>
      </c>
      <c r="B4805">
        <v>362.03870000000001</v>
      </c>
      <c r="C4805">
        <v>3.9299999999999999E-7</v>
      </c>
    </row>
    <row r="4806" spans="1:3" x14ac:dyDescent="0.15">
      <c r="A4806" t="s">
        <v>982</v>
      </c>
      <c r="B4806">
        <v>512</v>
      </c>
      <c r="C4806">
        <v>0</v>
      </c>
    </row>
    <row r="4807" spans="1:3" x14ac:dyDescent="0.15">
      <c r="A4807" t="s">
        <v>982</v>
      </c>
      <c r="B4807">
        <v>724.07730000000004</v>
      </c>
      <c r="C4807">
        <v>0</v>
      </c>
    </row>
    <row r="4808" spans="1:3" x14ac:dyDescent="0.15">
      <c r="A4808" t="s">
        <v>983</v>
      </c>
      <c r="B4808">
        <v>2</v>
      </c>
      <c r="C4808">
        <v>1.099325E-3</v>
      </c>
    </row>
    <row r="4809" spans="1:3" x14ac:dyDescent="0.15">
      <c r="A4809" t="s">
        <v>983</v>
      </c>
      <c r="B4809">
        <v>2.8283999999999998</v>
      </c>
      <c r="C4809">
        <v>1.416385E-3</v>
      </c>
    </row>
    <row r="4810" spans="1:3" x14ac:dyDescent="0.15">
      <c r="A4810" t="s">
        <v>983</v>
      </c>
      <c r="B4810">
        <v>4</v>
      </c>
      <c r="C4810">
        <v>1.5158280000000001E-3</v>
      </c>
    </row>
    <row r="4811" spans="1:3" x14ac:dyDescent="0.15">
      <c r="A4811" t="s">
        <v>983</v>
      </c>
      <c r="B4811">
        <v>5.6569000000000003</v>
      </c>
      <c r="C4811">
        <v>1.3798300000000001E-3</v>
      </c>
    </row>
    <row r="4812" spans="1:3" x14ac:dyDescent="0.15">
      <c r="A4812" t="s">
        <v>983</v>
      </c>
      <c r="B4812">
        <v>8</v>
      </c>
      <c r="C4812">
        <v>1.3466369999999999E-3</v>
      </c>
    </row>
    <row r="4813" spans="1:3" x14ac:dyDescent="0.15">
      <c r="A4813" t="s">
        <v>983</v>
      </c>
      <c r="B4813">
        <v>11.313700000000001</v>
      </c>
      <c r="C4813">
        <v>1.3188849999999999E-3</v>
      </c>
    </row>
    <row r="4814" spans="1:3" x14ac:dyDescent="0.15">
      <c r="A4814" t="s">
        <v>983</v>
      </c>
      <c r="B4814">
        <v>16</v>
      </c>
      <c r="C4814">
        <v>1.1034009999999999E-3</v>
      </c>
    </row>
    <row r="4815" spans="1:3" x14ac:dyDescent="0.15">
      <c r="A4815" t="s">
        <v>983</v>
      </c>
      <c r="B4815">
        <v>22.627400000000002</v>
      </c>
      <c r="C4815">
        <v>1.0383359999999999E-3</v>
      </c>
    </row>
    <row r="4816" spans="1:3" x14ac:dyDescent="0.15">
      <c r="A4816" t="s">
        <v>983</v>
      </c>
      <c r="B4816">
        <v>32</v>
      </c>
      <c r="C4816">
        <v>1.0874490000000001E-3</v>
      </c>
    </row>
    <row r="4817" spans="1:3" x14ac:dyDescent="0.15">
      <c r="A4817" t="s">
        <v>983</v>
      </c>
      <c r="B4817">
        <v>45.254800000000003</v>
      </c>
      <c r="C4817">
        <v>1.1056270000000001E-3</v>
      </c>
    </row>
    <row r="4818" spans="1:3" x14ac:dyDescent="0.15">
      <c r="A4818" t="s">
        <v>983</v>
      </c>
      <c r="B4818">
        <v>64</v>
      </c>
      <c r="C4818">
        <v>1.065526E-3</v>
      </c>
    </row>
    <row r="4819" spans="1:3" x14ac:dyDescent="0.15">
      <c r="A4819" t="s">
        <v>983</v>
      </c>
      <c r="B4819">
        <v>90.509699999999995</v>
      </c>
      <c r="C4819">
        <v>8.7111299999999997E-4</v>
      </c>
    </row>
    <row r="4820" spans="1:3" x14ac:dyDescent="0.15">
      <c r="A4820" t="s">
        <v>983</v>
      </c>
      <c r="B4820">
        <v>128</v>
      </c>
      <c r="C4820">
        <v>7.6532599999999998E-4</v>
      </c>
    </row>
    <row r="4821" spans="1:3" x14ac:dyDescent="0.15">
      <c r="A4821" t="s">
        <v>983</v>
      </c>
      <c r="B4821">
        <v>181.01929999999999</v>
      </c>
      <c r="C4821">
        <v>3.8730200000000001E-4</v>
      </c>
    </row>
    <row r="4822" spans="1:3" x14ac:dyDescent="0.15">
      <c r="A4822" t="s">
        <v>983</v>
      </c>
      <c r="B4822">
        <v>256</v>
      </c>
      <c r="C4822">
        <v>5.9361000000000003E-5</v>
      </c>
    </row>
    <row r="4823" spans="1:3" x14ac:dyDescent="0.15">
      <c r="A4823" t="s">
        <v>983</v>
      </c>
      <c r="B4823">
        <v>362.03870000000001</v>
      </c>
      <c r="C4823">
        <v>1.1069999999999999E-6</v>
      </c>
    </row>
    <row r="4824" spans="1:3" x14ac:dyDescent="0.15">
      <c r="A4824" t="s">
        <v>983</v>
      </c>
      <c r="B4824">
        <v>512</v>
      </c>
      <c r="C4824">
        <v>0</v>
      </c>
    </row>
    <row r="4825" spans="1:3" x14ac:dyDescent="0.15">
      <c r="A4825" t="s">
        <v>983</v>
      </c>
      <c r="B4825">
        <v>724.07730000000004</v>
      </c>
      <c r="C4825">
        <v>0</v>
      </c>
    </row>
    <row r="4826" spans="1:3" x14ac:dyDescent="0.15">
      <c r="A4826" t="s">
        <v>984</v>
      </c>
      <c r="B4826">
        <v>2</v>
      </c>
      <c r="C4826">
        <v>1.5351329999999999E-3</v>
      </c>
    </row>
    <row r="4827" spans="1:3" x14ac:dyDescent="0.15">
      <c r="A4827" t="s">
        <v>984</v>
      </c>
      <c r="B4827">
        <v>2.8283999999999998</v>
      </c>
      <c r="C4827">
        <v>1.953481E-3</v>
      </c>
    </row>
    <row r="4828" spans="1:3" x14ac:dyDescent="0.15">
      <c r="A4828" t="s">
        <v>984</v>
      </c>
      <c r="B4828">
        <v>4</v>
      </c>
      <c r="C4828">
        <v>2.1277639999999999E-3</v>
      </c>
    </row>
    <row r="4829" spans="1:3" x14ac:dyDescent="0.15">
      <c r="A4829" t="s">
        <v>984</v>
      </c>
      <c r="B4829">
        <v>5.6569000000000003</v>
      </c>
      <c r="C4829">
        <v>2.044536E-3</v>
      </c>
    </row>
    <row r="4830" spans="1:3" x14ac:dyDescent="0.15">
      <c r="A4830" t="s">
        <v>984</v>
      </c>
      <c r="B4830">
        <v>8</v>
      </c>
      <c r="C4830">
        <v>1.883926E-3</v>
      </c>
    </row>
    <row r="4831" spans="1:3" x14ac:dyDescent="0.15">
      <c r="A4831" t="s">
        <v>984</v>
      </c>
      <c r="B4831">
        <v>11.313700000000001</v>
      </c>
      <c r="C4831">
        <v>1.835192E-3</v>
      </c>
    </row>
    <row r="4832" spans="1:3" x14ac:dyDescent="0.15">
      <c r="A4832" t="s">
        <v>984</v>
      </c>
      <c r="B4832">
        <v>16</v>
      </c>
      <c r="C4832">
        <v>1.6592130000000001E-3</v>
      </c>
    </row>
    <row r="4833" spans="1:3" x14ac:dyDescent="0.15">
      <c r="A4833" t="s">
        <v>984</v>
      </c>
      <c r="B4833">
        <v>22.627400000000002</v>
      </c>
      <c r="C4833">
        <v>1.240185E-3</v>
      </c>
    </row>
    <row r="4834" spans="1:3" x14ac:dyDescent="0.15">
      <c r="A4834" t="s">
        <v>984</v>
      </c>
      <c r="B4834">
        <v>32</v>
      </c>
      <c r="C4834">
        <v>1.1599640000000001E-3</v>
      </c>
    </row>
    <row r="4835" spans="1:3" x14ac:dyDescent="0.15">
      <c r="A4835" t="s">
        <v>984</v>
      </c>
      <c r="B4835">
        <v>45.254800000000003</v>
      </c>
      <c r="C4835">
        <v>1.4742550000000001E-3</v>
      </c>
    </row>
    <row r="4836" spans="1:3" x14ac:dyDescent="0.15">
      <c r="A4836" t="s">
        <v>984</v>
      </c>
      <c r="B4836">
        <v>64</v>
      </c>
      <c r="C4836">
        <v>1.491572E-3</v>
      </c>
    </row>
    <row r="4837" spans="1:3" x14ac:dyDescent="0.15">
      <c r="A4837" t="s">
        <v>984</v>
      </c>
      <c r="B4837">
        <v>90.509699999999995</v>
      </c>
      <c r="C4837">
        <v>1.023548E-3</v>
      </c>
    </row>
    <row r="4838" spans="1:3" x14ac:dyDescent="0.15">
      <c r="A4838" t="s">
        <v>984</v>
      </c>
      <c r="B4838">
        <v>128</v>
      </c>
      <c r="C4838">
        <v>7.7091300000000002E-4</v>
      </c>
    </row>
    <row r="4839" spans="1:3" x14ac:dyDescent="0.15">
      <c r="A4839" t="s">
        <v>984</v>
      </c>
      <c r="B4839">
        <v>181.01929999999999</v>
      </c>
      <c r="C4839">
        <v>3.8782600000000002E-4</v>
      </c>
    </row>
    <row r="4840" spans="1:3" x14ac:dyDescent="0.15">
      <c r="A4840" t="s">
        <v>984</v>
      </c>
      <c r="B4840">
        <v>256</v>
      </c>
      <c r="C4840">
        <v>5.9555999999999997E-5</v>
      </c>
    </row>
    <row r="4841" spans="1:3" x14ac:dyDescent="0.15">
      <c r="A4841" t="s">
        <v>984</v>
      </c>
      <c r="B4841">
        <v>362.03870000000001</v>
      </c>
      <c r="C4841">
        <v>1.111E-6</v>
      </c>
    </row>
    <row r="4842" spans="1:3" x14ac:dyDescent="0.15">
      <c r="A4842" t="s">
        <v>984</v>
      </c>
      <c r="B4842">
        <v>512</v>
      </c>
      <c r="C4842">
        <v>0</v>
      </c>
    </row>
    <row r="4843" spans="1:3" x14ac:dyDescent="0.15">
      <c r="A4843" t="s">
        <v>984</v>
      </c>
      <c r="B4843">
        <v>724.07730000000004</v>
      </c>
      <c r="C4843">
        <v>0</v>
      </c>
    </row>
    <row r="4844" spans="1:3" x14ac:dyDescent="0.15">
      <c r="A4844" t="s">
        <v>985</v>
      </c>
      <c r="B4844">
        <v>2</v>
      </c>
      <c r="C4844">
        <v>8.2701200000000002E-4</v>
      </c>
    </row>
    <row r="4845" spans="1:3" x14ac:dyDescent="0.15">
      <c r="A4845" t="s">
        <v>985</v>
      </c>
      <c r="B4845">
        <v>2.8283999999999998</v>
      </c>
      <c r="C4845">
        <v>9.2951100000000005E-4</v>
      </c>
    </row>
    <row r="4846" spans="1:3" x14ac:dyDescent="0.15">
      <c r="A4846" t="s">
        <v>985</v>
      </c>
      <c r="B4846">
        <v>4</v>
      </c>
      <c r="C4846">
        <v>9.9742899999999998E-4</v>
      </c>
    </row>
    <row r="4847" spans="1:3" x14ac:dyDescent="0.15">
      <c r="A4847" t="s">
        <v>985</v>
      </c>
      <c r="B4847">
        <v>5.6569000000000003</v>
      </c>
      <c r="C4847">
        <v>9.5309400000000003E-4</v>
      </c>
    </row>
    <row r="4848" spans="1:3" x14ac:dyDescent="0.15">
      <c r="A4848" t="s">
        <v>985</v>
      </c>
      <c r="B4848">
        <v>8</v>
      </c>
      <c r="C4848">
        <v>8.4416000000000005E-4</v>
      </c>
    </row>
    <row r="4849" spans="1:3" x14ac:dyDescent="0.15">
      <c r="A4849" t="s">
        <v>985</v>
      </c>
      <c r="B4849">
        <v>11.313700000000001</v>
      </c>
      <c r="C4849">
        <v>8.0889500000000001E-4</v>
      </c>
    </row>
    <row r="4850" spans="1:3" x14ac:dyDescent="0.15">
      <c r="A4850" t="s">
        <v>985</v>
      </c>
      <c r="B4850">
        <v>16</v>
      </c>
      <c r="C4850">
        <v>8.0320000000000001E-4</v>
      </c>
    </row>
    <row r="4851" spans="1:3" x14ac:dyDescent="0.15">
      <c r="A4851" t="s">
        <v>985</v>
      </c>
      <c r="B4851">
        <v>22.627400000000002</v>
      </c>
      <c r="C4851">
        <v>6.8128399999999999E-4</v>
      </c>
    </row>
    <row r="4852" spans="1:3" x14ac:dyDescent="0.15">
      <c r="A4852" t="s">
        <v>985</v>
      </c>
      <c r="B4852">
        <v>32</v>
      </c>
      <c r="C4852">
        <v>5.0608700000000001E-4</v>
      </c>
    </row>
    <row r="4853" spans="1:3" x14ac:dyDescent="0.15">
      <c r="A4853" t="s">
        <v>985</v>
      </c>
      <c r="B4853">
        <v>45.254800000000003</v>
      </c>
      <c r="C4853">
        <v>4.8029499999999999E-4</v>
      </c>
    </row>
    <row r="4854" spans="1:3" x14ac:dyDescent="0.15">
      <c r="A4854" t="s">
        <v>985</v>
      </c>
      <c r="B4854">
        <v>64</v>
      </c>
      <c r="C4854">
        <v>4.37069E-4</v>
      </c>
    </row>
    <row r="4855" spans="1:3" x14ac:dyDescent="0.15">
      <c r="A4855" t="s">
        <v>985</v>
      </c>
      <c r="B4855">
        <v>90.509699999999995</v>
      </c>
      <c r="C4855">
        <v>2.0525200000000001E-4</v>
      </c>
    </row>
    <row r="4856" spans="1:3" x14ac:dyDescent="0.15">
      <c r="A4856" t="s">
        <v>985</v>
      </c>
      <c r="B4856">
        <v>128</v>
      </c>
      <c r="C4856">
        <v>4.3775E-5</v>
      </c>
    </row>
    <row r="4857" spans="1:3" x14ac:dyDescent="0.15">
      <c r="A4857" t="s">
        <v>985</v>
      </c>
      <c r="B4857">
        <v>181.01929999999999</v>
      </c>
      <c r="C4857">
        <v>2.3220000000000001E-5</v>
      </c>
    </row>
    <row r="4858" spans="1:3" x14ac:dyDescent="0.15">
      <c r="A4858" t="s">
        <v>985</v>
      </c>
      <c r="B4858">
        <v>256</v>
      </c>
      <c r="C4858">
        <v>3.6519999999999999E-6</v>
      </c>
    </row>
    <row r="4859" spans="1:3" x14ac:dyDescent="0.15">
      <c r="A4859" t="s">
        <v>985</v>
      </c>
      <c r="B4859">
        <v>362.03870000000001</v>
      </c>
      <c r="C4859">
        <v>6.8E-8</v>
      </c>
    </row>
    <row r="4860" spans="1:3" x14ac:dyDescent="0.15">
      <c r="A4860" t="s">
        <v>985</v>
      </c>
      <c r="B4860">
        <v>512</v>
      </c>
      <c r="C4860">
        <v>0</v>
      </c>
    </row>
    <row r="4861" spans="1:3" x14ac:dyDescent="0.15">
      <c r="A4861" t="s">
        <v>985</v>
      </c>
      <c r="B4861">
        <v>724.07730000000004</v>
      </c>
      <c r="C4861">
        <v>0</v>
      </c>
    </row>
    <row r="4862" spans="1:3" x14ac:dyDescent="0.15">
      <c r="A4862" t="s">
        <v>986</v>
      </c>
      <c r="B4862">
        <v>2</v>
      </c>
      <c r="C4862">
        <v>1.43827E-3</v>
      </c>
    </row>
    <row r="4863" spans="1:3" x14ac:dyDescent="0.15">
      <c r="A4863" t="s">
        <v>986</v>
      </c>
      <c r="B4863">
        <v>2.8283999999999998</v>
      </c>
      <c r="C4863">
        <v>1.6160160000000001E-3</v>
      </c>
    </row>
    <row r="4864" spans="1:3" x14ac:dyDescent="0.15">
      <c r="A4864" t="s">
        <v>986</v>
      </c>
      <c r="B4864">
        <v>4</v>
      </c>
      <c r="C4864">
        <v>1.4719469999999999E-3</v>
      </c>
    </row>
    <row r="4865" spans="1:3" x14ac:dyDescent="0.15">
      <c r="A4865" t="s">
        <v>986</v>
      </c>
      <c r="B4865">
        <v>5.6569000000000003</v>
      </c>
      <c r="C4865">
        <v>1.2756060000000001E-3</v>
      </c>
    </row>
    <row r="4866" spans="1:3" x14ac:dyDescent="0.15">
      <c r="A4866" t="s">
        <v>986</v>
      </c>
      <c r="B4866">
        <v>8</v>
      </c>
      <c r="C4866">
        <v>1.3125490000000001E-3</v>
      </c>
    </row>
    <row r="4867" spans="1:3" x14ac:dyDescent="0.15">
      <c r="A4867" t="s">
        <v>986</v>
      </c>
      <c r="B4867">
        <v>11.313700000000001</v>
      </c>
      <c r="C4867">
        <v>1.346697E-3</v>
      </c>
    </row>
    <row r="4868" spans="1:3" x14ac:dyDescent="0.15">
      <c r="A4868" t="s">
        <v>986</v>
      </c>
      <c r="B4868">
        <v>16</v>
      </c>
      <c r="C4868">
        <v>1.0855050000000001E-3</v>
      </c>
    </row>
    <row r="4869" spans="1:3" x14ac:dyDescent="0.15">
      <c r="A4869" t="s">
        <v>986</v>
      </c>
      <c r="B4869">
        <v>22.627400000000002</v>
      </c>
      <c r="C4869">
        <v>8.0452799999999999E-4</v>
      </c>
    </row>
    <row r="4870" spans="1:3" x14ac:dyDescent="0.15">
      <c r="A4870" t="s">
        <v>986</v>
      </c>
      <c r="B4870">
        <v>32</v>
      </c>
      <c r="C4870">
        <v>8.0229100000000001E-4</v>
      </c>
    </row>
    <row r="4871" spans="1:3" x14ac:dyDescent="0.15">
      <c r="A4871" t="s">
        <v>986</v>
      </c>
      <c r="B4871">
        <v>45.254800000000003</v>
      </c>
      <c r="C4871">
        <v>7.6187E-4</v>
      </c>
    </row>
    <row r="4872" spans="1:3" x14ac:dyDescent="0.15">
      <c r="A4872" t="s">
        <v>986</v>
      </c>
      <c r="B4872">
        <v>64</v>
      </c>
      <c r="C4872">
        <v>6.5605399999999999E-4</v>
      </c>
    </row>
    <row r="4873" spans="1:3" x14ac:dyDescent="0.15">
      <c r="A4873" t="s">
        <v>986</v>
      </c>
      <c r="B4873">
        <v>90.509699999999995</v>
      </c>
      <c r="C4873">
        <v>3.31684E-4</v>
      </c>
    </row>
    <row r="4874" spans="1:3" x14ac:dyDescent="0.15">
      <c r="A4874" t="s">
        <v>986</v>
      </c>
      <c r="B4874">
        <v>128</v>
      </c>
      <c r="C4874">
        <v>5.1282999999999997E-5</v>
      </c>
    </row>
    <row r="4875" spans="1:3" x14ac:dyDescent="0.15">
      <c r="A4875" t="s">
        <v>986</v>
      </c>
      <c r="B4875">
        <v>181.01929999999999</v>
      </c>
      <c r="C4875">
        <v>9.569999999999999E-7</v>
      </c>
    </row>
    <row r="4876" spans="1:3" x14ac:dyDescent="0.15">
      <c r="A4876" t="s">
        <v>986</v>
      </c>
      <c r="B4876">
        <v>256</v>
      </c>
      <c r="C4876">
        <v>1.0000000000000001E-9</v>
      </c>
    </row>
    <row r="4877" spans="1:3" x14ac:dyDescent="0.15">
      <c r="A4877" t="s">
        <v>986</v>
      </c>
      <c r="B4877">
        <v>362.03870000000001</v>
      </c>
      <c r="C4877">
        <v>0</v>
      </c>
    </row>
    <row r="4878" spans="1:3" x14ac:dyDescent="0.15">
      <c r="A4878" t="s">
        <v>986</v>
      </c>
      <c r="B4878">
        <v>512</v>
      </c>
      <c r="C4878">
        <v>0</v>
      </c>
    </row>
    <row r="4879" spans="1:3" x14ac:dyDescent="0.15">
      <c r="A4879" t="s">
        <v>986</v>
      </c>
      <c r="B4879">
        <v>724.07730000000004</v>
      </c>
      <c r="C4879">
        <v>0</v>
      </c>
    </row>
    <row r="4880" spans="1:3" x14ac:dyDescent="0.15">
      <c r="A4880" t="s">
        <v>987</v>
      </c>
      <c r="B4880">
        <v>2</v>
      </c>
      <c r="C4880">
        <v>6.3160099999999997E-4</v>
      </c>
    </row>
    <row r="4881" spans="1:3" x14ac:dyDescent="0.15">
      <c r="A4881" t="s">
        <v>987</v>
      </c>
      <c r="B4881">
        <v>2.8283999999999998</v>
      </c>
      <c r="C4881">
        <v>8.0487799999999997E-4</v>
      </c>
    </row>
    <row r="4882" spans="1:3" x14ac:dyDescent="0.15">
      <c r="A4882" t="s">
        <v>987</v>
      </c>
      <c r="B4882">
        <v>4</v>
      </c>
      <c r="C4882">
        <v>1.0804969999999999E-3</v>
      </c>
    </row>
    <row r="4883" spans="1:3" x14ac:dyDescent="0.15">
      <c r="A4883" t="s">
        <v>987</v>
      </c>
      <c r="B4883">
        <v>5.6569000000000003</v>
      </c>
      <c r="C4883">
        <v>1.390882E-3</v>
      </c>
    </row>
    <row r="4884" spans="1:3" x14ac:dyDescent="0.15">
      <c r="A4884" t="s">
        <v>987</v>
      </c>
      <c r="B4884">
        <v>8</v>
      </c>
      <c r="C4884">
        <v>1.577202E-3</v>
      </c>
    </row>
    <row r="4885" spans="1:3" x14ac:dyDescent="0.15">
      <c r="A4885" t="s">
        <v>987</v>
      </c>
      <c r="B4885">
        <v>11.313700000000001</v>
      </c>
      <c r="C4885">
        <v>1.4954390000000001E-3</v>
      </c>
    </row>
    <row r="4886" spans="1:3" x14ac:dyDescent="0.15">
      <c r="A4886" t="s">
        <v>987</v>
      </c>
      <c r="B4886">
        <v>16</v>
      </c>
      <c r="C4886">
        <v>1.034189E-3</v>
      </c>
    </row>
    <row r="4887" spans="1:3" x14ac:dyDescent="0.15">
      <c r="A4887" t="s">
        <v>987</v>
      </c>
      <c r="B4887">
        <v>22.627400000000002</v>
      </c>
      <c r="C4887">
        <v>7.1386799999999999E-4</v>
      </c>
    </row>
    <row r="4888" spans="1:3" x14ac:dyDescent="0.15">
      <c r="A4888" t="s">
        <v>987</v>
      </c>
      <c r="B4888">
        <v>32</v>
      </c>
      <c r="C4888">
        <v>8.1694099999999996E-4</v>
      </c>
    </row>
    <row r="4889" spans="1:3" x14ac:dyDescent="0.15">
      <c r="A4889" t="s">
        <v>987</v>
      </c>
      <c r="B4889">
        <v>45.254800000000003</v>
      </c>
      <c r="C4889">
        <v>1.0467619999999999E-3</v>
      </c>
    </row>
    <row r="4890" spans="1:3" x14ac:dyDescent="0.15">
      <c r="A4890" t="s">
        <v>987</v>
      </c>
      <c r="B4890">
        <v>64</v>
      </c>
      <c r="C4890">
        <v>1.0633680000000001E-3</v>
      </c>
    </row>
    <row r="4891" spans="1:3" x14ac:dyDescent="0.15">
      <c r="A4891" t="s">
        <v>987</v>
      </c>
      <c r="B4891">
        <v>90.509699999999995</v>
      </c>
      <c r="C4891">
        <v>8.5497299999999997E-4</v>
      </c>
    </row>
    <row r="4892" spans="1:3" x14ac:dyDescent="0.15">
      <c r="A4892" t="s">
        <v>987</v>
      </c>
      <c r="B4892">
        <v>128</v>
      </c>
      <c r="C4892">
        <v>7.3531200000000001E-4</v>
      </c>
    </row>
    <row r="4893" spans="1:3" x14ac:dyDescent="0.15">
      <c r="A4893" t="s">
        <v>987</v>
      </c>
      <c r="B4893">
        <v>181.01929999999999</v>
      </c>
      <c r="C4893">
        <v>3.7149699999999998E-4</v>
      </c>
    </row>
    <row r="4894" spans="1:3" x14ac:dyDescent="0.15">
      <c r="A4894" t="s">
        <v>987</v>
      </c>
      <c r="B4894">
        <v>256</v>
      </c>
      <c r="C4894">
        <v>5.7083999999999998E-5</v>
      </c>
    </row>
    <row r="4895" spans="1:3" x14ac:dyDescent="0.15">
      <c r="A4895" t="s">
        <v>987</v>
      </c>
      <c r="B4895">
        <v>362.03870000000001</v>
      </c>
      <c r="C4895">
        <v>1.065E-6</v>
      </c>
    </row>
    <row r="4896" spans="1:3" x14ac:dyDescent="0.15">
      <c r="A4896" t="s">
        <v>987</v>
      </c>
      <c r="B4896">
        <v>512</v>
      </c>
      <c r="C4896">
        <v>0</v>
      </c>
    </row>
    <row r="4897" spans="1:3" x14ac:dyDescent="0.15">
      <c r="A4897" t="s">
        <v>987</v>
      </c>
      <c r="B4897">
        <v>724.07730000000004</v>
      </c>
      <c r="C4897">
        <v>0</v>
      </c>
    </row>
    <row r="4898" spans="1:3" x14ac:dyDescent="0.15">
      <c r="A4898" t="s">
        <v>988</v>
      </c>
      <c r="B4898">
        <v>2</v>
      </c>
      <c r="C4898">
        <v>1.1650079999999999E-3</v>
      </c>
    </row>
    <row r="4899" spans="1:3" x14ac:dyDescent="0.15">
      <c r="A4899" t="s">
        <v>988</v>
      </c>
      <c r="B4899">
        <v>2.8283999999999998</v>
      </c>
      <c r="C4899">
        <v>1.417705E-3</v>
      </c>
    </row>
    <row r="4900" spans="1:3" x14ac:dyDescent="0.15">
      <c r="A4900" t="s">
        <v>988</v>
      </c>
      <c r="B4900">
        <v>4</v>
      </c>
      <c r="C4900">
        <v>1.6134949999999999E-3</v>
      </c>
    </row>
    <row r="4901" spans="1:3" x14ac:dyDescent="0.15">
      <c r="A4901" t="s">
        <v>988</v>
      </c>
      <c r="B4901">
        <v>5.6569000000000003</v>
      </c>
      <c r="C4901">
        <v>1.5371720000000001E-3</v>
      </c>
    </row>
    <row r="4902" spans="1:3" x14ac:dyDescent="0.15">
      <c r="A4902" t="s">
        <v>988</v>
      </c>
      <c r="B4902">
        <v>8</v>
      </c>
      <c r="C4902">
        <v>1.3347610000000001E-3</v>
      </c>
    </row>
    <row r="4903" spans="1:3" x14ac:dyDescent="0.15">
      <c r="A4903" t="s">
        <v>988</v>
      </c>
      <c r="B4903">
        <v>11.313700000000001</v>
      </c>
      <c r="C4903">
        <v>1.2576219999999999E-3</v>
      </c>
    </row>
    <row r="4904" spans="1:3" x14ac:dyDescent="0.15">
      <c r="A4904" t="s">
        <v>988</v>
      </c>
      <c r="B4904">
        <v>16</v>
      </c>
      <c r="C4904">
        <v>1.2525220000000001E-3</v>
      </c>
    </row>
    <row r="4905" spans="1:3" x14ac:dyDescent="0.15">
      <c r="A4905" t="s">
        <v>988</v>
      </c>
      <c r="B4905">
        <v>22.627400000000002</v>
      </c>
      <c r="C4905">
        <v>1.093379E-3</v>
      </c>
    </row>
    <row r="4906" spans="1:3" x14ac:dyDescent="0.15">
      <c r="A4906" t="s">
        <v>988</v>
      </c>
      <c r="B4906">
        <v>32</v>
      </c>
      <c r="C4906">
        <v>8.2788200000000005E-4</v>
      </c>
    </row>
    <row r="4907" spans="1:3" x14ac:dyDescent="0.15">
      <c r="A4907" t="s">
        <v>988</v>
      </c>
      <c r="B4907">
        <v>45.254800000000003</v>
      </c>
      <c r="C4907">
        <v>7.6844599999999999E-4</v>
      </c>
    </row>
    <row r="4908" spans="1:3" x14ac:dyDescent="0.15">
      <c r="A4908" t="s">
        <v>988</v>
      </c>
      <c r="B4908">
        <v>64</v>
      </c>
      <c r="C4908">
        <v>7.4341900000000005E-4</v>
      </c>
    </row>
    <row r="4909" spans="1:3" x14ac:dyDescent="0.15">
      <c r="A4909" t="s">
        <v>988</v>
      </c>
      <c r="B4909">
        <v>90.509699999999995</v>
      </c>
      <c r="C4909">
        <v>4.54239E-4</v>
      </c>
    </row>
    <row r="4910" spans="1:3" x14ac:dyDescent="0.15">
      <c r="A4910" t="s">
        <v>988</v>
      </c>
      <c r="B4910">
        <v>128</v>
      </c>
      <c r="C4910">
        <v>2.7185799999999998E-4</v>
      </c>
    </row>
    <row r="4911" spans="1:3" x14ac:dyDescent="0.15">
      <c r="A4911" t="s">
        <v>988</v>
      </c>
      <c r="B4911">
        <v>181.01929999999999</v>
      </c>
      <c r="C4911">
        <v>1.3452900000000001E-4</v>
      </c>
    </row>
    <row r="4912" spans="1:3" x14ac:dyDescent="0.15">
      <c r="A4912" t="s">
        <v>988</v>
      </c>
      <c r="B4912">
        <v>256</v>
      </c>
      <c r="C4912">
        <v>2.0701000000000001E-5</v>
      </c>
    </row>
    <row r="4913" spans="1:3" x14ac:dyDescent="0.15">
      <c r="A4913" t="s">
        <v>988</v>
      </c>
      <c r="B4913">
        <v>362.03870000000001</v>
      </c>
      <c r="C4913">
        <v>3.8599999999999999E-7</v>
      </c>
    </row>
    <row r="4914" spans="1:3" x14ac:dyDescent="0.15">
      <c r="A4914" t="s">
        <v>988</v>
      </c>
      <c r="B4914">
        <v>512</v>
      </c>
      <c r="C4914">
        <v>0</v>
      </c>
    </row>
    <row r="4915" spans="1:3" x14ac:dyDescent="0.15">
      <c r="A4915" t="s">
        <v>988</v>
      </c>
      <c r="B4915">
        <v>724.07730000000004</v>
      </c>
      <c r="C4915">
        <v>0</v>
      </c>
    </row>
    <row r="4916" spans="1:3" x14ac:dyDescent="0.15">
      <c r="A4916" t="s">
        <v>989</v>
      </c>
      <c r="B4916">
        <v>2</v>
      </c>
      <c r="C4916">
        <v>8.3248999999999997E-4</v>
      </c>
    </row>
    <row r="4917" spans="1:3" x14ac:dyDescent="0.15">
      <c r="A4917" t="s">
        <v>989</v>
      </c>
      <c r="B4917">
        <v>2.8283999999999998</v>
      </c>
      <c r="C4917">
        <v>1.084462E-3</v>
      </c>
    </row>
    <row r="4918" spans="1:3" x14ac:dyDescent="0.15">
      <c r="A4918" t="s">
        <v>989</v>
      </c>
      <c r="B4918">
        <v>4</v>
      </c>
      <c r="C4918">
        <v>1.308944E-3</v>
      </c>
    </row>
    <row r="4919" spans="1:3" x14ac:dyDescent="0.15">
      <c r="A4919" t="s">
        <v>989</v>
      </c>
      <c r="B4919">
        <v>5.6569000000000003</v>
      </c>
      <c r="C4919">
        <v>1.2712730000000001E-3</v>
      </c>
    </row>
    <row r="4920" spans="1:3" x14ac:dyDescent="0.15">
      <c r="A4920" t="s">
        <v>989</v>
      </c>
      <c r="B4920">
        <v>8</v>
      </c>
      <c r="C4920">
        <v>9.7022799999999995E-4</v>
      </c>
    </row>
    <row r="4921" spans="1:3" x14ac:dyDescent="0.15">
      <c r="A4921" t="s">
        <v>989</v>
      </c>
      <c r="B4921">
        <v>11.313700000000001</v>
      </c>
      <c r="C4921">
        <v>7.8455500000000004E-4</v>
      </c>
    </row>
    <row r="4922" spans="1:3" x14ac:dyDescent="0.15">
      <c r="A4922" t="s">
        <v>989</v>
      </c>
      <c r="B4922">
        <v>16</v>
      </c>
      <c r="C4922">
        <v>7.6329299999999996E-4</v>
      </c>
    </row>
    <row r="4923" spans="1:3" x14ac:dyDescent="0.15">
      <c r="A4923" t="s">
        <v>989</v>
      </c>
      <c r="B4923">
        <v>22.627400000000002</v>
      </c>
      <c r="C4923">
        <v>7.7778000000000005E-4</v>
      </c>
    </row>
    <row r="4924" spans="1:3" x14ac:dyDescent="0.15">
      <c r="A4924" t="s">
        <v>989</v>
      </c>
      <c r="B4924">
        <v>32</v>
      </c>
      <c r="C4924">
        <v>7.8372800000000003E-4</v>
      </c>
    </row>
    <row r="4925" spans="1:3" x14ac:dyDescent="0.15">
      <c r="A4925" t="s">
        <v>989</v>
      </c>
      <c r="B4925">
        <v>45.254800000000003</v>
      </c>
      <c r="C4925">
        <v>7.7055299999999999E-4</v>
      </c>
    </row>
    <row r="4926" spans="1:3" x14ac:dyDescent="0.15">
      <c r="A4926" t="s">
        <v>989</v>
      </c>
      <c r="B4926">
        <v>64</v>
      </c>
      <c r="C4926">
        <v>7.9829399999999996E-4</v>
      </c>
    </row>
    <row r="4927" spans="1:3" x14ac:dyDescent="0.15">
      <c r="A4927" t="s">
        <v>989</v>
      </c>
      <c r="B4927">
        <v>90.509699999999995</v>
      </c>
      <c r="C4927">
        <v>6.6469999999999995E-4</v>
      </c>
    </row>
    <row r="4928" spans="1:3" x14ac:dyDescent="0.15">
      <c r="A4928" t="s">
        <v>989</v>
      </c>
      <c r="B4928">
        <v>128</v>
      </c>
      <c r="C4928">
        <v>5.4087700000000005E-4</v>
      </c>
    </row>
    <row r="4929" spans="1:3" x14ac:dyDescent="0.15">
      <c r="A4929" t="s">
        <v>989</v>
      </c>
      <c r="B4929">
        <v>181.01929999999999</v>
      </c>
      <c r="C4929">
        <v>2.6944600000000001E-4</v>
      </c>
    </row>
    <row r="4930" spans="1:3" x14ac:dyDescent="0.15">
      <c r="A4930" t="s">
        <v>989</v>
      </c>
      <c r="B4930">
        <v>256</v>
      </c>
      <c r="C4930">
        <v>4.1273000000000003E-5</v>
      </c>
    </row>
    <row r="4931" spans="1:3" x14ac:dyDescent="0.15">
      <c r="A4931" t="s">
        <v>989</v>
      </c>
      <c r="B4931">
        <v>362.03870000000001</v>
      </c>
      <c r="C4931">
        <v>7.7000000000000004E-7</v>
      </c>
    </row>
    <row r="4932" spans="1:3" x14ac:dyDescent="0.15">
      <c r="A4932" t="s">
        <v>989</v>
      </c>
      <c r="B4932">
        <v>512</v>
      </c>
      <c r="C4932">
        <v>0</v>
      </c>
    </row>
    <row r="4933" spans="1:3" x14ac:dyDescent="0.15">
      <c r="A4933" t="s">
        <v>989</v>
      </c>
      <c r="B4933">
        <v>724.07730000000004</v>
      </c>
      <c r="C4933">
        <v>0</v>
      </c>
    </row>
    <row r="4934" spans="1:3" x14ac:dyDescent="0.15">
      <c r="A4934" s="9" t="s">
        <v>990</v>
      </c>
      <c r="B4934">
        <v>2</v>
      </c>
      <c r="C4934">
        <v>1.8519840000000001E-3</v>
      </c>
    </row>
    <row r="4935" spans="1:3" x14ac:dyDescent="0.15">
      <c r="A4935" s="9" t="s">
        <v>990</v>
      </c>
      <c r="B4935">
        <v>2.8283999999999998</v>
      </c>
      <c r="C4935">
        <v>2.19944E-3</v>
      </c>
    </row>
    <row r="4936" spans="1:3" x14ac:dyDescent="0.15">
      <c r="A4936" s="9" t="s">
        <v>990</v>
      </c>
      <c r="B4936">
        <v>4</v>
      </c>
      <c r="C4936">
        <v>2.2829679999999998E-3</v>
      </c>
    </row>
    <row r="4937" spans="1:3" x14ac:dyDescent="0.15">
      <c r="A4937" s="9" t="s">
        <v>990</v>
      </c>
      <c r="B4937">
        <v>5.6569000000000003</v>
      </c>
      <c r="C4937">
        <v>1.8836930000000001E-3</v>
      </c>
    </row>
    <row r="4938" spans="1:3" x14ac:dyDescent="0.15">
      <c r="A4938" s="9" t="s">
        <v>990</v>
      </c>
      <c r="B4938">
        <v>8</v>
      </c>
      <c r="C4938">
        <v>1.2953120000000001E-3</v>
      </c>
    </row>
    <row r="4939" spans="1:3" x14ac:dyDescent="0.15">
      <c r="A4939" s="9" t="s">
        <v>990</v>
      </c>
      <c r="B4939">
        <v>11.313700000000001</v>
      </c>
      <c r="C4939">
        <v>1.036478E-3</v>
      </c>
    </row>
    <row r="4940" spans="1:3" x14ac:dyDescent="0.15">
      <c r="A4940" s="9" t="s">
        <v>990</v>
      </c>
      <c r="B4940">
        <v>16</v>
      </c>
      <c r="C4940">
        <v>9.8136399999999998E-4</v>
      </c>
    </row>
    <row r="4941" spans="1:3" x14ac:dyDescent="0.15">
      <c r="A4941" s="9" t="s">
        <v>990</v>
      </c>
      <c r="B4941">
        <v>22.627400000000002</v>
      </c>
      <c r="C4941">
        <v>1.1828279999999999E-3</v>
      </c>
    </row>
    <row r="4942" spans="1:3" x14ac:dyDescent="0.15">
      <c r="A4942" s="9" t="s">
        <v>990</v>
      </c>
      <c r="B4942">
        <v>32</v>
      </c>
      <c r="C4942">
        <v>1.294126E-3</v>
      </c>
    </row>
    <row r="4943" spans="1:3" x14ac:dyDescent="0.15">
      <c r="A4943" s="9" t="s">
        <v>990</v>
      </c>
      <c r="B4943">
        <v>45.254800000000003</v>
      </c>
      <c r="C4943">
        <v>1.3781799999999999E-3</v>
      </c>
    </row>
    <row r="4944" spans="1:3" x14ac:dyDescent="0.15">
      <c r="A4944" s="9" t="s">
        <v>990</v>
      </c>
      <c r="B4944">
        <v>64</v>
      </c>
      <c r="C4944">
        <v>1.473369E-3</v>
      </c>
    </row>
    <row r="4945" spans="1:3" x14ac:dyDescent="0.15">
      <c r="A4945" s="9" t="s">
        <v>990</v>
      </c>
      <c r="B4945">
        <v>90.509699999999995</v>
      </c>
      <c r="C4945">
        <v>1.5613039999999999E-3</v>
      </c>
    </row>
    <row r="4946" spans="1:3" x14ac:dyDescent="0.15">
      <c r="A4946" s="9" t="s">
        <v>990</v>
      </c>
      <c r="B4946">
        <v>128</v>
      </c>
      <c r="C4946">
        <v>1.4813109999999999E-3</v>
      </c>
    </row>
    <row r="4947" spans="1:3" x14ac:dyDescent="0.15">
      <c r="A4947" s="9" t="s">
        <v>990</v>
      </c>
      <c r="B4947">
        <v>181.01929999999999</v>
      </c>
      <c r="C4947">
        <v>7.4127600000000002E-4</v>
      </c>
    </row>
    <row r="4948" spans="1:3" x14ac:dyDescent="0.15">
      <c r="A4948" s="9" t="s">
        <v>990</v>
      </c>
      <c r="B4948">
        <v>256</v>
      </c>
      <c r="C4948">
        <v>1.13371E-4</v>
      </c>
    </row>
    <row r="4949" spans="1:3" x14ac:dyDescent="0.15">
      <c r="A4949" s="9" t="s">
        <v>990</v>
      </c>
      <c r="B4949">
        <v>362.03870000000001</v>
      </c>
      <c r="C4949">
        <v>2.1129999999999999E-6</v>
      </c>
    </row>
    <row r="4950" spans="1:3" x14ac:dyDescent="0.15">
      <c r="A4950" s="9" t="s">
        <v>990</v>
      </c>
      <c r="B4950">
        <v>512</v>
      </c>
      <c r="C4950">
        <v>2.0000000000000001E-9</v>
      </c>
    </row>
    <row r="4951" spans="1:3" x14ac:dyDescent="0.15">
      <c r="A4951" s="9" t="s">
        <v>990</v>
      </c>
      <c r="B4951">
        <v>724.07730000000004</v>
      </c>
      <c r="C4951">
        <v>0</v>
      </c>
    </row>
    <row r="4952" spans="1:3" x14ac:dyDescent="0.15">
      <c r="A4952" t="s">
        <v>991</v>
      </c>
      <c r="B4952">
        <v>2</v>
      </c>
      <c r="C4952">
        <v>1.2375299999999999E-3</v>
      </c>
    </row>
    <row r="4953" spans="1:3" x14ac:dyDescent="0.15">
      <c r="A4953" t="s">
        <v>991</v>
      </c>
      <c r="B4953">
        <v>2.8283999999999998</v>
      </c>
      <c r="C4953">
        <v>1.304964E-3</v>
      </c>
    </row>
    <row r="4954" spans="1:3" x14ac:dyDescent="0.15">
      <c r="A4954" t="s">
        <v>991</v>
      </c>
      <c r="B4954">
        <v>4</v>
      </c>
      <c r="C4954">
        <v>1.271374E-3</v>
      </c>
    </row>
    <row r="4955" spans="1:3" x14ac:dyDescent="0.15">
      <c r="A4955" t="s">
        <v>991</v>
      </c>
      <c r="B4955">
        <v>5.6569000000000003</v>
      </c>
      <c r="C4955">
        <v>9.5968900000000001E-4</v>
      </c>
    </row>
    <row r="4956" spans="1:3" x14ac:dyDescent="0.15">
      <c r="A4956" t="s">
        <v>991</v>
      </c>
      <c r="B4956">
        <v>8</v>
      </c>
      <c r="C4956">
        <v>7.2254899999999996E-4</v>
      </c>
    </row>
    <row r="4957" spans="1:3" x14ac:dyDescent="0.15">
      <c r="A4957" t="s">
        <v>991</v>
      </c>
      <c r="B4957">
        <v>11.313700000000001</v>
      </c>
      <c r="C4957">
        <v>6.9797800000000003E-4</v>
      </c>
    </row>
    <row r="4958" spans="1:3" x14ac:dyDescent="0.15">
      <c r="A4958" t="s">
        <v>991</v>
      </c>
      <c r="B4958">
        <v>16</v>
      </c>
      <c r="C4958">
        <v>7.5269400000000004E-4</v>
      </c>
    </row>
    <row r="4959" spans="1:3" x14ac:dyDescent="0.15">
      <c r="A4959" t="s">
        <v>991</v>
      </c>
      <c r="B4959">
        <v>22.627400000000002</v>
      </c>
      <c r="C4959">
        <v>8.4236399999999996E-4</v>
      </c>
    </row>
    <row r="4960" spans="1:3" x14ac:dyDescent="0.15">
      <c r="A4960" t="s">
        <v>991</v>
      </c>
      <c r="B4960">
        <v>32</v>
      </c>
      <c r="C4960">
        <v>1.0384960000000001E-3</v>
      </c>
    </row>
    <row r="4961" spans="1:3" x14ac:dyDescent="0.15">
      <c r="A4961" t="s">
        <v>991</v>
      </c>
      <c r="B4961">
        <v>45.254800000000003</v>
      </c>
      <c r="C4961">
        <v>1.2882830000000001E-3</v>
      </c>
    </row>
    <row r="4962" spans="1:3" x14ac:dyDescent="0.15">
      <c r="A4962" t="s">
        <v>991</v>
      </c>
      <c r="B4962">
        <v>64</v>
      </c>
      <c r="C4962">
        <v>1.2008240000000001E-3</v>
      </c>
    </row>
    <row r="4963" spans="1:3" x14ac:dyDescent="0.15">
      <c r="A4963" t="s">
        <v>991</v>
      </c>
      <c r="B4963">
        <v>90.509699999999995</v>
      </c>
      <c r="C4963">
        <v>7.9007299999999997E-4</v>
      </c>
    </row>
    <row r="4964" spans="1:3" x14ac:dyDescent="0.15">
      <c r="A4964" t="s">
        <v>991</v>
      </c>
      <c r="B4964">
        <v>128</v>
      </c>
      <c r="C4964">
        <v>6.4060699999999996E-4</v>
      </c>
    </row>
    <row r="4965" spans="1:3" x14ac:dyDescent="0.15">
      <c r="A4965" t="s">
        <v>991</v>
      </c>
      <c r="B4965">
        <v>181.01929999999999</v>
      </c>
      <c r="C4965">
        <v>3.2975399999999997E-4</v>
      </c>
    </row>
    <row r="4966" spans="1:3" x14ac:dyDescent="0.15">
      <c r="A4966" t="s">
        <v>991</v>
      </c>
      <c r="B4966">
        <v>256</v>
      </c>
      <c r="C4966">
        <v>5.0887999999999998E-5</v>
      </c>
    </row>
    <row r="4967" spans="1:3" x14ac:dyDescent="0.15">
      <c r="A4967" t="s">
        <v>991</v>
      </c>
      <c r="B4967">
        <v>362.03870000000001</v>
      </c>
      <c r="C4967">
        <v>9.4900000000000004E-7</v>
      </c>
    </row>
    <row r="4968" spans="1:3" x14ac:dyDescent="0.15">
      <c r="A4968" t="s">
        <v>991</v>
      </c>
      <c r="B4968">
        <v>512</v>
      </c>
      <c r="C4968">
        <v>0</v>
      </c>
    </row>
    <row r="4969" spans="1:3" x14ac:dyDescent="0.15">
      <c r="A4969" t="s">
        <v>991</v>
      </c>
      <c r="B4969">
        <v>724.07730000000004</v>
      </c>
      <c r="C4969">
        <v>0</v>
      </c>
    </row>
    <row r="4970" spans="1:3" x14ac:dyDescent="0.15">
      <c r="A4970" t="s">
        <v>992</v>
      </c>
      <c r="B4970">
        <v>2</v>
      </c>
      <c r="C4970">
        <v>1.355808E-3</v>
      </c>
    </row>
    <row r="4971" spans="1:3" x14ac:dyDescent="0.15">
      <c r="A4971" t="s">
        <v>992</v>
      </c>
      <c r="B4971">
        <v>2.8283999999999998</v>
      </c>
      <c r="C4971">
        <v>1.548745E-3</v>
      </c>
    </row>
    <row r="4972" spans="1:3" x14ac:dyDescent="0.15">
      <c r="A4972" t="s">
        <v>992</v>
      </c>
      <c r="B4972">
        <v>4</v>
      </c>
      <c r="C4972">
        <v>1.4555449999999999E-3</v>
      </c>
    </row>
    <row r="4973" spans="1:3" x14ac:dyDescent="0.15">
      <c r="A4973" t="s">
        <v>992</v>
      </c>
      <c r="B4973">
        <v>5.6569000000000003</v>
      </c>
      <c r="C4973">
        <v>1.117233E-3</v>
      </c>
    </row>
    <row r="4974" spans="1:3" x14ac:dyDescent="0.15">
      <c r="A4974" t="s">
        <v>992</v>
      </c>
      <c r="B4974">
        <v>8</v>
      </c>
      <c r="C4974">
        <v>9.2219700000000003E-4</v>
      </c>
    </row>
    <row r="4975" spans="1:3" x14ac:dyDescent="0.15">
      <c r="A4975" t="s">
        <v>992</v>
      </c>
      <c r="B4975">
        <v>11.313700000000001</v>
      </c>
      <c r="C4975">
        <v>7.8520200000000004E-4</v>
      </c>
    </row>
    <row r="4976" spans="1:3" x14ac:dyDescent="0.15">
      <c r="A4976" t="s">
        <v>992</v>
      </c>
      <c r="B4976">
        <v>16</v>
      </c>
      <c r="C4976">
        <v>6.156E-4</v>
      </c>
    </row>
    <row r="4977" spans="1:3" x14ac:dyDescent="0.15">
      <c r="A4977" t="s">
        <v>992</v>
      </c>
      <c r="B4977">
        <v>22.627400000000002</v>
      </c>
      <c r="C4977">
        <v>6.48232E-4</v>
      </c>
    </row>
    <row r="4978" spans="1:3" x14ac:dyDescent="0.15">
      <c r="A4978" t="s">
        <v>992</v>
      </c>
      <c r="B4978">
        <v>32</v>
      </c>
      <c r="C4978">
        <v>7.8949399999999996E-4</v>
      </c>
    </row>
    <row r="4979" spans="1:3" x14ac:dyDescent="0.15">
      <c r="A4979" t="s">
        <v>992</v>
      </c>
      <c r="B4979">
        <v>45.254800000000003</v>
      </c>
      <c r="C4979">
        <v>9.9306900000000007E-4</v>
      </c>
    </row>
    <row r="4980" spans="1:3" x14ac:dyDescent="0.15">
      <c r="A4980" t="s">
        <v>992</v>
      </c>
      <c r="B4980">
        <v>64</v>
      </c>
      <c r="C4980">
        <v>1.159249E-3</v>
      </c>
    </row>
    <row r="4981" spans="1:3" x14ac:dyDescent="0.15">
      <c r="A4981" t="s">
        <v>992</v>
      </c>
      <c r="B4981">
        <v>90.509699999999995</v>
      </c>
      <c r="C4981">
        <v>1.2611949999999999E-3</v>
      </c>
    </row>
    <row r="4982" spans="1:3" x14ac:dyDescent="0.15">
      <c r="A4982" t="s">
        <v>992</v>
      </c>
      <c r="B4982">
        <v>128</v>
      </c>
      <c r="C4982">
        <v>1.133752E-3</v>
      </c>
    </row>
    <row r="4983" spans="1:3" x14ac:dyDescent="0.15">
      <c r="A4983" t="s">
        <v>992</v>
      </c>
      <c r="B4983">
        <v>181.01929999999999</v>
      </c>
      <c r="C4983">
        <v>5.6176200000000005E-4</v>
      </c>
    </row>
    <row r="4984" spans="1:3" x14ac:dyDescent="0.15">
      <c r="A4984" t="s">
        <v>992</v>
      </c>
      <c r="B4984">
        <v>256</v>
      </c>
      <c r="C4984">
        <v>8.6104000000000001E-5</v>
      </c>
    </row>
    <row r="4985" spans="1:3" x14ac:dyDescent="0.15">
      <c r="A4985" t="s">
        <v>992</v>
      </c>
      <c r="B4985">
        <v>362.03870000000001</v>
      </c>
      <c r="C4985">
        <v>1.606E-6</v>
      </c>
    </row>
    <row r="4986" spans="1:3" x14ac:dyDescent="0.15">
      <c r="A4986" t="s">
        <v>992</v>
      </c>
      <c r="B4986">
        <v>512</v>
      </c>
      <c r="C4986">
        <v>1.0000000000000001E-9</v>
      </c>
    </row>
    <row r="4987" spans="1:3" x14ac:dyDescent="0.15">
      <c r="A4987" t="s">
        <v>992</v>
      </c>
      <c r="B4987">
        <v>724.07730000000004</v>
      </c>
      <c r="C4987">
        <v>0</v>
      </c>
    </row>
    <row r="4988" spans="1:3" x14ac:dyDescent="0.15">
      <c r="A4988" t="s">
        <v>993</v>
      </c>
      <c r="B4988">
        <v>2</v>
      </c>
      <c r="C4988">
        <v>1.4273650000000001E-3</v>
      </c>
    </row>
    <row r="4989" spans="1:3" x14ac:dyDescent="0.15">
      <c r="A4989" t="s">
        <v>993</v>
      </c>
      <c r="B4989">
        <v>2.8283999999999998</v>
      </c>
      <c r="C4989">
        <v>1.625743E-3</v>
      </c>
    </row>
    <row r="4990" spans="1:3" x14ac:dyDescent="0.15">
      <c r="A4990" t="s">
        <v>993</v>
      </c>
      <c r="B4990">
        <v>4</v>
      </c>
      <c r="C4990">
        <v>1.5827320000000001E-3</v>
      </c>
    </row>
    <row r="4991" spans="1:3" x14ac:dyDescent="0.15">
      <c r="A4991" t="s">
        <v>993</v>
      </c>
      <c r="B4991">
        <v>5.6569000000000003</v>
      </c>
      <c r="C4991">
        <v>1.477197E-3</v>
      </c>
    </row>
    <row r="4992" spans="1:3" x14ac:dyDescent="0.15">
      <c r="A4992" t="s">
        <v>993</v>
      </c>
      <c r="B4992">
        <v>8</v>
      </c>
      <c r="C4992">
        <v>1.447381E-3</v>
      </c>
    </row>
    <row r="4993" spans="1:3" x14ac:dyDescent="0.15">
      <c r="A4993" t="s">
        <v>993</v>
      </c>
      <c r="B4993">
        <v>11.313700000000001</v>
      </c>
      <c r="C4993">
        <v>1.268454E-3</v>
      </c>
    </row>
    <row r="4994" spans="1:3" x14ac:dyDescent="0.15">
      <c r="A4994" t="s">
        <v>993</v>
      </c>
      <c r="B4994">
        <v>16</v>
      </c>
      <c r="C4994">
        <v>9.2642600000000005E-4</v>
      </c>
    </row>
    <row r="4995" spans="1:3" x14ac:dyDescent="0.15">
      <c r="A4995" t="s">
        <v>993</v>
      </c>
      <c r="B4995">
        <v>22.627400000000002</v>
      </c>
      <c r="C4995">
        <v>9.1621599999999997E-4</v>
      </c>
    </row>
    <row r="4996" spans="1:3" x14ac:dyDescent="0.15">
      <c r="A4996" t="s">
        <v>993</v>
      </c>
      <c r="B4996">
        <v>32</v>
      </c>
      <c r="C4996">
        <v>1.151865E-3</v>
      </c>
    </row>
    <row r="4997" spans="1:3" x14ac:dyDescent="0.15">
      <c r="A4997" t="s">
        <v>993</v>
      </c>
      <c r="B4997">
        <v>45.254800000000003</v>
      </c>
      <c r="C4997">
        <v>1.4570119999999999E-3</v>
      </c>
    </row>
    <row r="4998" spans="1:3" x14ac:dyDescent="0.15">
      <c r="A4998" t="s">
        <v>993</v>
      </c>
      <c r="B4998">
        <v>64</v>
      </c>
      <c r="C4998">
        <v>1.549868E-3</v>
      </c>
    </row>
    <row r="4999" spans="1:3" x14ac:dyDescent="0.15">
      <c r="A4999" t="s">
        <v>993</v>
      </c>
      <c r="B4999">
        <v>90.509699999999995</v>
      </c>
      <c r="C4999">
        <v>1.213071E-3</v>
      </c>
    </row>
    <row r="5000" spans="1:3" x14ac:dyDescent="0.15">
      <c r="A5000" t="s">
        <v>993</v>
      </c>
      <c r="B5000">
        <v>128</v>
      </c>
      <c r="C5000">
        <v>1.008863E-3</v>
      </c>
    </row>
    <row r="5001" spans="1:3" x14ac:dyDescent="0.15">
      <c r="A5001" t="s">
        <v>993</v>
      </c>
      <c r="B5001">
        <v>181.01929999999999</v>
      </c>
      <c r="C5001">
        <v>5.1066600000000001E-4</v>
      </c>
    </row>
    <row r="5002" spans="1:3" x14ac:dyDescent="0.15">
      <c r="A5002" t="s">
        <v>993</v>
      </c>
      <c r="B5002">
        <v>256</v>
      </c>
      <c r="C5002">
        <v>7.8512999999999999E-5</v>
      </c>
    </row>
    <row r="5003" spans="1:3" x14ac:dyDescent="0.15">
      <c r="A5003" t="s">
        <v>993</v>
      </c>
      <c r="B5003">
        <v>362.03870000000001</v>
      </c>
      <c r="C5003">
        <v>1.4640000000000001E-6</v>
      </c>
    </row>
    <row r="5004" spans="1:3" x14ac:dyDescent="0.15">
      <c r="A5004" t="s">
        <v>993</v>
      </c>
      <c r="B5004">
        <v>512</v>
      </c>
      <c r="C5004">
        <v>1.0000000000000001E-9</v>
      </c>
    </row>
    <row r="5005" spans="1:3" x14ac:dyDescent="0.15">
      <c r="A5005" t="s">
        <v>993</v>
      </c>
      <c r="B5005">
        <v>724.07730000000004</v>
      </c>
      <c r="C5005">
        <v>0</v>
      </c>
    </row>
    <row r="5006" spans="1:3" x14ac:dyDescent="0.15">
      <c r="A5006" t="s">
        <v>994</v>
      </c>
      <c r="B5006">
        <v>2</v>
      </c>
      <c r="C5006">
        <v>8.2846999999999999E-4</v>
      </c>
    </row>
    <row r="5007" spans="1:3" x14ac:dyDescent="0.15">
      <c r="A5007" t="s">
        <v>994</v>
      </c>
      <c r="B5007">
        <v>2.8283999999999998</v>
      </c>
      <c r="C5007">
        <v>1.1275E-3</v>
      </c>
    </row>
    <row r="5008" spans="1:3" x14ac:dyDescent="0.15">
      <c r="A5008" t="s">
        <v>994</v>
      </c>
      <c r="B5008">
        <v>4</v>
      </c>
      <c r="C5008">
        <v>1.2985010000000001E-3</v>
      </c>
    </row>
    <row r="5009" spans="1:3" x14ac:dyDescent="0.15">
      <c r="A5009" t="s">
        <v>994</v>
      </c>
      <c r="B5009">
        <v>5.6569000000000003</v>
      </c>
      <c r="C5009">
        <v>1.095323E-3</v>
      </c>
    </row>
    <row r="5010" spans="1:3" x14ac:dyDescent="0.15">
      <c r="A5010" t="s">
        <v>994</v>
      </c>
      <c r="B5010">
        <v>8</v>
      </c>
      <c r="C5010">
        <v>8.0058799999999997E-4</v>
      </c>
    </row>
    <row r="5011" spans="1:3" x14ac:dyDescent="0.15">
      <c r="A5011" t="s">
        <v>994</v>
      </c>
      <c r="B5011">
        <v>11.313700000000001</v>
      </c>
      <c r="C5011">
        <v>7.2591400000000003E-4</v>
      </c>
    </row>
    <row r="5012" spans="1:3" x14ac:dyDescent="0.15">
      <c r="A5012" t="s">
        <v>994</v>
      </c>
      <c r="B5012">
        <v>16</v>
      </c>
      <c r="C5012">
        <v>6.6065500000000001E-4</v>
      </c>
    </row>
    <row r="5013" spans="1:3" x14ac:dyDescent="0.15">
      <c r="A5013" t="s">
        <v>994</v>
      </c>
      <c r="B5013">
        <v>22.627400000000002</v>
      </c>
      <c r="C5013">
        <v>6.5693100000000003E-4</v>
      </c>
    </row>
    <row r="5014" spans="1:3" x14ac:dyDescent="0.15">
      <c r="A5014" t="s">
        <v>994</v>
      </c>
      <c r="B5014">
        <v>32</v>
      </c>
      <c r="C5014">
        <v>8.2389699999999998E-4</v>
      </c>
    </row>
    <row r="5015" spans="1:3" x14ac:dyDescent="0.15">
      <c r="A5015" t="s">
        <v>994</v>
      </c>
      <c r="B5015">
        <v>45.254800000000003</v>
      </c>
      <c r="C5015">
        <v>1.146102E-3</v>
      </c>
    </row>
    <row r="5016" spans="1:3" x14ac:dyDescent="0.15">
      <c r="A5016" t="s">
        <v>994</v>
      </c>
      <c r="B5016">
        <v>64</v>
      </c>
      <c r="C5016">
        <v>1.2404499999999999E-3</v>
      </c>
    </row>
    <row r="5017" spans="1:3" x14ac:dyDescent="0.15">
      <c r="A5017" t="s">
        <v>994</v>
      </c>
      <c r="B5017">
        <v>90.509699999999995</v>
      </c>
      <c r="C5017">
        <v>1.0287479999999999E-3</v>
      </c>
    </row>
    <row r="5018" spans="1:3" x14ac:dyDescent="0.15">
      <c r="A5018" t="s">
        <v>994</v>
      </c>
      <c r="B5018">
        <v>128</v>
      </c>
      <c r="C5018">
        <v>8.6276799999999998E-4</v>
      </c>
    </row>
    <row r="5019" spans="1:3" x14ac:dyDescent="0.15">
      <c r="A5019" t="s">
        <v>994</v>
      </c>
      <c r="B5019">
        <v>181.01929999999999</v>
      </c>
      <c r="C5019">
        <v>4.3037400000000002E-4</v>
      </c>
    </row>
    <row r="5020" spans="1:3" x14ac:dyDescent="0.15">
      <c r="A5020" t="s">
        <v>994</v>
      </c>
      <c r="B5020">
        <v>256</v>
      </c>
      <c r="C5020">
        <v>6.5916999999999999E-5</v>
      </c>
    </row>
    <row r="5021" spans="1:3" x14ac:dyDescent="0.15">
      <c r="A5021" t="s">
        <v>994</v>
      </c>
      <c r="B5021">
        <v>362.03870000000001</v>
      </c>
      <c r="C5021">
        <v>1.229E-6</v>
      </c>
    </row>
    <row r="5022" spans="1:3" x14ac:dyDescent="0.15">
      <c r="A5022" t="s">
        <v>994</v>
      </c>
      <c r="B5022">
        <v>512</v>
      </c>
      <c r="C5022">
        <v>0</v>
      </c>
    </row>
    <row r="5023" spans="1:3" x14ac:dyDescent="0.15">
      <c r="A5023" t="s">
        <v>994</v>
      </c>
      <c r="B5023">
        <v>724.07730000000004</v>
      </c>
      <c r="C5023">
        <v>0</v>
      </c>
    </row>
    <row r="5024" spans="1:3" x14ac:dyDescent="0.15">
      <c r="A5024" t="s">
        <v>995</v>
      </c>
      <c r="B5024">
        <v>2</v>
      </c>
      <c r="C5024">
        <v>1.2851780000000001E-3</v>
      </c>
    </row>
    <row r="5025" spans="1:3" x14ac:dyDescent="0.15">
      <c r="A5025" t="s">
        <v>995</v>
      </c>
      <c r="B5025">
        <v>2.8283999999999998</v>
      </c>
      <c r="C5025">
        <v>1.532896E-3</v>
      </c>
    </row>
    <row r="5026" spans="1:3" x14ac:dyDescent="0.15">
      <c r="A5026" t="s">
        <v>995</v>
      </c>
      <c r="B5026">
        <v>4</v>
      </c>
      <c r="C5026">
        <v>1.5455029999999999E-3</v>
      </c>
    </row>
    <row r="5027" spans="1:3" x14ac:dyDescent="0.15">
      <c r="A5027" t="s">
        <v>995</v>
      </c>
      <c r="B5027">
        <v>5.6569000000000003</v>
      </c>
      <c r="C5027">
        <v>1.3748860000000001E-3</v>
      </c>
    </row>
    <row r="5028" spans="1:3" x14ac:dyDescent="0.15">
      <c r="A5028" t="s">
        <v>995</v>
      </c>
      <c r="B5028">
        <v>8</v>
      </c>
      <c r="C5028">
        <v>1.293616E-3</v>
      </c>
    </row>
    <row r="5029" spans="1:3" x14ac:dyDescent="0.15">
      <c r="A5029" t="s">
        <v>995</v>
      </c>
      <c r="B5029">
        <v>11.313700000000001</v>
      </c>
      <c r="C5029">
        <v>1.1924920000000001E-3</v>
      </c>
    </row>
    <row r="5030" spans="1:3" x14ac:dyDescent="0.15">
      <c r="A5030" t="s">
        <v>995</v>
      </c>
      <c r="B5030">
        <v>16</v>
      </c>
      <c r="C5030">
        <v>1.0021520000000001E-3</v>
      </c>
    </row>
    <row r="5031" spans="1:3" x14ac:dyDescent="0.15">
      <c r="A5031" t="s">
        <v>995</v>
      </c>
      <c r="B5031">
        <v>22.627400000000002</v>
      </c>
      <c r="C5031">
        <v>1.028915E-3</v>
      </c>
    </row>
    <row r="5032" spans="1:3" x14ac:dyDescent="0.15">
      <c r="A5032" t="s">
        <v>995</v>
      </c>
      <c r="B5032">
        <v>32</v>
      </c>
      <c r="C5032">
        <v>1.1976109999999999E-3</v>
      </c>
    </row>
    <row r="5033" spans="1:3" x14ac:dyDescent="0.15">
      <c r="A5033" t="s">
        <v>995</v>
      </c>
      <c r="B5033">
        <v>45.254800000000003</v>
      </c>
      <c r="C5033">
        <v>1.16241E-3</v>
      </c>
    </row>
    <row r="5034" spans="1:3" x14ac:dyDescent="0.15">
      <c r="A5034" t="s">
        <v>995</v>
      </c>
      <c r="B5034">
        <v>64</v>
      </c>
      <c r="C5034">
        <v>6.5333999999999998E-4</v>
      </c>
    </row>
    <row r="5035" spans="1:3" x14ac:dyDescent="0.15">
      <c r="A5035" t="s">
        <v>995</v>
      </c>
      <c r="B5035">
        <v>90.509699999999995</v>
      </c>
      <c r="C5035">
        <v>1.91602E-4</v>
      </c>
    </row>
    <row r="5036" spans="1:3" x14ac:dyDescent="0.15">
      <c r="A5036" t="s">
        <v>995</v>
      </c>
      <c r="B5036">
        <v>128</v>
      </c>
      <c r="C5036">
        <v>9.4411000000000001E-5</v>
      </c>
    </row>
    <row r="5037" spans="1:3" x14ac:dyDescent="0.15">
      <c r="A5037" t="s">
        <v>995</v>
      </c>
      <c r="B5037">
        <v>181.01929999999999</v>
      </c>
      <c r="C5037">
        <v>4.8656999999999998E-5</v>
      </c>
    </row>
    <row r="5038" spans="1:3" x14ac:dyDescent="0.15">
      <c r="A5038" t="s">
        <v>995</v>
      </c>
      <c r="B5038">
        <v>256</v>
      </c>
      <c r="C5038">
        <v>7.4780000000000002E-6</v>
      </c>
    </row>
    <row r="5039" spans="1:3" x14ac:dyDescent="0.15">
      <c r="A5039" t="s">
        <v>995</v>
      </c>
      <c r="B5039">
        <v>362.03870000000001</v>
      </c>
      <c r="C5039">
        <v>1.3899999999999999E-7</v>
      </c>
    </row>
    <row r="5040" spans="1:3" x14ac:dyDescent="0.15">
      <c r="A5040" t="s">
        <v>995</v>
      </c>
      <c r="B5040">
        <v>512</v>
      </c>
      <c r="C5040">
        <v>0</v>
      </c>
    </row>
    <row r="5041" spans="1:3" x14ac:dyDescent="0.15">
      <c r="A5041" t="s">
        <v>995</v>
      </c>
      <c r="B5041">
        <v>724.07730000000004</v>
      </c>
      <c r="C5041">
        <v>0</v>
      </c>
    </row>
    <row r="5042" spans="1:3" x14ac:dyDescent="0.15">
      <c r="A5042" t="s">
        <v>996</v>
      </c>
      <c r="B5042">
        <v>2</v>
      </c>
      <c r="C5042">
        <v>1.1422750000000001E-3</v>
      </c>
    </row>
    <row r="5043" spans="1:3" x14ac:dyDescent="0.15">
      <c r="A5043" t="s">
        <v>996</v>
      </c>
      <c r="B5043">
        <v>2.8283999999999998</v>
      </c>
      <c r="C5043">
        <v>1.533097E-3</v>
      </c>
    </row>
    <row r="5044" spans="1:3" x14ac:dyDescent="0.15">
      <c r="A5044" t="s">
        <v>996</v>
      </c>
      <c r="B5044">
        <v>4</v>
      </c>
      <c r="C5044">
        <v>1.8451769999999999E-3</v>
      </c>
    </row>
    <row r="5045" spans="1:3" x14ac:dyDescent="0.15">
      <c r="A5045" t="s">
        <v>996</v>
      </c>
      <c r="B5045">
        <v>5.6569000000000003</v>
      </c>
      <c r="C5045">
        <v>1.7981550000000001E-3</v>
      </c>
    </row>
    <row r="5046" spans="1:3" x14ac:dyDescent="0.15">
      <c r="A5046" t="s">
        <v>996</v>
      </c>
      <c r="B5046">
        <v>8</v>
      </c>
      <c r="C5046">
        <v>1.4732359999999999E-3</v>
      </c>
    </row>
    <row r="5047" spans="1:3" x14ac:dyDescent="0.15">
      <c r="A5047" t="s">
        <v>996</v>
      </c>
      <c r="B5047">
        <v>11.313700000000001</v>
      </c>
      <c r="C5047">
        <v>1.222898E-3</v>
      </c>
    </row>
    <row r="5048" spans="1:3" x14ac:dyDescent="0.15">
      <c r="A5048" t="s">
        <v>996</v>
      </c>
      <c r="B5048">
        <v>16</v>
      </c>
      <c r="C5048">
        <v>1.0078929999999999E-3</v>
      </c>
    </row>
    <row r="5049" spans="1:3" x14ac:dyDescent="0.15">
      <c r="A5049" t="s">
        <v>996</v>
      </c>
      <c r="B5049">
        <v>22.627400000000002</v>
      </c>
      <c r="C5049">
        <v>8.0096099999999999E-4</v>
      </c>
    </row>
    <row r="5050" spans="1:3" x14ac:dyDescent="0.15">
      <c r="A5050" t="s">
        <v>996</v>
      </c>
      <c r="B5050">
        <v>32</v>
      </c>
      <c r="C5050">
        <v>9.4068400000000001E-4</v>
      </c>
    </row>
    <row r="5051" spans="1:3" x14ac:dyDescent="0.15">
      <c r="A5051" t="s">
        <v>996</v>
      </c>
      <c r="B5051">
        <v>45.254800000000003</v>
      </c>
      <c r="C5051">
        <v>1.1042999999999999E-3</v>
      </c>
    </row>
    <row r="5052" spans="1:3" x14ac:dyDescent="0.15">
      <c r="A5052" t="s">
        <v>996</v>
      </c>
      <c r="B5052">
        <v>64</v>
      </c>
      <c r="C5052">
        <v>9.72868E-4</v>
      </c>
    </row>
    <row r="5053" spans="1:3" x14ac:dyDescent="0.15">
      <c r="A5053" t="s">
        <v>996</v>
      </c>
      <c r="B5053">
        <v>90.509699999999995</v>
      </c>
      <c r="C5053">
        <v>7.6619700000000004E-4</v>
      </c>
    </row>
    <row r="5054" spans="1:3" x14ac:dyDescent="0.15">
      <c r="A5054" t="s">
        <v>996</v>
      </c>
      <c r="B5054">
        <v>128</v>
      </c>
      <c r="C5054">
        <v>6.0417700000000001E-4</v>
      </c>
    </row>
    <row r="5055" spans="1:3" x14ac:dyDescent="0.15">
      <c r="A5055" t="s">
        <v>996</v>
      </c>
      <c r="B5055">
        <v>181.01929999999999</v>
      </c>
      <c r="C5055">
        <v>2.9807899999999998E-4</v>
      </c>
    </row>
    <row r="5056" spans="1:3" x14ac:dyDescent="0.15">
      <c r="A5056" t="s">
        <v>996</v>
      </c>
      <c r="B5056">
        <v>256</v>
      </c>
      <c r="C5056">
        <v>4.5973000000000002E-5</v>
      </c>
    </row>
    <row r="5057" spans="1:3" x14ac:dyDescent="0.15">
      <c r="A5057" t="s">
        <v>996</v>
      </c>
      <c r="B5057">
        <v>362.03870000000001</v>
      </c>
      <c r="C5057">
        <v>8.5799999999999998E-7</v>
      </c>
    </row>
    <row r="5058" spans="1:3" x14ac:dyDescent="0.15">
      <c r="A5058" t="s">
        <v>996</v>
      </c>
      <c r="B5058">
        <v>512</v>
      </c>
      <c r="C5058">
        <v>0</v>
      </c>
    </row>
    <row r="5059" spans="1:3" x14ac:dyDescent="0.15">
      <c r="A5059" t="s">
        <v>996</v>
      </c>
      <c r="B5059">
        <v>724.07730000000004</v>
      </c>
      <c r="C5059">
        <v>0</v>
      </c>
    </row>
    <row r="5060" spans="1:3" x14ac:dyDescent="0.15">
      <c r="A5060" t="s">
        <v>997</v>
      </c>
      <c r="B5060">
        <v>2</v>
      </c>
      <c r="C5060">
        <v>1.185969E-3</v>
      </c>
    </row>
    <row r="5061" spans="1:3" x14ac:dyDescent="0.15">
      <c r="A5061" t="s">
        <v>997</v>
      </c>
      <c r="B5061">
        <v>2.8283999999999998</v>
      </c>
      <c r="C5061">
        <v>1.3980399999999999E-3</v>
      </c>
    </row>
    <row r="5062" spans="1:3" x14ac:dyDescent="0.15">
      <c r="A5062" t="s">
        <v>997</v>
      </c>
      <c r="B5062">
        <v>4</v>
      </c>
      <c r="C5062">
        <v>1.22182E-3</v>
      </c>
    </row>
    <row r="5063" spans="1:3" x14ac:dyDescent="0.15">
      <c r="A5063" t="s">
        <v>997</v>
      </c>
      <c r="B5063">
        <v>5.6569000000000003</v>
      </c>
      <c r="C5063">
        <v>8.82697E-4</v>
      </c>
    </row>
    <row r="5064" spans="1:3" x14ac:dyDescent="0.15">
      <c r="A5064" t="s">
        <v>997</v>
      </c>
      <c r="B5064">
        <v>8</v>
      </c>
      <c r="C5064">
        <v>7.8720199999999998E-4</v>
      </c>
    </row>
    <row r="5065" spans="1:3" x14ac:dyDescent="0.15">
      <c r="A5065" t="s">
        <v>997</v>
      </c>
      <c r="B5065">
        <v>11.313700000000001</v>
      </c>
      <c r="C5065">
        <v>7.2271800000000001E-4</v>
      </c>
    </row>
    <row r="5066" spans="1:3" x14ac:dyDescent="0.15">
      <c r="A5066" t="s">
        <v>997</v>
      </c>
      <c r="B5066">
        <v>16</v>
      </c>
      <c r="C5066">
        <v>6.8866900000000004E-4</v>
      </c>
    </row>
    <row r="5067" spans="1:3" x14ac:dyDescent="0.15">
      <c r="A5067" t="s">
        <v>997</v>
      </c>
      <c r="B5067">
        <v>22.627400000000002</v>
      </c>
      <c r="C5067">
        <v>8.0397699999999999E-4</v>
      </c>
    </row>
    <row r="5068" spans="1:3" x14ac:dyDescent="0.15">
      <c r="A5068" t="s">
        <v>997</v>
      </c>
      <c r="B5068">
        <v>32</v>
      </c>
      <c r="C5068">
        <v>1.1200610000000001E-3</v>
      </c>
    </row>
    <row r="5069" spans="1:3" x14ac:dyDescent="0.15">
      <c r="A5069" t="s">
        <v>997</v>
      </c>
      <c r="B5069">
        <v>45.254800000000003</v>
      </c>
      <c r="C5069">
        <v>1.3427739999999999E-3</v>
      </c>
    </row>
    <row r="5070" spans="1:3" x14ac:dyDescent="0.15">
      <c r="A5070" t="s">
        <v>997</v>
      </c>
      <c r="B5070">
        <v>64</v>
      </c>
      <c r="C5070">
        <v>1.3921269999999999E-3</v>
      </c>
    </row>
    <row r="5071" spans="1:3" x14ac:dyDescent="0.15">
      <c r="A5071" t="s">
        <v>997</v>
      </c>
      <c r="B5071">
        <v>90.509699999999995</v>
      </c>
      <c r="C5071">
        <v>1.1746389999999999E-3</v>
      </c>
    </row>
    <row r="5072" spans="1:3" x14ac:dyDescent="0.15">
      <c r="A5072" t="s">
        <v>997</v>
      </c>
      <c r="B5072">
        <v>128</v>
      </c>
      <c r="C5072">
        <v>7.8299999999999995E-4</v>
      </c>
    </row>
    <row r="5073" spans="1:3" x14ac:dyDescent="0.15">
      <c r="A5073" t="s">
        <v>997</v>
      </c>
      <c r="B5073">
        <v>181.01929999999999</v>
      </c>
      <c r="C5073">
        <v>3.6231399999999997E-4</v>
      </c>
    </row>
    <row r="5074" spans="1:3" x14ac:dyDescent="0.15">
      <c r="A5074" t="s">
        <v>997</v>
      </c>
      <c r="B5074">
        <v>256</v>
      </c>
      <c r="C5074">
        <v>5.5578999999999998E-5</v>
      </c>
    </row>
    <row r="5075" spans="1:3" x14ac:dyDescent="0.15">
      <c r="A5075" t="s">
        <v>997</v>
      </c>
      <c r="B5075">
        <v>362.03870000000001</v>
      </c>
      <c r="C5075">
        <v>1.037E-6</v>
      </c>
    </row>
    <row r="5076" spans="1:3" x14ac:dyDescent="0.15">
      <c r="A5076" t="s">
        <v>997</v>
      </c>
      <c r="B5076">
        <v>512</v>
      </c>
      <c r="C5076">
        <v>0</v>
      </c>
    </row>
    <row r="5077" spans="1:3" x14ac:dyDescent="0.15">
      <c r="A5077" t="s">
        <v>997</v>
      </c>
      <c r="B5077">
        <v>724.07730000000004</v>
      </c>
      <c r="C5077">
        <v>0</v>
      </c>
    </row>
    <row r="5078" spans="1:3" x14ac:dyDescent="0.15">
      <c r="A5078" t="s">
        <v>998</v>
      </c>
      <c r="B5078">
        <v>2</v>
      </c>
      <c r="C5078">
        <v>4.2137300000000001E-4</v>
      </c>
    </row>
    <row r="5079" spans="1:3" x14ac:dyDescent="0.15">
      <c r="A5079" t="s">
        <v>998</v>
      </c>
      <c r="B5079">
        <v>2.8283999999999998</v>
      </c>
      <c r="C5079">
        <v>5.1640799999999999E-4</v>
      </c>
    </row>
    <row r="5080" spans="1:3" x14ac:dyDescent="0.15">
      <c r="A5080" t="s">
        <v>998</v>
      </c>
      <c r="B5080">
        <v>4</v>
      </c>
      <c r="C5080">
        <v>6.5899000000000003E-4</v>
      </c>
    </row>
    <row r="5081" spans="1:3" x14ac:dyDescent="0.15">
      <c r="A5081" t="s">
        <v>998</v>
      </c>
      <c r="B5081">
        <v>5.6569000000000003</v>
      </c>
      <c r="C5081">
        <v>7.6095399999999999E-4</v>
      </c>
    </row>
    <row r="5082" spans="1:3" x14ac:dyDescent="0.15">
      <c r="A5082" t="s">
        <v>998</v>
      </c>
      <c r="B5082">
        <v>8</v>
      </c>
      <c r="C5082">
        <v>7.4427599999999999E-4</v>
      </c>
    </row>
    <row r="5083" spans="1:3" x14ac:dyDescent="0.15">
      <c r="A5083" t="s">
        <v>998</v>
      </c>
      <c r="B5083">
        <v>11.313700000000001</v>
      </c>
      <c r="C5083">
        <v>6.2856900000000005E-4</v>
      </c>
    </row>
    <row r="5084" spans="1:3" x14ac:dyDescent="0.15">
      <c r="A5084" t="s">
        <v>998</v>
      </c>
      <c r="B5084">
        <v>16</v>
      </c>
      <c r="C5084">
        <v>5.1537399999999998E-4</v>
      </c>
    </row>
    <row r="5085" spans="1:3" x14ac:dyDescent="0.15">
      <c r="A5085" t="s">
        <v>998</v>
      </c>
      <c r="B5085">
        <v>22.627400000000002</v>
      </c>
      <c r="C5085">
        <v>4.1595800000000002E-4</v>
      </c>
    </row>
    <row r="5086" spans="1:3" x14ac:dyDescent="0.15">
      <c r="A5086" t="s">
        <v>998</v>
      </c>
      <c r="B5086">
        <v>32</v>
      </c>
      <c r="C5086">
        <v>2.8261600000000002E-4</v>
      </c>
    </row>
    <row r="5087" spans="1:3" x14ac:dyDescent="0.15">
      <c r="A5087" t="s">
        <v>998</v>
      </c>
      <c r="B5087">
        <v>45.254800000000003</v>
      </c>
      <c r="C5087">
        <v>2.2316799999999999E-4</v>
      </c>
    </row>
    <row r="5088" spans="1:3" x14ac:dyDescent="0.15">
      <c r="A5088" t="s">
        <v>998</v>
      </c>
      <c r="B5088">
        <v>64</v>
      </c>
      <c r="C5088">
        <v>2.8030299999999998E-4</v>
      </c>
    </row>
    <row r="5089" spans="1:3" x14ac:dyDescent="0.15">
      <c r="A5089" t="s">
        <v>998</v>
      </c>
      <c r="B5089">
        <v>90.509699999999995</v>
      </c>
      <c r="C5089">
        <v>3.7880800000000001E-4</v>
      </c>
    </row>
    <row r="5090" spans="1:3" x14ac:dyDescent="0.15">
      <c r="A5090" t="s">
        <v>998</v>
      </c>
      <c r="B5090">
        <v>128</v>
      </c>
      <c r="C5090">
        <v>3.6660600000000001E-4</v>
      </c>
    </row>
    <row r="5091" spans="1:3" x14ac:dyDescent="0.15">
      <c r="A5091" t="s">
        <v>998</v>
      </c>
      <c r="B5091">
        <v>181.01929999999999</v>
      </c>
      <c r="C5091">
        <v>1.8302699999999999E-4</v>
      </c>
    </row>
    <row r="5092" spans="1:3" x14ac:dyDescent="0.15">
      <c r="A5092" t="s">
        <v>998</v>
      </c>
      <c r="B5092">
        <v>256</v>
      </c>
      <c r="C5092">
        <v>2.8021000000000002E-5</v>
      </c>
    </row>
    <row r="5093" spans="1:3" x14ac:dyDescent="0.15">
      <c r="A5093" t="s">
        <v>998</v>
      </c>
      <c r="B5093">
        <v>362.03870000000001</v>
      </c>
      <c r="C5093">
        <v>5.2200000000000004E-7</v>
      </c>
    </row>
    <row r="5094" spans="1:3" x14ac:dyDescent="0.15">
      <c r="A5094" t="s">
        <v>998</v>
      </c>
      <c r="B5094">
        <v>512</v>
      </c>
      <c r="C5094">
        <v>0</v>
      </c>
    </row>
    <row r="5095" spans="1:3" x14ac:dyDescent="0.15">
      <c r="A5095" t="s">
        <v>998</v>
      </c>
      <c r="B5095">
        <v>724.07730000000004</v>
      </c>
      <c r="C5095">
        <v>0</v>
      </c>
    </row>
    <row r="5096" spans="1:3" x14ac:dyDescent="0.15">
      <c r="A5096" t="s">
        <v>999</v>
      </c>
      <c r="B5096">
        <v>2</v>
      </c>
      <c r="C5096">
        <v>1.054637E-3</v>
      </c>
    </row>
    <row r="5097" spans="1:3" x14ac:dyDescent="0.15">
      <c r="A5097" t="s">
        <v>999</v>
      </c>
      <c r="B5097">
        <v>2.8283999999999998</v>
      </c>
      <c r="C5097">
        <v>1.2883860000000001E-3</v>
      </c>
    </row>
    <row r="5098" spans="1:3" x14ac:dyDescent="0.15">
      <c r="A5098" t="s">
        <v>999</v>
      </c>
      <c r="B5098">
        <v>4</v>
      </c>
      <c r="C5098">
        <v>1.3108690000000001E-3</v>
      </c>
    </row>
    <row r="5099" spans="1:3" x14ac:dyDescent="0.15">
      <c r="A5099" t="s">
        <v>999</v>
      </c>
      <c r="B5099">
        <v>5.6569000000000003</v>
      </c>
      <c r="C5099">
        <v>1.1954940000000001E-3</v>
      </c>
    </row>
    <row r="5100" spans="1:3" x14ac:dyDescent="0.15">
      <c r="A5100" t="s">
        <v>999</v>
      </c>
      <c r="B5100">
        <v>8</v>
      </c>
      <c r="C5100">
        <v>1.1456940000000001E-3</v>
      </c>
    </row>
    <row r="5101" spans="1:3" x14ac:dyDescent="0.15">
      <c r="A5101" t="s">
        <v>999</v>
      </c>
      <c r="B5101">
        <v>11.313700000000001</v>
      </c>
      <c r="C5101">
        <v>1.1579400000000001E-3</v>
      </c>
    </row>
    <row r="5102" spans="1:3" x14ac:dyDescent="0.15">
      <c r="A5102" t="s">
        <v>999</v>
      </c>
      <c r="B5102">
        <v>16</v>
      </c>
      <c r="C5102">
        <v>9.03775E-4</v>
      </c>
    </row>
    <row r="5103" spans="1:3" x14ac:dyDescent="0.15">
      <c r="A5103" t="s">
        <v>999</v>
      </c>
      <c r="B5103">
        <v>22.627400000000002</v>
      </c>
      <c r="C5103">
        <v>6.0910800000000002E-4</v>
      </c>
    </row>
    <row r="5104" spans="1:3" x14ac:dyDescent="0.15">
      <c r="A5104" t="s">
        <v>999</v>
      </c>
      <c r="B5104">
        <v>32</v>
      </c>
      <c r="C5104">
        <v>6.3972900000000001E-4</v>
      </c>
    </row>
    <row r="5105" spans="1:3" x14ac:dyDescent="0.15">
      <c r="A5105" t="s">
        <v>999</v>
      </c>
      <c r="B5105">
        <v>45.254800000000003</v>
      </c>
      <c r="C5105">
        <v>8.4252999999999997E-4</v>
      </c>
    </row>
    <row r="5106" spans="1:3" x14ac:dyDescent="0.15">
      <c r="A5106" t="s">
        <v>999</v>
      </c>
      <c r="B5106">
        <v>64</v>
      </c>
      <c r="C5106">
        <v>9.9548600000000007E-4</v>
      </c>
    </row>
    <row r="5107" spans="1:3" x14ac:dyDescent="0.15">
      <c r="A5107" t="s">
        <v>999</v>
      </c>
      <c r="B5107">
        <v>90.509699999999995</v>
      </c>
      <c r="C5107">
        <v>1.0711130000000001E-3</v>
      </c>
    </row>
    <row r="5108" spans="1:3" x14ac:dyDescent="0.15">
      <c r="A5108" t="s">
        <v>999</v>
      </c>
      <c r="B5108">
        <v>128</v>
      </c>
      <c r="C5108">
        <v>1.014076E-3</v>
      </c>
    </row>
    <row r="5109" spans="1:3" x14ac:dyDescent="0.15">
      <c r="A5109" t="s">
        <v>999</v>
      </c>
      <c r="B5109">
        <v>181.01929999999999</v>
      </c>
      <c r="C5109">
        <v>5.1241700000000004E-4</v>
      </c>
    </row>
    <row r="5110" spans="1:3" x14ac:dyDescent="0.15">
      <c r="A5110" t="s">
        <v>999</v>
      </c>
      <c r="B5110">
        <v>256</v>
      </c>
      <c r="C5110">
        <v>7.8728999999999998E-5</v>
      </c>
    </row>
    <row r="5111" spans="1:3" x14ac:dyDescent="0.15">
      <c r="A5111" t="s">
        <v>999</v>
      </c>
      <c r="B5111">
        <v>362.03870000000001</v>
      </c>
      <c r="C5111">
        <v>1.469E-6</v>
      </c>
    </row>
    <row r="5112" spans="1:3" x14ac:dyDescent="0.15">
      <c r="A5112" t="s">
        <v>999</v>
      </c>
      <c r="B5112">
        <v>512</v>
      </c>
      <c r="C5112">
        <v>0</v>
      </c>
    </row>
    <row r="5113" spans="1:3" x14ac:dyDescent="0.15">
      <c r="A5113" t="s">
        <v>999</v>
      </c>
      <c r="B5113">
        <v>724.07730000000004</v>
      </c>
      <c r="C5113">
        <v>0</v>
      </c>
    </row>
    <row r="5114" spans="1:3" x14ac:dyDescent="0.15">
      <c r="A5114" t="s">
        <v>1000</v>
      </c>
      <c r="B5114">
        <v>2</v>
      </c>
      <c r="C5114">
        <v>1.1587959999999999E-3</v>
      </c>
    </row>
    <row r="5115" spans="1:3" x14ac:dyDescent="0.15">
      <c r="A5115" t="s">
        <v>1000</v>
      </c>
      <c r="B5115">
        <v>2.8283999999999998</v>
      </c>
      <c r="C5115">
        <v>1.1425739999999999E-3</v>
      </c>
    </row>
    <row r="5116" spans="1:3" x14ac:dyDescent="0.15">
      <c r="A5116" t="s">
        <v>1000</v>
      </c>
      <c r="B5116">
        <v>4</v>
      </c>
      <c r="C5116">
        <v>8.85665E-4</v>
      </c>
    </row>
    <row r="5117" spans="1:3" x14ac:dyDescent="0.15">
      <c r="A5117" t="s">
        <v>1000</v>
      </c>
      <c r="B5117">
        <v>5.6569000000000003</v>
      </c>
      <c r="C5117">
        <v>7.8230599999999997E-4</v>
      </c>
    </row>
    <row r="5118" spans="1:3" x14ac:dyDescent="0.15">
      <c r="A5118" t="s">
        <v>1000</v>
      </c>
      <c r="B5118">
        <v>8</v>
      </c>
      <c r="C5118">
        <v>7.4508699999999996E-4</v>
      </c>
    </row>
    <row r="5119" spans="1:3" x14ac:dyDescent="0.15">
      <c r="A5119" t="s">
        <v>1000</v>
      </c>
      <c r="B5119">
        <v>11.313700000000001</v>
      </c>
      <c r="C5119">
        <v>8.9620300000000004E-4</v>
      </c>
    </row>
    <row r="5120" spans="1:3" x14ac:dyDescent="0.15">
      <c r="A5120" t="s">
        <v>1000</v>
      </c>
      <c r="B5120">
        <v>16</v>
      </c>
      <c r="C5120">
        <v>1.210865E-3</v>
      </c>
    </row>
    <row r="5121" spans="1:3" x14ac:dyDescent="0.15">
      <c r="A5121" t="s">
        <v>1000</v>
      </c>
      <c r="B5121">
        <v>22.627400000000002</v>
      </c>
      <c r="C5121">
        <v>1.5436429999999999E-3</v>
      </c>
    </row>
    <row r="5122" spans="1:3" x14ac:dyDescent="0.15">
      <c r="A5122" t="s">
        <v>1000</v>
      </c>
      <c r="B5122">
        <v>32</v>
      </c>
      <c r="C5122">
        <v>1.7188539999999999E-3</v>
      </c>
    </row>
    <row r="5123" spans="1:3" x14ac:dyDescent="0.15">
      <c r="A5123" t="s">
        <v>1000</v>
      </c>
      <c r="B5123">
        <v>45.254800000000003</v>
      </c>
      <c r="C5123">
        <v>1.4030150000000001E-3</v>
      </c>
    </row>
    <row r="5124" spans="1:3" x14ac:dyDescent="0.15">
      <c r="A5124" t="s">
        <v>1000</v>
      </c>
      <c r="B5124">
        <v>64</v>
      </c>
      <c r="C5124">
        <v>9.6977200000000004E-4</v>
      </c>
    </row>
    <row r="5125" spans="1:3" x14ac:dyDescent="0.15">
      <c r="A5125" t="s">
        <v>1000</v>
      </c>
      <c r="B5125">
        <v>90.509699999999995</v>
      </c>
      <c r="C5125">
        <v>4.5884700000000002E-4</v>
      </c>
    </row>
    <row r="5126" spans="1:3" x14ac:dyDescent="0.15">
      <c r="A5126" t="s">
        <v>1000</v>
      </c>
      <c r="B5126">
        <v>128</v>
      </c>
      <c r="C5126">
        <v>7.0184000000000004E-5</v>
      </c>
    </row>
    <row r="5127" spans="1:3" x14ac:dyDescent="0.15">
      <c r="A5127" t="s">
        <v>1000</v>
      </c>
      <c r="B5127">
        <v>181.01929999999999</v>
      </c>
      <c r="C5127">
        <v>1.308E-6</v>
      </c>
    </row>
    <row r="5128" spans="1:3" x14ac:dyDescent="0.15">
      <c r="A5128" t="s">
        <v>1000</v>
      </c>
      <c r="B5128">
        <v>256</v>
      </c>
      <c r="C5128">
        <v>1.0000000000000001E-9</v>
      </c>
    </row>
    <row r="5129" spans="1:3" x14ac:dyDescent="0.15">
      <c r="A5129" t="s">
        <v>1000</v>
      </c>
      <c r="B5129">
        <v>362.03870000000001</v>
      </c>
      <c r="C5129">
        <v>0</v>
      </c>
    </row>
    <row r="5130" spans="1:3" x14ac:dyDescent="0.15">
      <c r="A5130" t="s">
        <v>1000</v>
      </c>
      <c r="B5130">
        <v>512</v>
      </c>
      <c r="C5130">
        <v>0</v>
      </c>
    </row>
    <row r="5131" spans="1:3" x14ac:dyDescent="0.15">
      <c r="A5131" t="s">
        <v>1000</v>
      </c>
      <c r="B5131">
        <v>724.07730000000004</v>
      </c>
      <c r="C5131">
        <v>0</v>
      </c>
    </row>
    <row r="5132" spans="1:3" x14ac:dyDescent="0.15">
      <c r="A5132" t="s">
        <v>1001</v>
      </c>
      <c r="B5132">
        <v>2</v>
      </c>
      <c r="C5132">
        <v>1.3509360000000001E-3</v>
      </c>
    </row>
    <row r="5133" spans="1:3" x14ac:dyDescent="0.15">
      <c r="A5133" t="s">
        <v>1001</v>
      </c>
      <c r="B5133">
        <v>2.8283999999999998</v>
      </c>
      <c r="C5133">
        <v>1.6665989999999999E-3</v>
      </c>
    </row>
    <row r="5134" spans="1:3" x14ac:dyDescent="0.15">
      <c r="A5134" t="s">
        <v>1001</v>
      </c>
      <c r="B5134">
        <v>4</v>
      </c>
      <c r="C5134">
        <v>1.7767480000000001E-3</v>
      </c>
    </row>
    <row r="5135" spans="1:3" x14ac:dyDescent="0.15">
      <c r="A5135" t="s">
        <v>1001</v>
      </c>
      <c r="B5135">
        <v>5.6569000000000003</v>
      </c>
      <c r="C5135">
        <v>1.769475E-3</v>
      </c>
    </row>
    <row r="5136" spans="1:3" x14ac:dyDescent="0.15">
      <c r="A5136" t="s">
        <v>1001</v>
      </c>
      <c r="B5136">
        <v>8</v>
      </c>
      <c r="C5136">
        <v>1.854676E-3</v>
      </c>
    </row>
    <row r="5137" spans="1:3" x14ac:dyDescent="0.15">
      <c r="A5137" t="s">
        <v>1001</v>
      </c>
      <c r="B5137">
        <v>11.313700000000001</v>
      </c>
      <c r="C5137">
        <v>1.8864280000000001E-3</v>
      </c>
    </row>
    <row r="5138" spans="1:3" x14ac:dyDescent="0.15">
      <c r="A5138" t="s">
        <v>1001</v>
      </c>
      <c r="B5138">
        <v>16</v>
      </c>
      <c r="C5138">
        <v>1.6242979999999999E-3</v>
      </c>
    </row>
    <row r="5139" spans="1:3" x14ac:dyDescent="0.15">
      <c r="A5139" t="s">
        <v>1001</v>
      </c>
      <c r="B5139">
        <v>22.627400000000002</v>
      </c>
      <c r="C5139">
        <v>1.2004299999999999E-3</v>
      </c>
    </row>
    <row r="5140" spans="1:3" x14ac:dyDescent="0.15">
      <c r="A5140" t="s">
        <v>1001</v>
      </c>
      <c r="B5140">
        <v>32</v>
      </c>
      <c r="C5140">
        <v>1.0311059999999999E-3</v>
      </c>
    </row>
    <row r="5141" spans="1:3" x14ac:dyDescent="0.15">
      <c r="A5141" t="s">
        <v>1001</v>
      </c>
      <c r="B5141">
        <v>45.254800000000003</v>
      </c>
      <c r="C5141">
        <v>8.7836900000000005E-4</v>
      </c>
    </row>
    <row r="5142" spans="1:3" x14ac:dyDescent="0.15">
      <c r="A5142" t="s">
        <v>1001</v>
      </c>
      <c r="B5142">
        <v>64</v>
      </c>
      <c r="C5142">
        <v>6.1978599999999999E-4</v>
      </c>
    </row>
    <row r="5143" spans="1:3" x14ac:dyDescent="0.15">
      <c r="A5143" t="s">
        <v>1001</v>
      </c>
      <c r="B5143">
        <v>90.509699999999995</v>
      </c>
      <c r="C5143">
        <v>2.9039499999999999E-4</v>
      </c>
    </row>
    <row r="5144" spans="1:3" x14ac:dyDescent="0.15">
      <c r="A5144" t="s">
        <v>1001</v>
      </c>
      <c r="B5144">
        <v>128</v>
      </c>
      <c r="C5144">
        <v>4.4444999999999999E-5</v>
      </c>
    </row>
    <row r="5145" spans="1:3" x14ac:dyDescent="0.15">
      <c r="A5145" t="s">
        <v>1001</v>
      </c>
      <c r="B5145">
        <v>181.01929999999999</v>
      </c>
      <c r="C5145">
        <v>8.2900000000000002E-7</v>
      </c>
    </row>
    <row r="5146" spans="1:3" x14ac:dyDescent="0.15">
      <c r="A5146" t="s">
        <v>1001</v>
      </c>
      <c r="B5146">
        <v>256</v>
      </c>
      <c r="C5146">
        <v>0</v>
      </c>
    </row>
    <row r="5147" spans="1:3" x14ac:dyDescent="0.15">
      <c r="A5147" t="s">
        <v>1001</v>
      </c>
      <c r="B5147">
        <v>362.03870000000001</v>
      </c>
      <c r="C5147">
        <v>0</v>
      </c>
    </row>
    <row r="5148" spans="1:3" x14ac:dyDescent="0.15">
      <c r="A5148" t="s">
        <v>1001</v>
      </c>
      <c r="B5148">
        <v>512</v>
      </c>
      <c r="C5148">
        <v>0</v>
      </c>
    </row>
    <row r="5149" spans="1:3" x14ac:dyDescent="0.15">
      <c r="A5149" t="s">
        <v>1001</v>
      </c>
      <c r="B5149">
        <v>724.07730000000004</v>
      </c>
      <c r="C5149">
        <v>0</v>
      </c>
    </row>
    <row r="5150" spans="1:3" x14ac:dyDescent="0.15">
      <c r="A5150" t="s">
        <v>1002</v>
      </c>
      <c r="B5150">
        <v>2</v>
      </c>
      <c r="C5150">
        <v>2.0202029999999999E-3</v>
      </c>
    </row>
    <row r="5151" spans="1:3" x14ac:dyDescent="0.15">
      <c r="A5151" t="s">
        <v>1002</v>
      </c>
      <c r="B5151">
        <v>2.8283999999999998</v>
      </c>
      <c r="C5151">
        <v>1.91044E-3</v>
      </c>
    </row>
    <row r="5152" spans="1:3" x14ac:dyDescent="0.15">
      <c r="A5152" t="s">
        <v>1002</v>
      </c>
      <c r="B5152">
        <v>4</v>
      </c>
      <c r="C5152">
        <v>1.6429229999999999E-3</v>
      </c>
    </row>
    <row r="5153" spans="1:3" x14ac:dyDescent="0.15">
      <c r="A5153" t="s">
        <v>1002</v>
      </c>
      <c r="B5153">
        <v>5.6569000000000003</v>
      </c>
      <c r="C5153">
        <v>1.4827499999999999E-3</v>
      </c>
    </row>
    <row r="5154" spans="1:3" x14ac:dyDescent="0.15">
      <c r="A5154" t="s">
        <v>1002</v>
      </c>
      <c r="B5154">
        <v>8</v>
      </c>
      <c r="C5154">
        <v>1.437181E-3</v>
      </c>
    </row>
    <row r="5155" spans="1:3" x14ac:dyDescent="0.15">
      <c r="A5155" t="s">
        <v>1002</v>
      </c>
      <c r="B5155">
        <v>11.313700000000001</v>
      </c>
      <c r="C5155">
        <v>1.1909609999999999E-3</v>
      </c>
    </row>
    <row r="5156" spans="1:3" x14ac:dyDescent="0.15">
      <c r="A5156" t="s">
        <v>1002</v>
      </c>
      <c r="B5156">
        <v>16</v>
      </c>
      <c r="C5156">
        <v>7.3076599999999999E-4</v>
      </c>
    </row>
    <row r="5157" spans="1:3" x14ac:dyDescent="0.15">
      <c r="A5157" t="s">
        <v>1002</v>
      </c>
      <c r="B5157">
        <v>22.627400000000002</v>
      </c>
      <c r="C5157">
        <v>7.0325100000000001E-4</v>
      </c>
    </row>
    <row r="5158" spans="1:3" x14ac:dyDescent="0.15">
      <c r="A5158" t="s">
        <v>1002</v>
      </c>
      <c r="B5158">
        <v>32</v>
      </c>
      <c r="C5158">
        <v>1.0096739999999999E-3</v>
      </c>
    </row>
    <row r="5159" spans="1:3" x14ac:dyDescent="0.15">
      <c r="A5159" t="s">
        <v>1002</v>
      </c>
      <c r="B5159">
        <v>45.254800000000003</v>
      </c>
      <c r="C5159">
        <v>1.364795E-3</v>
      </c>
    </row>
    <row r="5160" spans="1:3" x14ac:dyDescent="0.15">
      <c r="A5160" t="s">
        <v>1002</v>
      </c>
      <c r="B5160">
        <v>64</v>
      </c>
      <c r="C5160">
        <v>1.605813E-3</v>
      </c>
    </row>
    <row r="5161" spans="1:3" x14ac:dyDescent="0.15">
      <c r="A5161" t="s">
        <v>1002</v>
      </c>
      <c r="B5161">
        <v>90.509699999999995</v>
      </c>
      <c r="C5161">
        <v>1.9223350000000001E-3</v>
      </c>
    </row>
    <row r="5162" spans="1:3" x14ac:dyDescent="0.15">
      <c r="A5162" t="s">
        <v>1002</v>
      </c>
      <c r="B5162">
        <v>128</v>
      </c>
      <c r="C5162">
        <v>1.890437E-3</v>
      </c>
    </row>
    <row r="5163" spans="1:3" x14ac:dyDescent="0.15">
      <c r="A5163" t="s">
        <v>1002</v>
      </c>
      <c r="B5163">
        <v>181.01929999999999</v>
      </c>
      <c r="C5163">
        <v>9.5844699999999997E-4</v>
      </c>
    </row>
    <row r="5164" spans="1:3" x14ac:dyDescent="0.15">
      <c r="A5164" t="s">
        <v>1002</v>
      </c>
      <c r="B5164">
        <v>256</v>
      </c>
      <c r="C5164">
        <v>1.4734500000000001E-4</v>
      </c>
    </row>
    <row r="5165" spans="1:3" x14ac:dyDescent="0.15">
      <c r="A5165" t="s">
        <v>1002</v>
      </c>
      <c r="B5165">
        <v>362.03870000000001</v>
      </c>
      <c r="C5165">
        <v>2.7480000000000002E-6</v>
      </c>
    </row>
    <row r="5166" spans="1:3" x14ac:dyDescent="0.15">
      <c r="A5166" t="s">
        <v>1002</v>
      </c>
      <c r="B5166">
        <v>512</v>
      </c>
      <c r="C5166">
        <v>2.0000000000000001E-9</v>
      </c>
    </row>
    <row r="5167" spans="1:3" x14ac:dyDescent="0.15">
      <c r="A5167" t="s">
        <v>1002</v>
      </c>
      <c r="B5167">
        <v>724.07730000000004</v>
      </c>
      <c r="C5167">
        <v>0</v>
      </c>
    </row>
    <row r="5168" spans="1:3" x14ac:dyDescent="0.15">
      <c r="A5168" t="s">
        <v>1003</v>
      </c>
      <c r="B5168">
        <v>2</v>
      </c>
      <c r="C5168">
        <v>1.3270140000000001E-3</v>
      </c>
    </row>
    <row r="5169" spans="1:3" x14ac:dyDescent="0.15">
      <c r="A5169" t="s">
        <v>1003</v>
      </c>
      <c r="B5169">
        <v>2.8283999999999998</v>
      </c>
      <c r="C5169">
        <v>1.744039E-3</v>
      </c>
    </row>
    <row r="5170" spans="1:3" x14ac:dyDescent="0.15">
      <c r="A5170" t="s">
        <v>1003</v>
      </c>
      <c r="B5170">
        <v>4</v>
      </c>
      <c r="C5170">
        <v>2.034129E-3</v>
      </c>
    </row>
    <row r="5171" spans="1:3" x14ac:dyDescent="0.15">
      <c r="A5171" t="s">
        <v>1003</v>
      </c>
      <c r="B5171">
        <v>5.6569000000000003</v>
      </c>
      <c r="C5171">
        <v>2.0035970000000002E-3</v>
      </c>
    </row>
    <row r="5172" spans="1:3" x14ac:dyDescent="0.15">
      <c r="A5172" t="s">
        <v>1003</v>
      </c>
      <c r="B5172">
        <v>8</v>
      </c>
      <c r="C5172">
        <v>1.7112830000000001E-3</v>
      </c>
    </row>
    <row r="5173" spans="1:3" x14ac:dyDescent="0.15">
      <c r="A5173" t="s">
        <v>1003</v>
      </c>
      <c r="B5173">
        <v>11.313700000000001</v>
      </c>
      <c r="C5173">
        <v>1.436168E-3</v>
      </c>
    </row>
    <row r="5174" spans="1:3" x14ac:dyDescent="0.15">
      <c r="A5174" t="s">
        <v>1003</v>
      </c>
      <c r="B5174">
        <v>16</v>
      </c>
      <c r="C5174">
        <v>1.1912349999999999E-3</v>
      </c>
    </row>
    <row r="5175" spans="1:3" x14ac:dyDescent="0.15">
      <c r="A5175" t="s">
        <v>1003</v>
      </c>
      <c r="B5175">
        <v>22.627400000000002</v>
      </c>
      <c r="C5175">
        <v>8.91112E-4</v>
      </c>
    </row>
    <row r="5176" spans="1:3" x14ac:dyDescent="0.15">
      <c r="A5176" t="s">
        <v>1003</v>
      </c>
      <c r="B5176">
        <v>32</v>
      </c>
      <c r="C5176">
        <v>8.1101700000000003E-4</v>
      </c>
    </row>
    <row r="5177" spans="1:3" x14ac:dyDescent="0.15">
      <c r="A5177" t="s">
        <v>1003</v>
      </c>
      <c r="B5177">
        <v>45.254800000000003</v>
      </c>
      <c r="C5177">
        <v>8.9883900000000002E-4</v>
      </c>
    </row>
    <row r="5178" spans="1:3" x14ac:dyDescent="0.15">
      <c r="A5178" t="s">
        <v>1003</v>
      </c>
      <c r="B5178">
        <v>64</v>
      </c>
      <c r="C5178">
        <v>1.0555289999999999E-3</v>
      </c>
    </row>
    <row r="5179" spans="1:3" x14ac:dyDescent="0.15">
      <c r="A5179" t="s">
        <v>1003</v>
      </c>
      <c r="B5179">
        <v>90.509699999999995</v>
      </c>
      <c r="C5179">
        <v>1.028089E-3</v>
      </c>
    </row>
    <row r="5180" spans="1:3" x14ac:dyDescent="0.15">
      <c r="A5180" t="s">
        <v>1003</v>
      </c>
      <c r="B5180">
        <v>128</v>
      </c>
      <c r="C5180">
        <v>7.9247300000000003E-4</v>
      </c>
    </row>
    <row r="5181" spans="1:3" x14ac:dyDescent="0.15">
      <c r="A5181" t="s">
        <v>1003</v>
      </c>
      <c r="B5181">
        <v>181.01929999999999</v>
      </c>
      <c r="C5181">
        <v>3.7914900000000001E-4</v>
      </c>
    </row>
    <row r="5182" spans="1:3" x14ac:dyDescent="0.15">
      <c r="A5182" t="s">
        <v>1003</v>
      </c>
      <c r="B5182">
        <v>256</v>
      </c>
      <c r="C5182">
        <v>5.8084999999999997E-5</v>
      </c>
    </row>
    <row r="5183" spans="1:3" x14ac:dyDescent="0.15">
      <c r="A5183" t="s">
        <v>1003</v>
      </c>
      <c r="B5183">
        <v>362.03870000000001</v>
      </c>
      <c r="C5183">
        <v>1.083E-6</v>
      </c>
    </row>
    <row r="5184" spans="1:3" x14ac:dyDescent="0.15">
      <c r="A5184" t="s">
        <v>1003</v>
      </c>
      <c r="B5184">
        <v>512</v>
      </c>
      <c r="C5184">
        <v>1.0000000000000001E-9</v>
      </c>
    </row>
    <row r="5185" spans="1:3" x14ac:dyDescent="0.15">
      <c r="A5185" t="s">
        <v>1003</v>
      </c>
      <c r="B5185">
        <v>724.07730000000004</v>
      </c>
      <c r="C5185">
        <v>0</v>
      </c>
    </row>
    <row r="5186" spans="1:3" x14ac:dyDescent="0.15">
      <c r="A5186" t="s">
        <v>1004</v>
      </c>
      <c r="B5186">
        <v>2</v>
      </c>
      <c r="C5186">
        <v>1.1306599999999999E-3</v>
      </c>
    </row>
    <row r="5187" spans="1:3" x14ac:dyDescent="0.15">
      <c r="A5187" t="s">
        <v>1004</v>
      </c>
      <c r="B5187">
        <v>2.8283999999999998</v>
      </c>
      <c r="C5187">
        <v>1.40603E-3</v>
      </c>
    </row>
    <row r="5188" spans="1:3" x14ac:dyDescent="0.15">
      <c r="A5188" t="s">
        <v>1004</v>
      </c>
      <c r="B5188">
        <v>4</v>
      </c>
      <c r="C5188">
        <v>1.5633629999999999E-3</v>
      </c>
    </row>
    <row r="5189" spans="1:3" x14ac:dyDescent="0.15">
      <c r="A5189" t="s">
        <v>1004</v>
      </c>
      <c r="B5189">
        <v>5.6569000000000003</v>
      </c>
      <c r="C5189">
        <v>1.499455E-3</v>
      </c>
    </row>
    <row r="5190" spans="1:3" x14ac:dyDescent="0.15">
      <c r="A5190" t="s">
        <v>1004</v>
      </c>
      <c r="B5190">
        <v>8</v>
      </c>
      <c r="C5190">
        <v>1.323224E-3</v>
      </c>
    </row>
    <row r="5191" spans="1:3" x14ac:dyDescent="0.15">
      <c r="A5191" t="s">
        <v>1004</v>
      </c>
      <c r="B5191">
        <v>11.313700000000001</v>
      </c>
      <c r="C5191">
        <v>1.192664E-3</v>
      </c>
    </row>
    <row r="5192" spans="1:3" x14ac:dyDescent="0.15">
      <c r="A5192" t="s">
        <v>1004</v>
      </c>
      <c r="B5192">
        <v>16</v>
      </c>
      <c r="C5192">
        <v>9.3633099999999999E-4</v>
      </c>
    </row>
    <row r="5193" spans="1:3" x14ac:dyDescent="0.15">
      <c r="A5193" t="s">
        <v>1004</v>
      </c>
      <c r="B5193">
        <v>22.627400000000002</v>
      </c>
      <c r="C5193">
        <v>6.92557E-4</v>
      </c>
    </row>
    <row r="5194" spans="1:3" x14ac:dyDescent="0.15">
      <c r="A5194" t="s">
        <v>1004</v>
      </c>
      <c r="B5194">
        <v>32</v>
      </c>
      <c r="C5194">
        <v>6.44087E-4</v>
      </c>
    </row>
    <row r="5195" spans="1:3" x14ac:dyDescent="0.15">
      <c r="A5195" t="s">
        <v>1004</v>
      </c>
      <c r="B5195">
        <v>45.254800000000003</v>
      </c>
      <c r="C5195">
        <v>8.1358600000000004E-4</v>
      </c>
    </row>
    <row r="5196" spans="1:3" x14ac:dyDescent="0.15">
      <c r="A5196" t="s">
        <v>1004</v>
      </c>
      <c r="B5196">
        <v>64</v>
      </c>
      <c r="C5196">
        <v>1.0181879999999999E-3</v>
      </c>
    </row>
    <row r="5197" spans="1:3" x14ac:dyDescent="0.15">
      <c r="A5197" t="s">
        <v>1004</v>
      </c>
      <c r="B5197">
        <v>90.509699999999995</v>
      </c>
      <c r="C5197">
        <v>8.9112600000000001E-4</v>
      </c>
    </row>
    <row r="5198" spans="1:3" x14ac:dyDescent="0.15">
      <c r="A5198" t="s">
        <v>1004</v>
      </c>
      <c r="B5198">
        <v>128</v>
      </c>
      <c r="C5198">
        <v>5.8149500000000002E-4</v>
      </c>
    </row>
    <row r="5199" spans="1:3" x14ac:dyDescent="0.15">
      <c r="A5199" t="s">
        <v>1004</v>
      </c>
      <c r="B5199">
        <v>181.01929999999999</v>
      </c>
      <c r="C5199">
        <v>2.64749E-4</v>
      </c>
    </row>
    <row r="5200" spans="1:3" x14ac:dyDescent="0.15">
      <c r="A5200" t="s">
        <v>1004</v>
      </c>
      <c r="B5200">
        <v>256</v>
      </c>
      <c r="C5200">
        <v>4.0426999999999998E-5</v>
      </c>
    </row>
    <row r="5201" spans="1:3" x14ac:dyDescent="0.15">
      <c r="A5201" t="s">
        <v>1004</v>
      </c>
      <c r="B5201">
        <v>362.03870000000001</v>
      </c>
      <c r="C5201">
        <v>7.54E-7</v>
      </c>
    </row>
    <row r="5202" spans="1:3" x14ac:dyDescent="0.15">
      <c r="A5202" t="s">
        <v>1004</v>
      </c>
      <c r="B5202">
        <v>512</v>
      </c>
      <c r="C5202">
        <v>0</v>
      </c>
    </row>
    <row r="5203" spans="1:3" x14ac:dyDescent="0.15">
      <c r="A5203" t="s">
        <v>1004</v>
      </c>
      <c r="B5203">
        <v>724.07730000000004</v>
      </c>
      <c r="C5203">
        <v>0</v>
      </c>
    </row>
    <row r="5204" spans="1:3" x14ac:dyDescent="0.15">
      <c r="A5204" t="s">
        <v>1005</v>
      </c>
      <c r="B5204">
        <v>2</v>
      </c>
      <c r="C5204">
        <v>7.0466500000000004E-4</v>
      </c>
    </row>
    <row r="5205" spans="1:3" x14ac:dyDescent="0.15">
      <c r="A5205" t="s">
        <v>1005</v>
      </c>
      <c r="B5205">
        <v>2.8283999999999998</v>
      </c>
      <c r="C5205">
        <v>8.5733599999999999E-4</v>
      </c>
    </row>
    <row r="5206" spans="1:3" x14ac:dyDescent="0.15">
      <c r="A5206" t="s">
        <v>1005</v>
      </c>
      <c r="B5206">
        <v>4</v>
      </c>
      <c r="C5206">
        <v>1.035794E-3</v>
      </c>
    </row>
    <row r="5207" spans="1:3" x14ac:dyDescent="0.15">
      <c r="A5207" t="s">
        <v>1005</v>
      </c>
      <c r="B5207">
        <v>5.6569000000000003</v>
      </c>
      <c r="C5207">
        <v>1.2103699999999999E-3</v>
      </c>
    </row>
    <row r="5208" spans="1:3" x14ac:dyDescent="0.15">
      <c r="A5208" t="s">
        <v>1005</v>
      </c>
      <c r="B5208">
        <v>8</v>
      </c>
      <c r="C5208">
        <v>1.271019E-3</v>
      </c>
    </row>
    <row r="5209" spans="1:3" x14ac:dyDescent="0.15">
      <c r="A5209" t="s">
        <v>1005</v>
      </c>
      <c r="B5209">
        <v>11.313700000000001</v>
      </c>
      <c r="C5209">
        <v>1.1312659999999999E-3</v>
      </c>
    </row>
    <row r="5210" spans="1:3" x14ac:dyDescent="0.15">
      <c r="A5210" t="s">
        <v>1005</v>
      </c>
      <c r="B5210">
        <v>16</v>
      </c>
      <c r="C5210">
        <v>7.6673500000000005E-4</v>
      </c>
    </row>
    <row r="5211" spans="1:3" x14ac:dyDescent="0.15">
      <c r="A5211" t="s">
        <v>1005</v>
      </c>
      <c r="B5211">
        <v>22.627400000000002</v>
      </c>
      <c r="C5211">
        <v>6.6412999999999997E-4</v>
      </c>
    </row>
    <row r="5212" spans="1:3" x14ac:dyDescent="0.15">
      <c r="A5212" t="s">
        <v>1005</v>
      </c>
      <c r="B5212">
        <v>32</v>
      </c>
      <c r="C5212">
        <v>7.5818800000000003E-4</v>
      </c>
    </row>
    <row r="5213" spans="1:3" x14ac:dyDescent="0.15">
      <c r="A5213" t="s">
        <v>1005</v>
      </c>
      <c r="B5213">
        <v>45.254800000000003</v>
      </c>
      <c r="C5213">
        <v>8.09569E-4</v>
      </c>
    </row>
    <row r="5214" spans="1:3" x14ac:dyDescent="0.15">
      <c r="A5214" t="s">
        <v>1005</v>
      </c>
      <c r="B5214">
        <v>64</v>
      </c>
      <c r="C5214">
        <v>8.8835300000000004E-4</v>
      </c>
    </row>
    <row r="5215" spans="1:3" x14ac:dyDescent="0.15">
      <c r="A5215" t="s">
        <v>1005</v>
      </c>
      <c r="B5215">
        <v>90.509699999999995</v>
      </c>
      <c r="C5215">
        <v>9.1460100000000002E-4</v>
      </c>
    </row>
    <row r="5216" spans="1:3" x14ac:dyDescent="0.15">
      <c r="A5216" t="s">
        <v>1005</v>
      </c>
      <c r="B5216">
        <v>128</v>
      </c>
      <c r="C5216">
        <v>8.5848200000000004E-4</v>
      </c>
    </row>
    <row r="5217" spans="1:3" x14ac:dyDescent="0.15">
      <c r="A5217" t="s">
        <v>1005</v>
      </c>
      <c r="B5217">
        <v>181.01929999999999</v>
      </c>
      <c r="C5217">
        <v>4.3358900000000001E-4</v>
      </c>
    </row>
    <row r="5218" spans="1:3" x14ac:dyDescent="0.15">
      <c r="A5218" t="s">
        <v>1005</v>
      </c>
      <c r="B5218">
        <v>256</v>
      </c>
      <c r="C5218">
        <v>6.6536000000000001E-5</v>
      </c>
    </row>
    <row r="5219" spans="1:3" x14ac:dyDescent="0.15">
      <c r="A5219" t="s">
        <v>1005</v>
      </c>
      <c r="B5219">
        <v>362.03870000000001</v>
      </c>
      <c r="C5219">
        <v>1.2410000000000001E-6</v>
      </c>
    </row>
    <row r="5220" spans="1:3" x14ac:dyDescent="0.15">
      <c r="A5220" t="s">
        <v>1005</v>
      </c>
      <c r="B5220">
        <v>512</v>
      </c>
      <c r="C5220">
        <v>2.0000000000000001E-9</v>
      </c>
    </row>
    <row r="5221" spans="1:3" x14ac:dyDescent="0.15">
      <c r="A5221" t="s">
        <v>1005</v>
      </c>
      <c r="B5221">
        <v>724.07730000000004</v>
      </c>
      <c r="C5221">
        <v>0</v>
      </c>
    </row>
    <row r="5222" spans="1:3" x14ac:dyDescent="0.15">
      <c r="A5222" t="s">
        <v>1006</v>
      </c>
      <c r="B5222">
        <v>2</v>
      </c>
      <c r="C5222">
        <v>1.3774099999999999E-3</v>
      </c>
    </row>
    <row r="5223" spans="1:3" x14ac:dyDescent="0.15">
      <c r="A5223" t="s">
        <v>1006</v>
      </c>
      <c r="B5223">
        <v>2.8283999999999998</v>
      </c>
      <c r="C5223">
        <v>1.814824E-3</v>
      </c>
    </row>
    <row r="5224" spans="1:3" x14ac:dyDescent="0.15">
      <c r="A5224" t="s">
        <v>1006</v>
      </c>
      <c r="B5224">
        <v>4</v>
      </c>
      <c r="C5224">
        <v>2.0774309999999998E-3</v>
      </c>
    </row>
    <row r="5225" spans="1:3" x14ac:dyDescent="0.15">
      <c r="A5225" t="s">
        <v>1006</v>
      </c>
      <c r="B5225">
        <v>5.6569000000000003</v>
      </c>
      <c r="C5225">
        <v>2.0128310000000001E-3</v>
      </c>
    </row>
    <row r="5226" spans="1:3" x14ac:dyDescent="0.15">
      <c r="A5226" t="s">
        <v>1006</v>
      </c>
      <c r="B5226">
        <v>8</v>
      </c>
      <c r="C5226">
        <v>1.6485580000000001E-3</v>
      </c>
    </row>
    <row r="5227" spans="1:3" x14ac:dyDescent="0.15">
      <c r="A5227" t="s">
        <v>1006</v>
      </c>
      <c r="B5227">
        <v>11.313700000000001</v>
      </c>
      <c r="C5227">
        <v>1.2364050000000001E-3</v>
      </c>
    </row>
    <row r="5228" spans="1:3" x14ac:dyDescent="0.15">
      <c r="A5228" t="s">
        <v>1006</v>
      </c>
      <c r="B5228">
        <v>16</v>
      </c>
      <c r="C5228">
        <v>1.008964E-3</v>
      </c>
    </row>
    <row r="5229" spans="1:3" x14ac:dyDescent="0.15">
      <c r="A5229" t="s">
        <v>1006</v>
      </c>
      <c r="B5229">
        <v>22.627400000000002</v>
      </c>
      <c r="C5229">
        <v>8.0125699999999999E-4</v>
      </c>
    </row>
    <row r="5230" spans="1:3" x14ac:dyDescent="0.15">
      <c r="A5230" t="s">
        <v>1006</v>
      </c>
      <c r="B5230">
        <v>32</v>
      </c>
      <c r="C5230">
        <v>7.4483299999999998E-4</v>
      </c>
    </row>
    <row r="5231" spans="1:3" x14ac:dyDescent="0.15">
      <c r="A5231" t="s">
        <v>1006</v>
      </c>
      <c r="B5231">
        <v>45.254800000000003</v>
      </c>
      <c r="C5231">
        <v>9.6379400000000002E-4</v>
      </c>
    </row>
    <row r="5232" spans="1:3" x14ac:dyDescent="0.15">
      <c r="A5232" t="s">
        <v>1006</v>
      </c>
      <c r="B5232">
        <v>64</v>
      </c>
      <c r="C5232">
        <v>1.0291479999999999E-3</v>
      </c>
    </row>
    <row r="5233" spans="1:3" x14ac:dyDescent="0.15">
      <c r="A5233" t="s">
        <v>1006</v>
      </c>
      <c r="B5233">
        <v>90.509699999999995</v>
      </c>
      <c r="C5233">
        <v>8.0495399999999998E-4</v>
      </c>
    </row>
    <row r="5234" spans="1:3" x14ac:dyDescent="0.15">
      <c r="A5234" t="s">
        <v>1006</v>
      </c>
      <c r="B5234">
        <v>128</v>
      </c>
      <c r="C5234">
        <v>6.7513499999999999E-4</v>
      </c>
    </row>
    <row r="5235" spans="1:3" x14ac:dyDescent="0.15">
      <c r="A5235" t="s">
        <v>1006</v>
      </c>
      <c r="B5235">
        <v>181.01929999999999</v>
      </c>
      <c r="C5235">
        <v>3.46299E-4</v>
      </c>
    </row>
    <row r="5236" spans="1:3" x14ac:dyDescent="0.15">
      <c r="A5236" t="s">
        <v>1006</v>
      </c>
      <c r="B5236">
        <v>256</v>
      </c>
      <c r="C5236">
        <v>5.3560999999999998E-5</v>
      </c>
    </row>
    <row r="5237" spans="1:3" x14ac:dyDescent="0.15">
      <c r="A5237" t="s">
        <v>1006</v>
      </c>
      <c r="B5237">
        <v>362.03870000000001</v>
      </c>
      <c r="C5237">
        <v>9.9999999999999995E-7</v>
      </c>
    </row>
    <row r="5238" spans="1:3" x14ac:dyDescent="0.15">
      <c r="A5238" t="s">
        <v>1006</v>
      </c>
      <c r="B5238">
        <v>512</v>
      </c>
      <c r="C5238">
        <v>0</v>
      </c>
    </row>
    <row r="5239" spans="1:3" x14ac:dyDescent="0.15">
      <c r="A5239" t="s">
        <v>1006</v>
      </c>
      <c r="B5239">
        <v>724.07730000000004</v>
      </c>
      <c r="C5239">
        <v>0</v>
      </c>
    </row>
    <row r="5240" spans="1:3" x14ac:dyDescent="0.15">
      <c r="A5240" t="s">
        <v>1007</v>
      </c>
      <c r="B5240">
        <v>2</v>
      </c>
      <c r="C5240">
        <v>1.4625689999999999E-3</v>
      </c>
    </row>
    <row r="5241" spans="1:3" x14ac:dyDescent="0.15">
      <c r="A5241" t="s">
        <v>1007</v>
      </c>
      <c r="B5241">
        <v>2.8283999999999998</v>
      </c>
      <c r="C5241">
        <v>1.833903E-3</v>
      </c>
    </row>
    <row r="5242" spans="1:3" x14ac:dyDescent="0.15">
      <c r="A5242" t="s">
        <v>1007</v>
      </c>
      <c r="B5242">
        <v>4</v>
      </c>
      <c r="C5242">
        <v>2.0127719999999999E-3</v>
      </c>
    </row>
    <row r="5243" spans="1:3" x14ac:dyDescent="0.15">
      <c r="A5243" t="s">
        <v>1007</v>
      </c>
      <c r="B5243">
        <v>5.6569000000000003</v>
      </c>
      <c r="C5243">
        <v>1.921077E-3</v>
      </c>
    </row>
    <row r="5244" spans="1:3" x14ac:dyDescent="0.15">
      <c r="A5244" t="s">
        <v>1007</v>
      </c>
      <c r="B5244">
        <v>8</v>
      </c>
      <c r="C5244">
        <v>1.6560629999999999E-3</v>
      </c>
    </row>
    <row r="5245" spans="1:3" x14ac:dyDescent="0.15">
      <c r="A5245" t="s">
        <v>1007</v>
      </c>
      <c r="B5245">
        <v>11.313700000000001</v>
      </c>
      <c r="C5245">
        <v>1.352149E-3</v>
      </c>
    </row>
    <row r="5246" spans="1:3" x14ac:dyDescent="0.15">
      <c r="A5246" t="s">
        <v>1007</v>
      </c>
      <c r="B5246">
        <v>16</v>
      </c>
      <c r="C5246">
        <v>1.1327889999999999E-3</v>
      </c>
    </row>
    <row r="5247" spans="1:3" x14ac:dyDescent="0.15">
      <c r="A5247" t="s">
        <v>1007</v>
      </c>
      <c r="B5247">
        <v>22.627400000000002</v>
      </c>
      <c r="C5247">
        <v>9.6587699999999997E-4</v>
      </c>
    </row>
    <row r="5248" spans="1:3" x14ac:dyDescent="0.15">
      <c r="A5248" t="s">
        <v>1007</v>
      </c>
      <c r="B5248">
        <v>32</v>
      </c>
      <c r="C5248">
        <v>1.0564859999999999E-3</v>
      </c>
    </row>
    <row r="5249" spans="1:3" x14ac:dyDescent="0.15">
      <c r="A5249" t="s">
        <v>1007</v>
      </c>
      <c r="B5249">
        <v>45.254800000000003</v>
      </c>
      <c r="C5249">
        <v>1.042025E-3</v>
      </c>
    </row>
    <row r="5250" spans="1:3" x14ac:dyDescent="0.15">
      <c r="A5250" t="s">
        <v>1007</v>
      </c>
      <c r="B5250">
        <v>64</v>
      </c>
      <c r="C5250">
        <v>6.1421999999999996E-4</v>
      </c>
    </row>
    <row r="5251" spans="1:3" x14ac:dyDescent="0.15">
      <c r="A5251" t="s">
        <v>1007</v>
      </c>
      <c r="B5251">
        <v>90.509699999999995</v>
      </c>
      <c r="C5251">
        <v>2.7807100000000001E-4</v>
      </c>
    </row>
    <row r="5252" spans="1:3" x14ac:dyDescent="0.15">
      <c r="A5252" t="s">
        <v>1007</v>
      </c>
      <c r="B5252">
        <v>128</v>
      </c>
      <c r="C5252">
        <v>1.8425700000000001E-4</v>
      </c>
    </row>
    <row r="5253" spans="1:3" x14ac:dyDescent="0.15">
      <c r="A5253" t="s">
        <v>1007</v>
      </c>
      <c r="B5253">
        <v>181.01929999999999</v>
      </c>
      <c r="C5253">
        <v>8.8434000000000001E-5</v>
      </c>
    </row>
    <row r="5254" spans="1:3" x14ac:dyDescent="0.15">
      <c r="A5254" t="s">
        <v>1007</v>
      </c>
      <c r="B5254">
        <v>256</v>
      </c>
      <c r="C5254">
        <v>1.3566E-5</v>
      </c>
    </row>
    <row r="5255" spans="1:3" x14ac:dyDescent="0.15">
      <c r="A5255" t="s">
        <v>1007</v>
      </c>
      <c r="B5255">
        <v>362.03870000000001</v>
      </c>
      <c r="C5255">
        <v>2.53E-7</v>
      </c>
    </row>
    <row r="5256" spans="1:3" x14ac:dyDescent="0.15">
      <c r="A5256" t="s">
        <v>1007</v>
      </c>
      <c r="B5256">
        <v>512</v>
      </c>
      <c r="C5256">
        <v>0</v>
      </c>
    </row>
    <row r="5257" spans="1:3" x14ac:dyDescent="0.15">
      <c r="A5257" t="s">
        <v>1007</v>
      </c>
      <c r="B5257">
        <v>724.07730000000004</v>
      </c>
      <c r="C5257">
        <v>0</v>
      </c>
    </row>
    <row r="5258" spans="1:3" x14ac:dyDescent="0.15">
      <c r="A5258" t="s">
        <v>1008</v>
      </c>
      <c r="B5258">
        <v>2</v>
      </c>
      <c r="C5258">
        <v>1.028499E-3</v>
      </c>
    </row>
    <row r="5259" spans="1:3" x14ac:dyDescent="0.15">
      <c r="A5259" t="s">
        <v>1008</v>
      </c>
      <c r="B5259">
        <v>2.8283999999999998</v>
      </c>
      <c r="C5259">
        <v>1.358328E-3</v>
      </c>
    </row>
    <row r="5260" spans="1:3" x14ac:dyDescent="0.15">
      <c r="A5260" t="s">
        <v>1008</v>
      </c>
      <c r="B5260">
        <v>4</v>
      </c>
      <c r="C5260">
        <v>1.5423349999999999E-3</v>
      </c>
    </row>
    <row r="5261" spans="1:3" x14ac:dyDescent="0.15">
      <c r="A5261" t="s">
        <v>1008</v>
      </c>
      <c r="B5261">
        <v>5.6569000000000003</v>
      </c>
      <c r="C5261">
        <v>1.4988759999999999E-3</v>
      </c>
    </row>
    <row r="5262" spans="1:3" x14ac:dyDescent="0.15">
      <c r="A5262" t="s">
        <v>1008</v>
      </c>
      <c r="B5262">
        <v>8</v>
      </c>
      <c r="C5262">
        <v>1.2393370000000001E-3</v>
      </c>
    </row>
    <row r="5263" spans="1:3" x14ac:dyDescent="0.15">
      <c r="A5263" t="s">
        <v>1008</v>
      </c>
      <c r="B5263">
        <v>11.313700000000001</v>
      </c>
      <c r="C5263">
        <v>8.2824199999999998E-4</v>
      </c>
    </row>
    <row r="5264" spans="1:3" x14ac:dyDescent="0.15">
      <c r="A5264" t="s">
        <v>1008</v>
      </c>
      <c r="B5264">
        <v>16</v>
      </c>
      <c r="C5264">
        <v>5.4240099999999997E-4</v>
      </c>
    </row>
    <row r="5265" spans="1:3" x14ac:dyDescent="0.15">
      <c r="A5265" t="s">
        <v>1008</v>
      </c>
      <c r="B5265">
        <v>22.627400000000002</v>
      </c>
      <c r="C5265">
        <v>4.8522000000000002E-4</v>
      </c>
    </row>
    <row r="5266" spans="1:3" x14ac:dyDescent="0.15">
      <c r="A5266" t="s">
        <v>1008</v>
      </c>
      <c r="B5266">
        <v>32</v>
      </c>
      <c r="C5266">
        <v>5.3821399999999997E-4</v>
      </c>
    </row>
    <row r="5267" spans="1:3" x14ac:dyDescent="0.15">
      <c r="A5267" t="s">
        <v>1008</v>
      </c>
      <c r="B5267">
        <v>45.254800000000003</v>
      </c>
      <c r="C5267">
        <v>5.93145E-4</v>
      </c>
    </row>
    <row r="5268" spans="1:3" x14ac:dyDescent="0.15">
      <c r="A5268" t="s">
        <v>1008</v>
      </c>
      <c r="B5268">
        <v>64</v>
      </c>
      <c r="C5268">
        <v>5.4317500000000002E-4</v>
      </c>
    </row>
    <row r="5269" spans="1:3" x14ac:dyDescent="0.15">
      <c r="A5269" t="s">
        <v>1008</v>
      </c>
      <c r="B5269">
        <v>90.509699999999995</v>
      </c>
      <c r="C5269">
        <v>4.9720299999999999E-4</v>
      </c>
    </row>
    <row r="5270" spans="1:3" x14ac:dyDescent="0.15">
      <c r="A5270" t="s">
        <v>1008</v>
      </c>
      <c r="B5270">
        <v>128</v>
      </c>
      <c r="C5270">
        <v>4.9415400000000001E-4</v>
      </c>
    </row>
    <row r="5271" spans="1:3" x14ac:dyDescent="0.15">
      <c r="A5271" t="s">
        <v>1008</v>
      </c>
      <c r="B5271">
        <v>181.01929999999999</v>
      </c>
      <c r="C5271">
        <v>2.5426499999999999E-4</v>
      </c>
    </row>
    <row r="5272" spans="1:3" x14ac:dyDescent="0.15">
      <c r="A5272" t="s">
        <v>1008</v>
      </c>
      <c r="B5272">
        <v>256</v>
      </c>
      <c r="C5272">
        <v>3.9067999999999999E-5</v>
      </c>
    </row>
    <row r="5273" spans="1:3" x14ac:dyDescent="0.15">
      <c r="A5273" t="s">
        <v>1008</v>
      </c>
      <c r="B5273">
        <v>362.03870000000001</v>
      </c>
      <c r="C5273">
        <v>7.2900000000000003E-7</v>
      </c>
    </row>
    <row r="5274" spans="1:3" x14ac:dyDescent="0.15">
      <c r="A5274" t="s">
        <v>1008</v>
      </c>
      <c r="B5274">
        <v>512</v>
      </c>
      <c r="C5274">
        <v>0</v>
      </c>
    </row>
    <row r="5275" spans="1:3" x14ac:dyDescent="0.15">
      <c r="A5275" t="s">
        <v>1008</v>
      </c>
      <c r="B5275">
        <v>724.07730000000004</v>
      </c>
      <c r="C5275">
        <v>0</v>
      </c>
    </row>
    <row r="5276" spans="1:3" x14ac:dyDescent="0.15">
      <c r="A5276" t="s">
        <v>1009</v>
      </c>
      <c r="B5276">
        <v>2</v>
      </c>
      <c r="C5276">
        <v>6.4259099999999997E-4</v>
      </c>
    </row>
    <row r="5277" spans="1:3" x14ac:dyDescent="0.15">
      <c r="A5277" t="s">
        <v>1009</v>
      </c>
      <c r="B5277">
        <v>2.8283999999999998</v>
      </c>
      <c r="C5277">
        <v>7.8743800000000001E-4</v>
      </c>
    </row>
    <row r="5278" spans="1:3" x14ac:dyDescent="0.15">
      <c r="A5278" t="s">
        <v>1009</v>
      </c>
      <c r="B5278">
        <v>4</v>
      </c>
      <c r="C5278">
        <v>8.4415499999999997E-4</v>
      </c>
    </row>
    <row r="5279" spans="1:3" x14ac:dyDescent="0.15">
      <c r="A5279" t="s">
        <v>1009</v>
      </c>
      <c r="B5279">
        <v>5.6569000000000003</v>
      </c>
      <c r="C5279">
        <v>8.0114800000000001E-4</v>
      </c>
    </row>
    <row r="5280" spans="1:3" x14ac:dyDescent="0.15">
      <c r="A5280" t="s">
        <v>1009</v>
      </c>
      <c r="B5280">
        <v>8</v>
      </c>
      <c r="C5280">
        <v>7.2108800000000005E-4</v>
      </c>
    </row>
    <row r="5281" spans="1:3" x14ac:dyDescent="0.15">
      <c r="A5281" t="s">
        <v>1009</v>
      </c>
      <c r="B5281">
        <v>11.313700000000001</v>
      </c>
      <c r="C5281">
        <v>6.4604899999999999E-4</v>
      </c>
    </row>
    <row r="5282" spans="1:3" x14ac:dyDescent="0.15">
      <c r="A5282" t="s">
        <v>1009</v>
      </c>
      <c r="B5282">
        <v>16</v>
      </c>
      <c r="C5282">
        <v>5.7627500000000001E-4</v>
      </c>
    </row>
    <row r="5283" spans="1:3" x14ac:dyDescent="0.15">
      <c r="A5283" t="s">
        <v>1009</v>
      </c>
      <c r="B5283">
        <v>22.627400000000002</v>
      </c>
      <c r="C5283">
        <v>4.5258599999999999E-4</v>
      </c>
    </row>
    <row r="5284" spans="1:3" x14ac:dyDescent="0.15">
      <c r="A5284" t="s">
        <v>1009</v>
      </c>
      <c r="B5284">
        <v>32</v>
      </c>
      <c r="C5284">
        <v>3.97282E-4</v>
      </c>
    </row>
    <row r="5285" spans="1:3" x14ac:dyDescent="0.15">
      <c r="A5285" t="s">
        <v>1009</v>
      </c>
      <c r="B5285">
        <v>45.254800000000003</v>
      </c>
      <c r="C5285">
        <v>3.98098E-4</v>
      </c>
    </row>
    <row r="5286" spans="1:3" x14ac:dyDescent="0.15">
      <c r="A5286" t="s">
        <v>1009</v>
      </c>
      <c r="B5286">
        <v>64</v>
      </c>
      <c r="C5286">
        <v>3.33357E-4</v>
      </c>
    </row>
    <row r="5287" spans="1:3" x14ac:dyDescent="0.15">
      <c r="A5287" t="s">
        <v>1009</v>
      </c>
      <c r="B5287">
        <v>90.509699999999995</v>
      </c>
      <c r="C5287">
        <v>4.1149600000000002E-4</v>
      </c>
    </row>
    <row r="5288" spans="1:3" x14ac:dyDescent="0.15">
      <c r="A5288" t="s">
        <v>1009</v>
      </c>
      <c r="B5288">
        <v>128</v>
      </c>
      <c r="C5288">
        <v>4.6151699999999999E-4</v>
      </c>
    </row>
    <row r="5289" spans="1:3" x14ac:dyDescent="0.15">
      <c r="A5289" t="s">
        <v>1009</v>
      </c>
      <c r="B5289">
        <v>181.01929999999999</v>
      </c>
      <c r="C5289">
        <v>2.3866499999999999E-4</v>
      </c>
    </row>
    <row r="5290" spans="1:3" x14ac:dyDescent="0.15">
      <c r="A5290" t="s">
        <v>1009</v>
      </c>
      <c r="B5290">
        <v>256</v>
      </c>
      <c r="C5290">
        <v>3.6674999999999997E-5</v>
      </c>
    </row>
    <row r="5291" spans="1:3" x14ac:dyDescent="0.15">
      <c r="A5291" t="s">
        <v>1009</v>
      </c>
      <c r="B5291">
        <v>362.03870000000001</v>
      </c>
      <c r="C5291">
        <v>6.8400000000000004E-7</v>
      </c>
    </row>
    <row r="5292" spans="1:3" x14ac:dyDescent="0.15">
      <c r="A5292" t="s">
        <v>1009</v>
      </c>
      <c r="B5292">
        <v>512</v>
      </c>
      <c r="C5292">
        <v>1.0000000000000001E-9</v>
      </c>
    </row>
    <row r="5293" spans="1:3" x14ac:dyDescent="0.15">
      <c r="A5293" t="s">
        <v>1009</v>
      </c>
      <c r="B5293">
        <v>724.07730000000004</v>
      </c>
      <c r="C5293">
        <v>0</v>
      </c>
    </row>
    <row r="5294" spans="1:3" x14ac:dyDescent="0.15">
      <c r="A5294" t="s">
        <v>1010</v>
      </c>
      <c r="B5294">
        <v>2</v>
      </c>
      <c r="C5294">
        <v>8.91959E-4</v>
      </c>
    </row>
    <row r="5295" spans="1:3" x14ac:dyDescent="0.15">
      <c r="A5295" t="s">
        <v>1010</v>
      </c>
      <c r="B5295">
        <v>2.8283999999999998</v>
      </c>
      <c r="C5295">
        <v>1.145774E-3</v>
      </c>
    </row>
    <row r="5296" spans="1:3" x14ac:dyDescent="0.15">
      <c r="A5296" t="s">
        <v>1010</v>
      </c>
      <c r="B5296">
        <v>4</v>
      </c>
      <c r="C5296">
        <v>1.192652E-3</v>
      </c>
    </row>
    <row r="5297" spans="1:3" x14ac:dyDescent="0.15">
      <c r="A5297" t="s">
        <v>1010</v>
      </c>
      <c r="B5297">
        <v>5.6569000000000003</v>
      </c>
      <c r="C5297">
        <v>1.157513E-3</v>
      </c>
    </row>
    <row r="5298" spans="1:3" x14ac:dyDescent="0.15">
      <c r="A5298" t="s">
        <v>1010</v>
      </c>
      <c r="B5298">
        <v>8</v>
      </c>
      <c r="C5298">
        <v>1.250536E-3</v>
      </c>
    </row>
    <row r="5299" spans="1:3" x14ac:dyDescent="0.15">
      <c r="A5299" t="s">
        <v>1010</v>
      </c>
      <c r="B5299">
        <v>11.313700000000001</v>
      </c>
      <c r="C5299">
        <v>1.1745970000000001E-3</v>
      </c>
    </row>
    <row r="5300" spans="1:3" x14ac:dyDescent="0.15">
      <c r="A5300" t="s">
        <v>1010</v>
      </c>
      <c r="B5300">
        <v>16</v>
      </c>
      <c r="C5300">
        <v>8.1140300000000004E-4</v>
      </c>
    </row>
    <row r="5301" spans="1:3" x14ac:dyDescent="0.15">
      <c r="A5301" t="s">
        <v>1010</v>
      </c>
      <c r="B5301">
        <v>22.627400000000002</v>
      </c>
      <c r="C5301">
        <v>6.1969300000000005E-4</v>
      </c>
    </row>
    <row r="5302" spans="1:3" x14ac:dyDescent="0.15">
      <c r="A5302" t="s">
        <v>1010</v>
      </c>
      <c r="B5302">
        <v>32</v>
      </c>
      <c r="C5302">
        <v>7.7993300000000002E-4</v>
      </c>
    </row>
    <row r="5303" spans="1:3" x14ac:dyDescent="0.15">
      <c r="A5303" t="s">
        <v>1010</v>
      </c>
      <c r="B5303">
        <v>45.254800000000003</v>
      </c>
      <c r="C5303">
        <v>9.0922300000000002E-4</v>
      </c>
    </row>
    <row r="5304" spans="1:3" x14ac:dyDescent="0.15">
      <c r="A5304" t="s">
        <v>1010</v>
      </c>
      <c r="B5304">
        <v>64</v>
      </c>
      <c r="C5304">
        <v>8.5106799999999996E-4</v>
      </c>
    </row>
    <row r="5305" spans="1:3" x14ac:dyDescent="0.15">
      <c r="A5305" t="s">
        <v>1010</v>
      </c>
      <c r="B5305">
        <v>90.509699999999995</v>
      </c>
      <c r="C5305">
        <v>7.0817999999999999E-4</v>
      </c>
    </row>
    <row r="5306" spans="1:3" x14ac:dyDescent="0.15">
      <c r="A5306" t="s">
        <v>1010</v>
      </c>
      <c r="B5306">
        <v>128</v>
      </c>
      <c r="C5306">
        <v>5.07615E-4</v>
      </c>
    </row>
    <row r="5307" spans="1:3" x14ac:dyDescent="0.15">
      <c r="A5307" t="s">
        <v>1010</v>
      </c>
      <c r="B5307">
        <v>181.01929999999999</v>
      </c>
      <c r="C5307">
        <v>2.3953000000000001E-4</v>
      </c>
    </row>
    <row r="5308" spans="1:3" x14ac:dyDescent="0.15">
      <c r="A5308" t="s">
        <v>1010</v>
      </c>
      <c r="B5308">
        <v>256</v>
      </c>
      <c r="C5308">
        <v>3.6690999999999998E-5</v>
      </c>
    </row>
    <row r="5309" spans="1:3" x14ac:dyDescent="0.15">
      <c r="A5309" t="s">
        <v>1010</v>
      </c>
      <c r="B5309">
        <v>362.03870000000001</v>
      </c>
      <c r="C5309">
        <v>6.8400000000000004E-7</v>
      </c>
    </row>
    <row r="5310" spans="1:3" x14ac:dyDescent="0.15">
      <c r="A5310" t="s">
        <v>1010</v>
      </c>
      <c r="B5310">
        <v>512</v>
      </c>
      <c r="C5310">
        <v>0</v>
      </c>
    </row>
    <row r="5311" spans="1:3" x14ac:dyDescent="0.15">
      <c r="A5311" t="s">
        <v>1010</v>
      </c>
      <c r="B5311">
        <v>724.07730000000004</v>
      </c>
      <c r="C5311">
        <v>0</v>
      </c>
    </row>
    <row r="5312" spans="1:3" x14ac:dyDescent="0.15">
      <c r="A5312" t="s">
        <v>1011</v>
      </c>
      <c r="B5312">
        <v>2</v>
      </c>
      <c r="C5312">
        <v>1.310655E-3</v>
      </c>
    </row>
    <row r="5313" spans="1:3" x14ac:dyDescent="0.15">
      <c r="A5313" t="s">
        <v>1011</v>
      </c>
      <c r="B5313">
        <v>2.8283999999999998</v>
      </c>
      <c r="C5313">
        <v>1.545112E-3</v>
      </c>
    </row>
    <row r="5314" spans="1:3" x14ac:dyDescent="0.15">
      <c r="A5314" t="s">
        <v>1011</v>
      </c>
      <c r="B5314">
        <v>4</v>
      </c>
      <c r="C5314">
        <v>1.686182E-3</v>
      </c>
    </row>
    <row r="5315" spans="1:3" x14ac:dyDescent="0.15">
      <c r="A5315" t="s">
        <v>1011</v>
      </c>
      <c r="B5315">
        <v>5.6569000000000003</v>
      </c>
      <c r="C5315">
        <v>1.681473E-3</v>
      </c>
    </row>
    <row r="5316" spans="1:3" x14ac:dyDescent="0.15">
      <c r="A5316" t="s">
        <v>1011</v>
      </c>
      <c r="B5316">
        <v>8</v>
      </c>
      <c r="C5316">
        <v>1.628492E-3</v>
      </c>
    </row>
    <row r="5317" spans="1:3" x14ac:dyDescent="0.15">
      <c r="A5317" t="s">
        <v>1011</v>
      </c>
      <c r="B5317">
        <v>11.313700000000001</v>
      </c>
      <c r="C5317">
        <v>1.3509609999999999E-3</v>
      </c>
    </row>
    <row r="5318" spans="1:3" x14ac:dyDescent="0.15">
      <c r="A5318" t="s">
        <v>1011</v>
      </c>
      <c r="B5318">
        <v>16</v>
      </c>
      <c r="C5318">
        <v>8.9283199999999998E-4</v>
      </c>
    </row>
    <row r="5319" spans="1:3" x14ac:dyDescent="0.15">
      <c r="A5319" t="s">
        <v>1011</v>
      </c>
      <c r="B5319">
        <v>22.627400000000002</v>
      </c>
      <c r="C5319">
        <v>9.3893500000000001E-4</v>
      </c>
    </row>
    <row r="5320" spans="1:3" x14ac:dyDescent="0.15">
      <c r="A5320" t="s">
        <v>1011</v>
      </c>
      <c r="B5320">
        <v>32</v>
      </c>
      <c r="C5320">
        <v>1.325351E-3</v>
      </c>
    </row>
    <row r="5321" spans="1:3" x14ac:dyDescent="0.15">
      <c r="A5321" t="s">
        <v>1011</v>
      </c>
      <c r="B5321">
        <v>45.254800000000003</v>
      </c>
      <c r="C5321">
        <v>1.759062E-3</v>
      </c>
    </row>
    <row r="5322" spans="1:3" x14ac:dyDescent="0.15">
      <c r="A5322" t="s">
        <v>1011</v>
      </c>
      <c r="B5322">
        <v>64</v>
      </c>
      <c r="C5322">
        <v>1.8839009999999999E-3</v>
      </c>
    </row>
    <row r="5323" spans="1:3" x14ac:dyDescent="0.15">
      <c r="A5323" t="s">
        <v>1011</v>
      </c>
      <c r="B5323">
        <v>90.509699999999995</v>
      </c>
      <c r="C5323">
        <v>1.5191619999999999E-3</v>
      </c>
    </row>
    <row r="5324" spans="1:3" x14ac:dyDescent="0.15">
      <c r="A5324" t="s">
        <v>1011</v>
      </c>
      <c r="B5324">
        <v>128</v>
      </c>
      <c r="C5324">
        <v>1.2700859999999999E-3</v>
      </c>
    </row>
    <row r="5325" spans="1:3" x14ac:dyDescent="0.15">
      <c r="A5325" t="s">
        <v>1011</v>
      </c>
      <c r="B5325">
        <v>181.01929999999999</v>
      </c>
      <c r="C5325">
        <v>6.4057700000000003E-4</v>
      </c>
    </row>
    <row r="5326" spans="1:3" x14ac:dyDescent="0.15">
      <c r="A5326" t="s">
        <v>1011</v>
      </c>
      <c r="B5326">
        <v>256</v>
      </c>
      <c r="C5326">
        <v>9.8449999999999994E-5</v>
      </c>
    </row>
    <row r="5327" spans="1:3" x14ac:dyDescent="0.15">
      <c r="A5327" t="s">
        <v>1011</v>
      </c>
      <c r="B5327">
        <v>362.03870000000001</v>
      </c>
      <c r="C5327">
        <v>1.8360000000000001E-6</v>
      </c>
    </row>
    <row r="5328" spans="1:3" x14ac:dyDescent="0.15">
      <c r="A5328" t="s">
        <v>1011</v>
      </c>
      <c r="B5328">
        <v>512</v>
      </c>
      <c r="C5328">
        <v>0</v>
      </c>
    </row>
    <row r="5329" spans="1:3" x14ac:dyDescent="0.15">
      <c r="A5329" t="s">
        <v>1011</v>
      </c>
      <c r="B5329">
        <v>724.07730000000004</v>
      </c>
      <c r="C5329">
        <v>0</v>
      </c>
    </row>
    <row r="5330" spans="1:3" x14ac:dyDescent="0.15">
      <c r="A5330" t="s">
        <v>1012</v>
      </c>
      <c r="B5330">
        <v>2</v>
      </c>
      <c r="C5330">
        <v>8.3808000000000005E-4</v>
      </c>
    </row>
    <row r="5331" spans="1:3" x14ac:dyDescent="0.15">
      <c r="A5331" t="s">
        <v>1012</v>
      </c>
      <c r="B5331">
        <v>2.8283999999999998</v>
      </c>
      <c r="C5331">
        <v>1.0483790000000001E-3</v>
      </c>
    </row>
    <row r="5332" spans="1:3" x14ac:dyDescent="0.15">
      <c r="A5332" t="s">
        <v>1012</v>
      </c>
      <c r="B5332">
        <v>4</v>
      </c>
      <c r="C5332">
        <v>1.111005E-3</v>
      </c>
    </row>
    <row r="5333" spans="1:3" x14ac:dyDescent="0.15">
      <c r="A5333" t="s">
        <v>1012</v>
      </c>
      <c r="B5333">
        <v>5.6569000000000003</v>
      </c>
      <c r="C5333">
        <v>1.0505130000000001E-3</v>
      </c>
    </row>
    <row r="5334" spans="1:3" x14ac:dyDescent="0.15">
      <c r="A5334" t="s">
        <v>1012</v>
      </c>
      <c r="B5334">
        <v>8</v>
      </c>
      <c r="C5334">
        <v>1.0092720000000001E-3</v>
      </c>
    </row>
    <row r="5335" spans="1:3" x14ac:dyDescent="0.15">
      <c r="A5335" t="s">
        <v>1012</v>
      </c>
      <c r="B5335">
        <v>11.313700000000001</v>
      </c>
      <c r="C5335">
        <v>9.6247100000000001E-4</v>
      </c>
    </row>
    <row r="5336" spans="1:3" x14ac:dyDescent="0.15">
      <c r="A5336" t="s">
        <v>1012</v>
      </c>
      <c r="B5336">
        <v>16</v>
      </c>
      <c r="C5336">
        <v>7.4127800000000005E-4</v>
      </c>
    </row>
    <row r="5337" spans="1:3" x14ac:dyDescent="0.15">
      <c r="A5337" t="s">
        <v>1012</v>
      </c>
      <c r="B5337">
        <v>22.627400000000002</v>
      </c>
      <c r="C5337">
        <v>5.5209599999999997E-4</v>
      </c>
    </row>
    <row r="5338" spans="1:3" x14ac:dyDescent="0.15">
      <c r="A5338" t="s">
        <v>1012</v>
      </c>
      <c r="B5338">
        <v>32</v>
      </c>
      <c r="C5338">
        <v>6.2242000000000005E-4</v>
      </c>
    </row>
    <row r="5339" spans="1:3" x14ac:dyDescent="0.15">
      <c r="A5339" t="s">
        <v>1012</v>
      </c>
      <c r="B5339">
        <v>45.254800000000003</v>
      </c>
      <c r="C5339">
        <v>6.5379900000000005E-4</v>
      </c>
    </row>
    <row r="5340" spans="1:3" x14ac:dyDescent="0.15">
      <c r="A5340" t="s">
        <v>1012</v>
      </c>
      <c r="B5340">
        <v>64</v>
      </c>
      <c r="C5340">
        <v>4.75279E-4</v>
      </c>
    </row>
    <row r="5341" spans="1:3" x14ac:dyDescent="0.15">
      <c r="A5341" t="s">
        <v>1012</v>
      </c>
      <c r="B5341">
        <v>90.509699999999995</v>
      </c>
      <c r="C5341">
        <v>3.0496800000000003E-4</v>
      </c>
    </row>
    <row r="5342" spans="1:3" x14ac:dyDescent="0.15">
      <c r="A5342" t="s">
        <v>1012</v>
      </c>
      <c r="B5342">
        <v>128</v>
      </c>
      <c r="C5342">
        <v>2.1934E-4</v>
      </c>
    </row>
    <row r="5343" spans="1:3" x14ac:dyDescent="0.15">
      <c r="A5343" t="s">
        <v>1012</v>
      </c>
      <c r="B5343">
        <v>181.01929999999999</v>
      </c>
      <c r="C5343">
        <v>1.05732E-4</v>
      </c>
    </row>
    <row r="5344" spans="1:3" x14ac:dyDescent="0.15">
      <c r="A5344" t="s">
        <v>1012</v>
      </c>
      <c r="B5344">
        <v>256</v>
      </c>
      <c r="C5344">
        <v>1.6229999999999999E-5</v>
      </c>
    </row>
    <row r="5345" spans="1:3" x14ac:dyDescent="0.15">
      <c r="A5345" t="s">
        <v>1012</v>
      </c>
      <c r="B5345">
        <v>362.03870000000001</v>
      </c>
      <c r="C5345">
        <v>3.03E-7</v>
      </c>
    </row>
    <row r="5346" spans="1:3" x14ac:dyDescent="0.15">
      <c r="A5346" t="s">
        <v>1012</v>
      </c>
      <c r="B5346">
        <v>512</v>
      </c>
      <c r="C5346">
        <v>0</v>
      </c>
    </row>
    <row r="5347" spans="1:3" x14ac:dyDescent="0.15">
      <c r="A5347" t="s">
        <v>1012</v>
      </c>
      <c r="B5347">
        <v>724.07730000000004</v>
      </c>
      <c r="C5347">
        <v>0</v>
      </c>
    </row>
    <row r="5348" spans="1:3" x14ac:dyDescent="0.15">
      <c r="A5348" t="s">
        <v>1013</v>
      </c>
      <c r="B5348">
        <v>2</v>
      </c>
      <c r="C5348">
        <v>5.7469599999999997E-4</v>
      </c>
    </row>
    <row r="5349" spans="1:3" x14ac:dyDescent="0.15">
      <c r="A5349" t="s">
        <v>1013</v>
      </c>
      <c r="B5349">
        <v>2.8283999999999998</v>
      </c>
      <c r="C5349">
        <v>7.6270500000000002E-4</v>
      </c>
    </row>
    <row r="5350" spans="1:3" x14ac:dyDescent="0.15">
      <c r="A5350" t="s">
        <v>1013</v>
      </c>
      <c r="B5350">
        <v>4</v>
      </c>
      <c r="C5350">
        <v>8.9289100000000004E-4</v>
      </c>
    </row>
    <row r="5351" spans="1:3" x14ac:dyDescent="0.15">
      <c r="A5351" t="s">
        <v>1013</v>
      </c>
      <c r="B5351">
        <v>5.6569000000000003</v>
      </c>
      <c r="C5351">
        <v>8.2085999999999997E-4</v>
      </c>
    </row>
    <row r="5352" spans="1:3" x14ac:dyDescent="0.15">
      <c r="A5352" t="s">
        <v>1013</v>
      </c>
      <c r="B5352">
        <v>8</v>
      </c>
      <c r="C5352">
        <v>6.9144200000000001E-4</v>
      </c>
    </row>
    <row r="5353" spans="1:3" x14ac:dyDescent="0.15">
      <c r="A5353" t="s">
        <v>1013</v>
      </c>
      <c r="B5353">
        <v>11.313700000000001</v>
      </c>
      <c r="C5353">
        <v>6.8252700000000005E-4</v>
      </c>
    </row>
    <row r="5354" spans="1:3" x14ac:dyDescent="0.15">
      <c r="A5354" t="s">
        <v>1013</v>
      </c>
      <c r="B5354">
        <v>16</v>
      </c>
      <c r="C5354">
        <v>6.4404700000000002E-4</v>
      </c>
    </row>
    <row r="5355" spans="1:3" x14ac:dyDescent="0.15">
      <c r="A5355" t="s">
        <v>1013</v>
      </c>
      <c r="B5355">
        <v>22.627400000000002</v>
      </c>
      <c r="C5355">
        <v>6.2232100000000001E-4</v>
      </c>
    </row>
    <row r="5356" spans="1:3" x14ac:dyDescent="0.15">
      <c r="A5356" t="s">
        <v>1013</v>
      </c>
      <c r="B5356">
        <v>32</v>
      </c>
      <c r="C5356">
        <v>6.4170999999999998E-4</v>
      </c>
    </row>
    <row r="5357" spans="1:3" x14ac:dyDescent="0.15">
      <c r="A5357" t="s">
        <v>1013</v>
      </c>
      <c r="B5357">
        <v>45.254800000000003</v>
      </c>
      <c r="C5357">
        <v>5.9190700000000002E-4</v>
      </c>
    </row>
    <row r="5358" spans="1:3" x14ac:dyDescent="0.15">
      <c r="A5358" t="s">
        <v>1013</v>
      </c>
      <c r="B5358">
        <v>64</v>
      </c>
      <c r="C5358">
        <v>4.7767600000000001E-4</v>
      </c>
    </row>
    <row r="5359" spans="1:3" x14ac:dyDescent="0.15">
      <c r="A5359" t="s">
        <v>1013</v>
      </c>
      <c r="B5359">
        <v>90.509699999999995</v>
      </c>
      <c r="C5359">
        <v>2.9573400000000003E-4</v>
      </c>
    </row>
    <row r="5360" spans="1:3" x14ac:dyDescent="0.15">
      <c r="A5360" t="s">
        <v>1013</v>
      </c>
      <c r="B5360">
        <v>128</v>
      </c>
      <c r="C5360">
        <v>1.41531E-4</v>
      </c>
    </row>
    <row r="5361" spans="1:3" x14ac:dyDescent="0.15">
      <c r="A5361" t="s">
        <v>1013</v>
      </c>
      <c r="B5361">
        <v>181.01929999999999</v>
      </c>
      <c r="C5361">
        <v>5.7389999999999998E-5</v>
      </c>
    </row>
    <row r="5362" spans="1:3" x14ac:dyDescent="0.15">
      <c r="A5362" t="s">
        <v>1013</v>
      </c>
      <c r="B5362">
        <v>256</v>
      </c>
      <c r="C5362">
        <v>1.6857000000000001E-5</v>
      </c>
    </row>
    <row r="5363" spans="1:3" x14ac:dyDescent="0.15">
      <c r="A5363" t="s">
        <v>1013</v>
      </c>
      <c r="B5363">
        <v>362.03870000000001</v>
      </c>
      <c r="C5363">
        <v>5.1259999999999997E-6</v>
      </c>
    </row>
    <row r="5364" spans="1:3" x14ac:dyDescent="0.15">
      <c r="A5364" t="s">
        <v>1013</v>
      </c>
      <c r="B5364">
        <v>512</v>
      </c>
      <c r="C5364">
        <v>7.8199999999999999E-7</v>
      </c>
    </row>
    <row r="5365" spans="1:3" x14ac:dyDescent="0.15">
      <c r="A5365" t="s">
        <v>1013</v>
      </c>
      <c r="B5365">
        <v>724.07730000000004</v>
      </c>
      <c r="C5365">
        <v>1.4999999999999999E-8</v>
      </c>
    </row>
    <row r="5366" spans="1:3" x14ac:dyDescent="0.15">
      <c r="A5366" t="s">
        <v>1014</v>
      </c>
      <c r="B5366">
        <v>2</v>
      </c>
      <c r="C5366">
        <v>6.3047899999999998E-4</v>
      </c>
    </row>
    <row r="5367" spans="1:3" x14ac:dyDescent="0.15">
      <c r="A5367" t="s">
        <v>1014</v>
      </c>
      <c r="B5367">
        <v>2.8283999999999998</v>
      </c>
      <c r="C5367">
        <v>7.6832699999999996E-4</v>
      </c>
    </row>
    <row r="5368" spans="1:3" x14ac:dyDescent="0.15">
      <c r="A5368" t="s">
        <v>1014</v>
      </c>
      <c r="B5368">
        <v>4</v>
      </c>
      <c r="C5368">
        <v>9.2715400000000002E-4</v>
      </c>
    </row>
    <row r="5369" spans="1:3" x14ac:dyDescent="0.15">
      <c r="A5369" t="s">
        <v>1014</v>
      </c>
      <c r="B5369">
        <v>5.6569000000000003</v>
      </c>
      <c r="C5369">
        <v>9.4215800000000001E-4</v>
      </c>
    </row>
    <row r="5370" spans="1:3" x14ac:dyDescent="0.15">
      <c r="A5370" t="s">
        <v>1014</v>
      </c>
      <c r="B5370">
        <v>8</v>
      </c>
      <c r="C5370">
        <v>8.3924900000000003E-4</v>
      </c>
    </row>
    <row r="5371" spans="1:3" x14ac:dyDescent="0.15">
      <c r="A5371" t="s">
        <v>1014</v>
      </c>
      <c r="B5371">
        <v>11.313700000000001</v>
      </c>
      <c r="C5371">
        <v>7.9390000000000005E-4</v>
      </c>
    </row>
    <row r="5372" spans="1:3" x14ac:dyDescent="0.15">
      <c r="A5372" t="s">
        <v>1014</v>
      </c>
      <c r="B5372">
        <v>16</v>
      </c>
      <c r="C5372">
        <v>7.05592E-4</v>
      </c>
    </row>
    <row r="5373" spans="1:3" x14ac:dyDescent="0.15">
      <c r="A5373" t="s">
        <v>1014</v>
      </c>
      <c r="B5373">
        <v>22.627400000000002</v>
      </c>
      <c r="C5373">
        <v>5.3849900000000001E-4</v>
      </c>
    </row>
    <row r="5374" spans="1:3" x14ac:dyDescent="0.15">
      <c r="A5374" t="s">
        <v>1014</v>
      </c>
      <c r="B5374">
        <v>32</v>
      </c>
      <c r="C5374">
        <v>5.4200500000000003E-4</v>
      </c>
    </row>
    <row r="5375" spans="1:3" x14ac:dyDescent="0.15">
      <c r="A5375" t="s">
        <v>1014</v>
      </c>
      <c r="B5375">
        <v>45.254800000000003</v>
      </c>
      <c r="C5375">
        <v>7.1059699999999999E-4</v>
      </c>
    </row>
    <row r="5376" spans="1:3" x14ac:dyDescent="0.15">
      <c r="A5376" t="s">
        <v>1014</v>
      </c>
      <c r="B5376">
        <v>64</v>
      </c>
      <c r="C5376">
        <v>7.5410099999999997E-4</v>
      </c>
    </row>
    <row r="5377" spans="1:3" x14ac:dyDescent="0.15">
      <c r="A5377" t="s">
        <v>1014</v>
      </c>
      <c r="B5377">
        <v>90.509699999999995</v>
      </c>
      <c r="C5377">
        <v>5.0740599999999996E-4</v>
      </c>
    </row>
    <row r="5378" spans="1:3" x14ac:dyDescent="0.15">
      <c r="A5378" t="s">
        <v>1014</v>
      </c>
      <c r="B5378">
        <v>128</v>
      </c>
      <c r="C5378">
        <v>3.15884E-4</v>
      </c>
    </row>
    <row r="5379" spans="1:3" x14ac:dyDescent="0.15">
      <c r="A5379" t="s">
        <v>1014</v>
      </c>
      <c r="B5379">
        <v>181.01929999999999</v>
      </c>
      <c r="C5379">
        <v>1.5238099999999999E-4</v>
      </c>
    </row>
    <row r="5380" spans="1:3" x14ac:dyDescent="0.15">
      <c r="A5380" t="s">
        <v>1014</v>
      </c>
      <c r="B5380">
        <v>256</v>
      </c>
      <c r="C5380">
        <v>2.3366E-5</v>
      </c>
    </row>
    <row r="5381" spans="1:3" x14ac:dyDescent="0.15">
      <c r="A5381" t="s">
        <v>1014</v>
      </c>
      <c r="B5381">
        <v>362.03870000000001</v>
      </c>
      <c r="C5381">
        <v>4.3500000000000002E-7</v>
      </c>
    </row>
    <row r="5382" spans="1:3" x14ac:dyDescent="0.15">
      <c r="A5382" t="s">
        <v>1014</v>
      </c>
      <c r="B5382">
        <v>512</v>
      </c>
      <c r="C5382">
        <v>0</v>
      </c>
    </row>
    <row r="5383" spans="1:3" x14ac:dyDescent="0.15">
      <c r="A5383" t="s">
        <v>1014</v>
      </c>
      <c r="B5383">
        <v>724.07730000000004</v>
      </c>
      <c r="C5383">
        <v>0</v>
      </c>
    </row>
    <row r="5384" spans="1:3" x14ac:dyDescent="0.15">
      <c r="A5384" t="s">
        <v>1015</v>
      </c>
      <c r="B5384">
        <v>2</v>
      </c>
      <c r="C5384">
        <v>1.4168099999999999E-3</v>
      </c>
    </row>
    <row r="5385" spans="1:3" x14ac:dyDescent="0.15">
      <c r="A5385" t="s">
        <v>1015</v>
      </c>
      <c r="B5385">
        <v>2.8283999999999998</v>
      </c>
      <c r="C5385">
        <v>1.1336219999999999E-3</v>
      </c>
    </row>
    <row r="5386" spans="1:3" x14ac:dyDescent="0.15">
      <c r="A5386" t="s">
        <v>1015</v>
      </c>
      <c r="B5386">
        <v>4</v>
      </c>
      <c r="C5386">
        <v>1.1140810000000001E-3</v>
      </c>
    </row>
    <row r="5387" spans="1:3" x14ac:dyDescent="0.15">
      <c r="A5387" t="s">
        <v>1015</v>
      </c>
      <c r="B5387">
        <v>5.6569000000000003</v>
      </c>
      <c r="C5387">
        <v>1.1124559999999999E-3</v>
      </c>
    </row>
    <row r="5388" spans="1:3" x14ac:dyDescent="0.15">
      <c r="A5388" t="s">
        <v>1015</v>
      </c>
      <c r="B5388">
        <v>8</v>
      </c>
      <c r="C5388">
        <v>1.021335E-3</v>
      </c>
    </row>
    <row r="5389" spans="1:3" x14ac:dyDescent="0.15">
      <c r="A5389" t="s">
        <v>1015</v>
      </c>
      <c r="B5389">
        <v>11.313700000000001</v>
      </c>
      <c r="C5389">
        <v>9.2731400000000005E-4</v>
      </c>
    </row>
    <row r="5390" spans="1:3" x14ac:dyDescent="0.15">
      <c r="A5390" t="s">
        <v>1015</v>
      </c>
      <c r="B5390">
        <v>16</v>
      </c>
      <c r="C5390">
        <v>8.9769700000000003E-4</v>
      </c>
    </row>
    <row r="5391" spans="1:3" x14ac:dyDescent="0.15">
      <c r="A5391" t="s">
        <v>1015</v>
      </c>
      <c r="B5391">
        <v>22.627400000000002</v>
      </c>
      <c r="C5391">
        <v>8.5212999999999999E-4</v>
      </c>
    </row>
    <row r="5392" spans="1:3" x14ac:dyDescent="0.15">
      <c r="A5392" t="s">
        <v>1015</v>
      </c>
      <c r="B5392">
        <v>32</v>
      </c>
      <c r="C5392">
        <v>6.83901E-4</v>
      </c>
    </row>
    <row r="5393" spans="1:3" x14ac:dyDescent="0.15">
      <c r="A5393" t="s">
        <v>1015</v>
      </c>
      <c r="B5393">
        <v>45.254800000000003</v>
      </c>
      <c r="C5393">
        <v>4.6051399999999998E-4</v>
      </c>
    </row>
    <row r="5394" spans="1:3" x14ac:dyDescent="0.15">
      <c r="A5394" t="s">
        <v>1015</v>
      </c>
      <c r="B5394">
        <v>64</v>
      </c>
      <c r="C5394">
        <v>2.5750600000000001E-4</v>
      </c>
    </row>
    <row r="5395" spans="1:3" x14ac:dyDescent="0.15">
      <c r="A5395" t="s">
        <v>1015</v>
      </c>
      <c r="B5395">
        <v>90.509699999999995</v>
      </c>
      <c r="C5395">
        <v>1.58264E-4</v>
      </c>
    </row>
    <row r="5396" spans="1:3" x14ac:dyDescent="0.15">
      <c r="A5396" t="s">
        <v>1015</v>
      </c>
      <c r="B5396">
        <v>128</v>
      </c>
      <c r="C5396">
        <v>9.2323000000000004E-5</v>
      </c>
    </row>
    <row r="5397" spans="1:3" x14ac:dyDescent="0.15">
      <c r="A5397" t="s">
        <v>1015</v>
      </c>
      <c r="B5397">
        <v>181.01929999999999</v>
      </c>
      <c r="C5397">
        <v>4.0244000000000003E-5</v>
      </c>
    </row>
    <row r="5398" spans="1:3" x14ac:dyDescent="0.15">
      <c r="A5398" t="s">
        <v>1015</v>
      </c>
      <c r="B5398">
        <v>256</v>
      </c>
      <c r="C5398">
        <v>6.1090000000000003E-6</v>
      </c>
    </row>
    <row r="5399" spans="1:3" x14ac:dyDescent="0.15">
      <c r="A5399" t="s">
        <v>1015</v>
      </c>
      <c r="B5399">
        <v>362.03870000000001</v>
      </c>
      <c r="C5399">
        <v>1.14E-7</v>
      </c>
    </row>
    <row r="5400" spans="1:3" x14ac:dyDescent="0.15">
      <c r="A5400" t="s">
        <v>1015</v>
      </c>
      <c r="B5400">
        <v>512</v>
      </c>
      <c r="C5400">
        <v>0</v>
      </c>
    </row>
    <row r="5401" spans="1:3" x14ac:dyDescent="0.15">
      <c r="A5401" t="s">
        <v>1015</v>
      </c>
      <c r="B5401">
        <v>724.07730000000004</v>
      </c>
      <c r="C5401">
        <v>0</v>
      </c>
    </row>
    <row r="5402" spans="1:3" x14ac:dyDescent="0.15">
      <c r="A5402" t="s">
        <v>1016</v>
      </c>
      <c r="B5402">
        <v>2</v>
      </c>
      <c r="C5402">
        <v>8.3410899999999998E-4</v>
      </c>
    </row>
    <row r="5403" spans="1:3" x14ac:dyDescent="0.15">
      <c r="A5403" t="s">
        <v>1016</v>
      </c>
      <c r="B5403">
        <v>2.8283999999999998</v>
      </c>
      <c r="C5403">
        <v>9.6632599999999999E-4</v>
      </c>
    </row>
    <row r="5404" spans="1:3" x14ac:dyDescent="0.15">
      <c r="A5404" t="s">
        <v>1016</v>
      </c>
      <c r="B5404">
        <v>4</v>
      </c>
      <c r="C5404">
        <v>1.085576E-3</v>
      </c>
    </row>
    <row r="5405" spans="1:3" x14ac:dyDescent="0.15">
      <c r="A5405" t="s">
        <v>1016</v>
      </c>
      <c r="B5405">
        <v>5.6569000000000003</v>
      </c>
      <c r="C5405">
        <v>1.106384E-3</v>
      </c>
    </row>
    <row r="5406" spans="1:3" x14ac:dyDescent="0.15">
      <c r="A5406" t="s">
        <v>1016</v>
      </c>
      <c r="B5406">
        <v>8</v>
      </c>
      <c r="C5406">
        <v>1.067871E-3</v>
      </c>
    </row>
    <row r="5407" spans="1:3" x14ac:dyDescent="0.15">
      <c r="A5407" t="s">
        <v>1016</v>
      </c>
      <c r="B5407">
        <v>11.313700000000001</v>
      </c>
      <c r="C5407">
        <v>1.007703E-3</v>
      </c>
    </row>
    <row r="5408" spans="1:3" x14ac:dyDescent="0.15">
      <c r="A5408" t="s">
        <v>1016</v>
      </c>
      <c r="B5408">
        <v>16</v>
      </c>
      <c r="C5408">
        <v>9.1725300000000004E-4</v>
      </c>
    </row>
    <row r="5409" spans="1:3" x14ac:dyDescent="0.15">
      <c r="A5409" t="s">
        <v>1016</v>
      </c>
      <c r="B5409">
        <v>22.627400000000002</v>
      </c>
      <c r="C5409">
        <v>7.8082499999999997E-4</v>
      </c>
    </row>
    <row r="5410" spans="1:3" x14ac:dyDescent="0.15">
      <c r="A5410" t="s">
        <v>1016</v>
      </c>
      <c r="B5410">
        <v>32</v>
      </c>
      <c r="C5410">
        <v>6.0389600000000003E-4</v>
      </c>
    </row>
    <row r="5411" spans="1:3" x14ac:dyDescent="0.15">
      <c r="A5411" t="s">
        <v>1016</v>
      </c>
      <c r="B5411">
        <v>45.254800000000003</v>
      </c>
      <c r="C5411">
        <v>5.0474899999999997E-4</v>
      </c>
    </row>
    <row r="5412" spans="1:3" x14ac:dyDescent="0.15">
      <c r="A5412" t="s">
        <v>1016</v>
      </c>
      <c r="B5412">
        <v>64</v>
      </c>
      <c r="C5412">
        <v>4.4686599999999997E-4</v>
      </c>
    </row>
    <row r="5413" spans="1:3" x14ac:dyDescent="0.15">
      <c r="A5413" t="s">
        <v>1016</v>
      </c>
      <c r="B5413">
        <v>90.509699999999995</v>
      </c>
      <c r="C5413">
        <v>3.2503000000000002E-4</v>
      </c>
    </row>
    <row r="5414" spans="1:3" x14ac:dyDescent="0.15">
      <c r="A5414" t="s">
        <v>1016</v>
      </c>
      <c r="B5414">
        <v>128</v>
      </c>
      <c r="C5414">
        <v>2.6059199999999997E-4</v>
      </c>
    </row>
    <row r="5415" spans="1:3" x14ac:dyDescent="0.15">
      <c r="A5415" t="s">
        <v>1016</v>
      </c>
      <c r="B5415">
        <v>181.01929999999999</v>
      </c>
      <c r="C5415">
        <v>1.3091000000000001E-4</v>
      </c>
    </row>
    <row r="5416" spans="1:3" x14ac:dyDescent="0.15">
      <c r="A5416" t="s">
        <v>1016</v>
      </c>
      <c r="B5416">
        <v>256</v>
      </c>
      <c r="C5416">
        <v>2.0137999999999999E-5</v>
      </c>
    </row>
    <row r="5417" spans="1:3" x14ac:dyDescent="0.15">
      <c r="A5417" t="s">
        <v>1016</v>
      </c>
      <c r="B5417">
        <v>362.03870000000001</v>
      </c>
      <c r="C5417">
        <v>3.7599999999999998E-7</v>
      </c>
    </row>
    <row r="5418" spans="1:3" x14ac:dyDescent="0.15">
      <c r="A5418" t="s">
        <v>1016</v>
      </c>
      <c r="B5418">
        <v>512</v>
      </c>
      <c r="C5418">
        <v>0</v>
      </c>
    </row>
    <row r="5419" spans="1:3" x14ac:dyDescent="0.15">
      <c r="A5419" t="s">
        <v>1016</v>
      </c>
      <c r="B5419">
        <v>724.07730000000004</v>
      </c>
      <c r="C5419">
        <v>0</v>
      </c>
    </row>
    <row r="5420" spans="1:3" x14ac:dyDescent="0.15">
      <c r="A5420" t="s">
        <v>1017</v>
      </c>
      <c r="B5420">
        <v>2</v>
      </c>
      <c r="C5420">
        <v>1.4878529999999999E-3</v>
      </c>
    </row>
    <row r="5421" spans="1:3" x14ac:dyDescent="0.15">
      <c r="A5421" t="s">
        <v>1017</v>
      </c>
      <c r="B5421">
        <v>2.8283999999999998</v>
      </c>
      <c r="C5421">
        <v>1.702266E-3</v>
      </c>
    </row>
    <row r="5422" spans="1:3" x14ac:dyDescent="0.15">
      <c r="A5422" t="s">
        <v>1017</v>
      </c>
      <c r="B5422">
        <v>4</v>
      </c>
      <c r="C5422">
        <v>1.5937729999999999E-3</v>
      </c>
    </row>
    <row r="5423" spans="1:3" x14ac:dyDescent="0.15">
      <c r="A5423" t="s">
        <v>1017</v>
      </c>
      <c r="B5423">
        <v>5.6569000000000003</v>
      </c>
      <c r="C5423">
        <v>1.417829E-3</v>
      </c>
    </row>
    <row r="5424" spans="1:3" x14ac:dyDescent="0.15">
      <c r="A5424" t="s">
        <v>1017</v>
      </c>
      <c r="B5424">
        <v>8</v>
      </c>
      <c r="C5424">
        <v>1.462037E-3</v>
      </c>
    </row>
    <row r="5425" spans="1:3" x14ac:dyDescent="0.15">
      <c r="A5425" t="s">
        <v>1017</v>
      </c>
      <c r="B5425">
        <v>11.313700000000001</v>
      </c>
      <c r="C5425">
        <v>1.283691E-3</v>
      </c>
    </row>
    <row r="5426" spans="1:3" x14ac:dyDescent="0.15">
      <c r="A5426" t="s">
        <v>1017</v>
      </c>
      <c r="B5426">
        <v>16</v>
      </c>
      <c r="C5426">
        <v>1.1866120000000001E-3</v>
      </c>
    </row>
    <row r="5427" spans="1:3" x14ac:dyDescent="0.15">
      <c r="A5427" t="s">
        <v>1017</v>
      </c>
      <c r="B5427">
        <v>22.627400000000002</v>
      </c>
      <c r="C5427">
        <v>1.3034769999999999E-3</v>
      </c>
    </row>
    <row r="5428" spans="1:3" x14ac:dyDescent="0.15">
      <c r="A5428" t="s">
        <v>1017</v>
      </c>
      <c r="B5428">
        <v>32</v>
      </c>
      <c r="C5428">
        <v>1.4980880000000001E-3</v>
      </c>
    </row>
    <row r="5429" spans="1:3" x14ac:dyDescent="0.15">
      <c r="A5429" t="s">
        <v>1017</v>
      </c>
      <c r="B5429">
        <v>45.254800000000003</v>
      </c>
      <c r="C5429">
        <v>1.721368E-3</v>
      </c>
    </row>
    <row r="5430" spans="1:3" x14ac:dyDescent="0.15">
      <c r="A5430" t="s">
        <v>1017</v>
      </c>
      <c r="B5430">
        <v>64</v>
      </c>
      <c r="C5430">
        <v>1.566722E-3</v>
      </c>
    </row>
    <row r="5431" spans="1:3" x14ac:dyDescent="0.15">
      <c r="A5431" t="s">
        <v>1017</v>
      </c>
      <c r="B5431">
        <v>90.509699999999995</v>
      </c>
      <c r="C5431">
        <v>7.8043999999999997E-4</v>
      </c>
    </row>
    <row r="5432" spans="1:3" x14ac:dyDescent="0.15">
      <c r="A5432" t="s">
        <v>1017</v>
      </c>
      <c r="B5432">
        <v>128</v>
      </c>
      <c r="C5432">
        <v>1.1989099999999999E-4</v>
      </c>
    </row>
    <row r="5433" spans="1:3" x14ac:dyDescent="0.15">
      <c r="A5433" t="s">
        <v>1017</v>
      </c>
      <c r="B5433">
        <v>181.01929999999999</v>
      </c>
      <c r="C5433">
        <v>2.2359999999999999E-6</v>
      </c>
    </row>
    <row r="5434" spans="1:3" x14ac:dyDescent="0.15">
      <c r="A5434" t="s">
        <v>1017</v>
      </c>
      <c r="B5434">
        <v>256</v>
      </c>
      <c r="C5434">
        <v>1.0000000000000001E-9</v>
      </c>
    </row>
    <row r="5435" spans="1:3" x14ac:dyDescent="0.15">
      <c r="A5435" t="s">
        <v>1017</v>
      </c>
      <c r="B5435">
        <v>362.03870000000001</v>
      </c>
      <c r="C5435">
        <v>0</v>
      </c>
    </row>
    <row r="5436" spans="1:3" x14ac:dyDescent="0.15">
      <c r="A5436" t="s">
        <v>1017</v>
      </c>
      <c r="B5436">
        <v>512</v>
      </c>
      <c r="C5436">
        <v>0</v>
      </c>
    </row>
    <row r="5437" spans="1:3" x14ac:dyDescent="0.15">
      <c r="A5437" t="s">
        <v>1017</v>
      </c>
      <c r="B5437">
        <v>724.07730000000004</v>
      </c>
      <c r="C5437">
        <v>0</v>
      </c>
    </row>
    <row r="5438" spans="1:3" x14ac:dyDescent="0.15">
      <c r="A5438" t="s">
        <v>1018</v>
      </c>
      <c r="B5438">
        <v>2</v>
      </c>
      <c r="C5438">
        <v>7.8164499999999997E-4</v>
      </c>
    </row>
    <row r="5439" spans="1:3" x14ac:dyDescent="0.15">
      <c r="A5439" t="s">
        <v>1018</v>
      </c>
      <c r="B5439">
        <v>2.8283999999999998</v>
      </c>
      <c r="C5439">
        <v>8.97936E-4</v>
      </c>
    </row>
    <row r="5440" spans="1:3" x14ac:dyDescent="0.15">
      <c r="A5440" t="s">
        <v>1018</v>
      </c>
      <c r="B5440">
        <v>4</v>
      </c>
      <c r="C5440">
        <v>1.0176499999999999E-3</v>
      </c>
    </row>
    <row r="5441" spans="1:3" x14ac:dyDescent="0.15">
      <c r="A5441" t="s">
        <v>1018</v>
      </c>
      <c r="B5441">
        <v>5.6569000000000003</v>
      </c>
      <c r="C5441">
        <v>1.0143719999999999E-3</v>
      </c>
    </row>
    <row r="5442" spans="1:3" x14ac:dyDescent="0.15">
      <c r="A5442" t="s">
        <v>1018</v>
      </c>
      <c r="B5442">
        <v>8</v>
      </c>
      <c r="C5442">
        <v>8.5547900000000003E-4</v>
      </c>
    </row>
    <row r="5443" spans="1:3" x14ac:dyDescent="0.15">
      <c r="A5443" t="s">
        <v>1018</v>
      </c>
      <c r="B5443">
        <v>11.313700000000001</v>
      </c>
      <c r="C5443">
        <v>7.0525000000000004E-4</v>
      </c>
    </row>
    <row r="5444" spans="1:3" x14ac:dyDescent="0.15">
      <c r="A5444" t="s">
        <v>1018</v>
      </c>
      <c r="B5444">
        <v>16</v>
      </c>
      <c r="C5444">
        <v>6.5850000000000001E-4</v>
      </c>
    </row>
    <row r="5445" spans="1:3" x14ac:dyDescent="0.15">
      <c r="A5445" t="s">
        <v>1018</v>
      </c>
      <c r="B5445">
        <v>22.627400000000002</v>
      </c>
      <c r="C5445">
        <v>5.9455200000000004E-4</v>
      </c>
    </row>
    <row r="5446" spans="1:3" x14ac:dyDescent="0.15">
      <c r="A5446" t="s">
        <v>1018</v>
      </c>
      <c r="B5446">
        <v>32</v>
      </c>
      <c r="C5446">
        <v>4.4642E-4</v>
      </c>
    </row>
    <row r="5447" spans="1:3" x14ac:dyDescent="0.15">
      <c r="A5447" t="s">
        <v>1018</v>
      </c>
      <c r="B5447">
        <v>45.254800000000003</v>
      </c>
      <c r="C5447">
        <v>3.8882899999999999E-4</v>
      </c>
    </row>
    <row r="5448" spans="1:3" x14ac:dyDescent="0.15">
      <c r="A5448" t="s">
        <v>1018</v>
      </c>
      <c r="B5448">
        <v>64</v>
      </c>
      <c r="C5448">
        <v>4.16346E-4</v>
      </c>
    </row>
    <row r="5449" spans="1:3" x14ac:dyDescent="0.15">
      <c r="A5449" t="s">
        <v>1018</v>
      </c>
      <c r="B5449">
        <v>90.509699999999995</v>
      </c>
      <c r="C5449">
        <v>3.8264000000000001E-4</v>
      </c>
    </row>
    <row r="5450" spans="1:3" x14ac:dyDescent="0.15">
      <c r="A5450" t="s">
        <v>1018</v>
      </c>
      <c r="B5450">
        <v>128</v>
      </c>
      <c r="C5450">
        <v>3.3513199999999998E-4</v>
      </c>
    </row>
    <row r="5451" spans="1:3" x14ac:dyDescent="0.15">
      <c r="A5451" t="s">
        <v>1018</v>
      </c>
      <c r="B5451">
        <v>181.01929999999999</v>
      </c>
      <c r="C5451">
        <v>1.7102600000000001E-4</v>
      </c>
    </row>
    <row r="5452" spans="1:3" x14ac:dyDescent="0.15">
      <c r="A5452" t="s">
        <v>1018</v>
      </c>
      <c r="B5452">
        <v>256</v>
      </c>
      <c r="C5452">
        <v>2.6475999999999999E-5</v>
      </c>
    </row>
    <row r="5453" spans="1:3" x14ac:dyDescent="0.15">
      <c r="A5453" t="s">
        <v>1018</v>
      </c>
      <c r="B5453">
        <v>362.03870000000001</v>
      </c>
      <c r="C5453">
        <v>4.9399999999999995E-7</v>
      </c>
    </row>
    <row r="5454" spans="1:3" x14ac:dyDescent="0.15">
      <c r="A5454" t="s">
        <v>1018</v>
      </c>
      <c r="B5454">
        <v>512</v>
      </c>
      <c r="C5454">
        <v>0</v>
      </c>
    </row>
    <row r="5455" spans="1:3" x14ac:dyDescent="0.15">
      <c r="A5455" t="s">
        <v>1018</v>
      </c>
      <c r="B5455">
        <v>724.07730000000004</v>
      </c>
      <c r="C5455">
        <v>0</v>
      </c>
    </row>
    <row r="5456" spans="1:3" x14ac:dyDescent="0.15">
      <c r="A5456" t="s">
        <v>1018</v>
      </c>
      <c r="B5456">
        <v>2</v>
      </c>
      <c r="C5456">
        <v>2.6920910000000002E-3</v>
      </c>
    </row>
    <row r="5457" spans="1:3" x14ac:dyDescent="0.15">
      <c r="A5457" t="s">
        <v>1018</v>
      </c>
      <c r="B5457">
        <v>2.8283999999999998</v>
      </c>
      <c r="C5457">
        <v>2.7990409999999999E-3</v>
      </c>
    </row>
    <row r="5458" spans="1:3" x14ac:dyDescent="0.15">
      <c r="A5458" t="s">
        <v>1018</v>
      </c>
      <c r="B5458">
        <v>4</v>
      </c>
      <c r="C5458">
        <v>2.853422E-3</v>
      </c>
    </row>
    <row r="5459" spans="1:3" x14ac:dyDescent="0.15">
      <c r="A5459" t="s">
        <v>1018</v>
      </c>
      <c r="B5459">
        <v>5.6569000000000003</v>
      </c>
      <c r="C5459">
        <v>2.6838159999999999E-3</v>
      </c>
    </row>
    <row r="5460" spans="1:3" x14ac:dyDescent="0.15">
      <c r="A5460" t="s">
        <v>1018</v>
      </c>
      <c r="B5460">
        <v>8</v>
      </c>
      <c r="C5460">
        <v>2.307684E-3</v>
      </c>
    </row>
    <row r="5461" spans="1:3" x14ac:dyDescent="0.15">
      <c r="A5461" t="s">
        <v>1018</v>
      </c>
      <c r="B5461">
        <v>11.313700000000001</v>
      </c>
      <c r="C5461">
        <v>1.885963E-3</v>
      </c>
    </row>
    <row r="5462" spans="1:3" x14ac:dyDescent="0.15">
      <c r="A5462" t="s">
        <v>1018</v>
      </c>
      <c r="B5462">
        <v>16</v>
      </c>
      <c r="C5462">
        <v>1.515654E-3</v>
      </c>
    </row>
    <row r="5463" spans="1:3" x14ac:dyDescent="0.15">
      <c r="A5463" t="s">
        <v>1018</v>
      </c>
      <c r="B5463">
        <v>22.627400000000002</v>
      </c>
      <c r="C5463">
        <v>1.2158329999999999E-3</v>
      </c>
    </row>
    <row r="5464" spans="1:3" x14ac:dyDescent="0.15">
      <c r="A5464" t="s">
        <v>1018</v>
      </c>
      <c r="B5464">
        <v>32</v>
      </c>
      <c r="C5464">
        <v>7.9465199999999997E-4</v>
      </c>
    </row>
    <row r="5465" spans="1:3" x14ac:dyDescent="0.15">
      <c r="A5465" t="s">
        <v>1018</v>
      </c>
      <c r="B5465">
        <v>45.254800000000003</v>
      </c>
      <c r="C5465">
        <v>6.1822899999999998E-4</v>
      </c>
    </row>
    <row r="5466" spans="1:3" x14ac:dyDescent="0.15">
      <c r="A5466" t="s">
        <v>1018</v>
      </c>
      <c r="B5466">
        <v>64</v>
      </c>
      <c r="C5466">
        <v>7.32185E-4</v>
      </c>
    </row>
    <row r="5467" spans="1:3" x14ac:dyDescent="0.15">
      <c r="A5467" t="s">
        <v>1018</v>
      </c>
      <c r="B5467">
        <v>90.509699999999995</v>
      </c>
      <c r="C5467">
        <v>6.34199E-4</v>
      </c>
    </row>
    <row r="5468" spans="1:3" x14ac:dyDescent="0.15">
      <c r="A5468" t="s">
        <v>1018</v>
      </c>
      <c r="B5468">
        <v>128</v>
      </c>
      <c r="C5468">
        <v>4.10703E-4</v>
      </c>
    </row>
    <row r="5469" spans="1:3" x14ac:dyDescent="0.15">
      <c r="A5469" t="s">
        <v>1018</v>
      </c>
      <c r="B5469">
        <v>181.01929999999999</v>
      </c>
      <c r="C5469">
        <v>1.8612899999999999E-4</v>
      </c>
    </row>
    <row r="5470" spans="1:3" x14ac:dyDescent="0.15">
      <c r="A5470" t="s">
        <v>1018</v>
      </c>
      <c r="B5470">
        <v>256</v>
      </c>
      <c r="C5470">
        <v>2.8382E-5</v>
      </c>
    </row>
    <row r="5471" spans="1:3" x14ac:dyDescent="0.15">
      <c r="A5471" t="s">
        <v>1018</v>
      </c>
      <c r="B5471">
        <v>362.03870000000001</v>
      </c>
      <c r="C5471">
        <v>5.2900000000000004E-7</v>
      </c>
    </row>
    <row r="5472" spans="1:3" x14ac:dyDescent="0.15">
      <c r="A5472" t="s">
        <v>1018</v>
      </c>
      <c r="B5472">
        <v>512</v>
      </c>
      <c r="C5472">
        <v>1.0000000000000001E-9</v>
      </c>
    </row>
    <row r="5473" spans="1:3" x14ac:dyDescent="0.15">
      <c r="A5473" t="s">
        <v>1018</v>
      </c>
      <c r="B5473">
        <v>724.07730000000004</v>
      </c>
      <c r="C5473">
        <v>0</v>
      </c>
    </row>
    <row r="5474" spans="1:3" x14ac:dyDescent="0.15">
      <c r="A5474" t="s">
        <v>1020</v>
      </c>
      <c r="B5474">
        <v>2</v>
      </c>
      <c r="C5474">
        <v>6.8423900000000001E-4</v>
      </c>
    </row>
    <row r="5475" spans="1:3" x14ac:dyDescent="0.15">
      <c r="A5475" t="s">
        <v>1020</v>
      </c>
      <c r="B5475">
        <v>2.8283999999999998</v>
      </c>
      <c r="C5475">
        <v>8.9520500000000005E-4</v>
      </c>
    </row>
    <row r="5476" spans="1:3" x14ac:dyDescent="0.15">
      <c r="A5476" t="s">
        <v>1020</v>
      </c>
      <c r="B5476">
        <v>4</v>
      </c>
      <c r="C5476">
        <v>9.9485400000000009E-4</v>
      </c>
    </row>
    <row r="5477" spans="1:3" x14ac:dyDescent="0.15">
      <c r="A5477" t="s">
        <v>1020</v>
      </c>
      <c r="B5477">
        <v>5.6569000000000003</v>
      </c>
      <c r="C5477">
        <v>9.1027600000000001E-4</v>
      </c>
    </row>
    <row r="5478" spans="1:3" x14ac:dyDescent="0.15">
      <c r="A5478" t="s">
        <v>1020</v>
      </c>
      <c r="B5478">
        <v>8</v>
      </c>
      <c r="C5478">
        <v>8.3927700000000004E-4</v>
      </c>
    </row>
    <row r="5479" spans="1:3" x14ac:dyDescent="0.15">
      <c r="A5479" t="s">
        <v>1020</v>
      </c>
      <c r="B5479">
        <v>11.313700000000001</v>
      </c>
      <c r="C5479">
        <v>7.6872500000000005E-4</v>
      </c>
    </row>
    <row r="5480" spans="1:3" x14ac:dyDescent="0.15">
      <c r="A5480" t="s">
        <v>1020</v>
      </c>
      <c r="B5480">
        <v>16</v>
      </c>
      <c r="C5480">
        <v>6.7917300000000004E-4</v>
      </c>
    </row>
    <row r="5481" spans="1:3" x14ac:dyDescent="0.15">
      <c r="A5481" t="s">
        <v>1020</v>
      </c>
      <c r="B5481">
        <v>22.627400000000002</v>
      </c>
      <c r="C5481">
        <v>7.7623199999999996E-4</v>
      </c>
    </row>
    <row r="5482" spans="1:3" x14ac:dyDescent="0.15">
      <c r="A5482" t="s">
        <v>1020</v>
      </c>
      <c r="B5482">
        <v>32</v>
      </c>
      <c r="C5482">
        <v>8.8358499999999999E-4</v>
      </c>
    </row>
    <row r="5483" spans="1:3" x14ac:dyDescent="0.15">
      <c r="A5483" t="s">
        <v>1020</v>
      </c>
      <c r="B5483">
        <v>45.254800000000003</v>
      </c>
      <c r="C5483">
        <v>7.4166800000000001E-4</v>
      </c>
    </row>
    <row r="5484" spans="1:3" x14ac:dyDescent="0.15">
      <c r="A5484" t="s">
        <v>1020</v>
      </c>
      <c r="B5484">
        <v>64</v>
      </c>
      <c r="C5484">
        <v>4.4222899999999998E-4</v>
      </c>
    </row>
    <row r="5485" spans="1:3" x14ac:dyDescent="0.15">
      <c r="A5485" t="s">
        <v>1020</v>
      </c>
      <c r="B5485">
        <v>90.509699999999995</v>
      </c>
      <c r="C5485">
        <v>1.34079E-4</v>
      </c>
    </row>
    <row r="5486" spans="1:3" x14ac:dyDescent="0.15">
      <c r="A5486" t="s">
        <v>1020</v>
      </c>
      <c r="B5486">
        <v>128</v>
      </c>
      <c r="C5486">
        <v>2.2819E-5</v>
      </c>
    </row>
    <row r="5487" spans="1:3" x14ac:dyDescent="0.15">
      <c r="A5487" t="s">
        <v>1020</v>
      </c>
      <c r="B5487">
        <v>181.01929999999999</v>
      </c>
      <c r="C5487">
        <v>2.3651000000000001E-5</v>
      </c>
    </row>
    <row r="5488" spans="1:3" x14ac:dyDescent="0.15">
      <c r="A5488" t="s">
        <v>1020</v>
      </c>
      <c r="B5488">
        <v>256</v>
      </c>
      <c r="C5488">
        <v>3.703E-6</v>
      </c>
    </row>
    <row r="5489" spans="1:3" x14ac:dyDescent="0.15">
      <c r="A5489" t="s">
        <v>1020</v>
      </c>
      <c r="B5489">
        <v>362.03870000000001</v>
      </c>
      <c r="C5489">
        <v>6.8999999999999996E-8</v>
      </c>
    </row>
    <row r="5490" spans="1:3" x14ac:dyDescent="0.15">
      <c r="A5490" t="s">
        <v>1020</v>
      </c>
      <c r="B5490">
        <v>512</v>
      </c>
      <c r="C5490">
        <v>0</v>
      </c>
    </row>
    <row r="5491" spans="1:3" x14ac:dyDescent="0.15">
      <c r="A5491" t="s">
        <v>1020</v>
      </c>
      <c r="B5491">
        <v>724.07730000000004</v>
      </c>
      <c r="C5491">
        <v>0</v>
      </c>
    </row>
    <row r="5492" spans="1:3" x14ac:dyDescent="0.15">
      <c r="A5492" t="s">
        <v>1021</v>
      </c>
      <c r="B5492">
        <v>2</v>
      </c>
      <c r="C5492">
        <v>5.0585599999999995E-4</v>
      </c>
    </row>
    <row r="5493" spans="1:3" x14ac:dyDescent="0.15">
      <c r="A5493" t="s">
        <v>1021</v>
      </c>
      <c r="B5493">
        <v>2.8283999999999998</v>
      </c>
      <c r="C5493">
        <v>6.9312099999999999E-4</v>
      </c>
    </row>
    <row r="5494" spans="1:3" x14ac:dyDescent="0.15">
      <c r="A5494" t="s">
        <v>1021</v>
      </c>
      <c r="B5494">
        <v>4</v>
      </c>
      <c r="C5494">
        <v>8.8712600000000002E-4</v>
      </c>
    </row>
    <row r="5495" spans="1:3" x14ac:dyDescent="0.15">
      <c r="A5495" t="s">
        <v>1021</v>
      </c>
      <c r="B5495">
        <v>5.6569000000000003</v>
      </c>
      <c r="C5495">
        <v>9.04856E-4</v>
      </c>
    </row>
    <row r="5496" spans="1:3" x14ac:dyDescent="0.15">
      <c r="A5496" t="s">
        <v>1021</v>
      </c>
      <c r="B5496">
        <v>8</v>
      </c>
      <c r="C5496">
        <v>7.0064599999999997E-4</v>
      </c>
    </row>
    <row r="5497" spans="1:3" x14ac:dyDescent="0.15">
      <c r="A5497" t="s">
        <v>1021</v>
      </c>
      <c r="B5497">
        <v>11.313700000000001</v>
      </c>
      <c r="C5497">
        <v>5.0208700000000002E-4</v>
      </c>
    </row>
    <row r="5498" spans="1:3" x14ac:dyDescent="0.15">
      <c r="A5498" t="s">
        <v>1021</v>
      </c>
      <c r="B5498">
        <v>16</v>
      </c>
      <c r="C5498">
        <v>3.96466E-4</v>
      </c>
    </row>
    <row r="5499" spans="1:3" x14ac:dyDescent="0.15">
      <c r="A5499" t="s">
        <v>1021</v>
      </c>
      <c r="B5499">
        <v>22.627400000000002</v>
      </c>
      <c r="C5499">
        <v>3.1936300000000003E-4</v>
      </c>
    </row>
    <row r="5500" spans="1:3" x14ac:dyDescent="0.15">
      <c r="A5500" t="s">
        <v>1021</v>
      </c>
      <c r="B5500">
        <v>32</v>
      </c>
      <c r="C5500">
        <v>3.1168400000000001E-4</v>
      </c>
    </row>
    <row r="5501" spans="1:3" x14ac:dyDescent="0.15">
      <c r="A5501" t="s">
        <v>1021</v>
      </c>
      <c r="B5501">
        <v>45.254800000000003</v>
      </c>
      <c r="C5501">
        <v>3.8867699999999998E-4</v>
      </c>
    </row>
    <row r="5502" spans="1:3" x14ac:dyDescent="0.15">
      <c r="A5502" t="s">
        <v>1021</v>
      </c>
      <c r="B5502">
        <v>64</v>
      </c>
      <c r="C5502">
        <v>5.3534000000000003E-4</v>
      </c>
    </row>
    <row r="5503" spans="1:3" x14ac:dyDescent="0.15">
      <c r="A5503" t="s">
        <v>1021</v>
      </c>
      <c r="B5503">
        <v>90.509699999999995</v>
      </c>
      <c r="C5503">
        <v>7.0491100000000001E-4</v>
      </c>
    </row>
    <row r="5504" spans="1:3" x14ac:dyDescent="0.15">
      <c r="A5504" t="s">
        <v>1021</v>
      </c>
      <c r="B5504">
        <v>128</v>
      </c>
      <c r="C5504">
        <v>6.8525699999999999E-4</v>
      </c>
    </row>
    <row r="5505" spans="1:3" x14ac:dyDescent="0.15">
      <c r="A5505" t="s">
        <v>1021</v>
      </c>
      <c r="B5505">
        <v>181.01929999999999</v>
      </c>
      <c r="C5505">
        <v>3.4234199999999998E-4</v>
      </c>
    </row>
    <row r="5506" spans="1:3" x14ac:dyDescent="0.15">
      <c r="A5506" t="s">
        <v>1021</v>
      </c>
      <c r="B5506">
        <v>256</v>
      </c>
      <c r="C5506">
        <v>5.2388000000000001E-5</v>
      </c>
    </row>
    <row r="5507" spans="1:3" x14ac:dyDescent="0.15">
      <c r="A5507" t="s">
        <v>1021</v>
      </c>
      <c r="B5507">
        <v>362.03870000000001</v>
      </c>
      <c r="C5507">
        <v>9.7600000000000006E-7</v>
      </c>
    </row>
    <row r="5508" spans="1:3" x14ac:dyDescent="0.15">
      <c r="A5508" t="s">
        <v>1021</v>
      </c>
      <c r="B5508">
        <v>512</v>
      </c>
      <c r="C5508">
        <v>0</v>
      </c>
    </row>
    <row r="5509" spans="1:3" x14ac:dyDescent="0.15">
      <c r="A5509" t="s">
        <v>1021</v>
      </c>
      <c r="B5509">
        <v>724.07730000000004</v>
      </c>
      <c r="C5509">
        <v>0</v>
      </c>
    </row>
    <row r="5510" spans="1:3" x14ac:dyDescent="0.15">
      <c r="A5510" t="s">
        <v>1022</v>
      </c>
      <c r="B5510">
        <v>2</v>
      </c>
      <c r="C5510">
        <v>1.1584399999999999E-3</v>
      </c>
    </row>
    <row r="5511" spans="1:3" x14ac:dyDescent="0.15">
      <c r="A5511" t="s">
        <v>1022</v>
      </c>
      <c r="B5511">
        <v>2.8283999999999998</v>
      </c>
      <c r="C5511">
        <v>1.4527050000000001E-3</v>
      </c>
    </row>
    <row r="5512" spans="1:3" x14ac:dyDescent="0.15">
      <c r="A5512" t="s">
        <v>1022</v>
      </c>
      <c r="B5512">
        <v>4</v>
      </c>
      <c r="C5512">
        <v>1.655498E-3</v>
      </c>
    </row>
    <row r="5513" spans="1:3" x14ac:dyDescent="0.15">
      <c r="A5513" t="s">
        <v>1022</v>
      </c>
      <c r="B5513">
        <v>5.6569000000000003</v>
      </c>
      <c r="C5513">
        <v>1.639745E-3</v>
      </c>
    </row>
    <row r="5514" spans="1:3" x14ac:dyDescent="0.15">
      <c r="A5514" t="s">
        <v>1022</v>
      </c>
      <c r="B5514">
        <v>8</v>
      </c>
      <c r="C5514">
        <v>1.441526E-3</v>
      </c>
    </row>
    <row r="5515" spans="1:3" x14ac:dyDescent="0.15">
      <c r="A5515" t="s">
        <v>1022</v>
      </c>
      <c r="B5515">
        <v>11.313700000000001</v>
      </c>
      <c r="C5515">
        <v>1.1863170000000001E-3</v>
      </c>
    </row>
    <row r="5516" spans="1:3" x14ac:dyDescent="0.15">
      <c r="A5516" t="s">
        <v>1022</v>
      </c>
      <c r="B5516">
        <v>16</v>
      </c>
      <c r="C5516">
        <v>9.0771899999999997E-4</v>
      </c>
    </row>
    <row r="5517" spans="1:3" x14ac:dyDescent="0.15">
      <c r="A5517" t="s">
        <v>1022</v>
      </c>
      <c r="B5517">
        <v>22.627400000000002</v>
      </c>
      <c r="C5517">
        <v>6.3049799999999995E-4</v>
      </c>
    </row>
    <row r="5518" spans="1:3" x14ac:dyDescent="0.15">
      <c r="A5518" t="s">
        <v>1022</v>
      </c>
      <c r="B5518">
        <v>32</v>
      </c>
      <c r="C5518">
        <v>5.0304400000000002E-4</v>
      </c>
    </row>
    <row r="5519" spans="1:3" x14ac:dyDescent="0.15">
      <c r="A5519" t="s">
        <v>1022</v>
      </c>
      <c r="B5519">
        <v>45.254800000000003</v>
      </c>
      <c r="C5519">
        <v>4.7052900000000002E-4</v>
      </c>
    </row>
    <row r="5520" spans="1:3" x14ac:dyDescent="0.15">
      <c r="A5520" t="s">
        <v>1022</v>
      </c>
      <c r="B5520">
        <v>64</v>
      </c>
      <c r="C5520">
        <v>4.6365099999999998E-4</v>
      </c>
    </row>
    <row r="5521" spans="1:3" x14ac:dyDescent="0.15">
      <c r="A5521" t="s">
        <v>1022</v>
      </c>
      <c r="B5521">
        <v>90.509699999999995</v>
      </c>
      <c r="C5521">
        <v>4.17685E-4</v>
      </c>
    </row>
    <row r="5522" spans="1:3" x14ac:dyDescent="0.15">
      <c r="A5522" t="s">
        <v>1022</v>
      </c>
      <c r="B5522">
        <v>128</v>
      </c>
      <c r="C5522">
        <v>3.8417900000000001E-4</v>
      </c>
    </row>
    <row r="5523" spans="1:3" x14ac:dyDescent="0.15">
      <c r="A5523" t="s">
        <v>1022</v>
      </c>
      <c r="B5523">
        <v>181.01929999999999</v>
      </c>
      <c r="C5523">
        <v>1.983E-4</v>
      </c>
    </row>
    <row r="5524" spans="1:3" x14ac:dyDescent="0.15">
      <c r="A5524" t="s">
        <v>1022</v>
      </c>
      <c r="B5524">
        <v>256</v>
      </c>
      <c r="C5524">
        <v>3.0664999999999999E-5</v>
      </c>
    </row>
    <row r="5525" spans="1:3" x14ac:dyDescent="0.15">
      <c r="A5525" t="s">
        <v>1022</v>
      </c>
      <c r="B5525">
        <v>362.03870000000001</v>
      </c>
      <c r="C5525">
        <v>5.7199999999999999E-7</v>
      </c>
    </row>
    <row r="5526" spans="1:3" x14ac:dyDescent="0.15">
      <c r="A5526" t="s">
        <v>1022</v>
      </c>
      <c r="B5526">
        <v>512</v>
      </c>
      <c r="C5526">
        <v>1.0000000000000001E-9</v>
      </c>
    </row>
    <row r="5527" spans="1:3" x14ac:dyDescent="0.15">
      <c r="A5527" t="s">
        <v>1022</v>
      </c>
      <c r="B5527">
        <v>724.07730000000004</v>
      </c>
      <c r="C5527">
        <v>0</v>
      </c>
    </row>
    <row r="5528" spans="1:3" x14ac:dyDescent="0.15">
      <c r="A5528" t="s">
        <v>1023</v>
      </c>
      <c r="B5528">
        <v>2</v>
      </c>
      <c r="C5528">
        <v>6.9589200000000004E-4</v>
      </c>
    </row>
    <row r="5529" spans="1:3" x14ac:dyDescent="0.15">
      <c r="A5529" t="s">
        <v>1023</v>
      </c>
      <c r="B5529">
        <v>2.8283999999999998</v>
      </c>
      <c r="C5529">
        <v>8.2404899999999998E-4</v>
      </c>
    </row>
    <row r="5530" spans="1:3" x14ac:dyDescent="0.15">
      <c r="A5530" t="s">
        <v>1023</v>
      </c>
      <c r="B5530">
        <v>4</v>
      </c>
      <c r="C5530">
        <v>9.9808399999999999E-4</v>
      </c>
    </row>
    <row r="5531" spans="1:3" x14ac:dyDescent="0.15">
      <c r="A5531" t="s">
        <v>1023</v>
      </c>
      <c r="B5531">
        <v>5.6569000000000003</v>
      </c>
      <c r="C5531">
        <v>1.261896E-3</v>
      </c>
    </row>
    <row r="5532" spans="1:3" x14ac:dyDescent="0.15">
      <c r="A5532" t="s">
        <v>1023</v>
      </c>
      <c r="B5532">
        <v>8</v>
      </c>
      <c r="C5532">
        <v>1.4260169999999999E-3</v>
      </c>
    </row>
    <row r="5533" spans="1:3" x14ac:dyDescent="0.15">
      <c r="A5533" t="s">
        <v>1023</v>
      </c>
      <c r="B5533">
        <v>11.313700000000001</v>
      </c>
      <c r="C5533">
        <v>1.4131009999999999E-3</v>
      </c>
    </row>
    <row r="5534" spans="1:3" x14ac:dyDescent="0.15">
      <c r="A5534" t="s">
        <v>1023</v>
      </c>
      <c r="B5534">
        <v>16</v>
      </c>
      <c r="C5534">
        <v>1.204203E-3</v>
      </c>
    </row>
    <row r="5535" spans="1:3" x14ac:dyDescent="0.15">
      <c r="A5535" t="s">
        <v>1023</v>
      </c>
      <c r="B5535">
        <v>22.627400000000002</v>
      </c>
      <c r="C5535">
        <v>9.3882999999999998E-4</v>
      </c>
    </row>
    <row r="5536" spans="1:3" x14ac:dyDescent="0.15">
      <c r="A5536" t="s">
        <v>1023</v>
      </c>
      <c r="B5536">
        <v>32</v>
      </c>
      <c r="C5536">
        <v>7.9627799999999998E-4</v>
      </c>
    </row>
    <row r="5537" spans="1:3" x14ac:dyDescent="0.15">
      <c r="A5537" t="s">
        <v>1023</v>
      </c>
      <c r="B5537">
        <v>45.254800000000003</v>
      </c>
      <c r="C5537">
        <v>6.2096600000000003E-4</v>
      </c>
    </row>
    <row r="5538" spans="1:3" x14ac:dyDescent="0.15">
      <c r="A5538" t="s">
        <v>1023</v>
      </c>
      <c r="B5538">
        <v>64</v>
      </c>
      <c r="C5538">
        <v>5.5725900000000005E-4</v>
      </c>
    </row>
    <row r="5539" spans="1:3" x14ac:dyDescent="0.15">
      <c r="A5539" t="s">
        <v>1023</v>
      </c>
      <c r="B5539">
        <v>90.509699999999995</v>
      </c>
      <c r="C5539">
        <v>6.2108300000000003E-4</v>
      </c>
    </row>
    <row r="5540" spans="1:3" x14ac:dyDescent="0.15">
      <c r="A5540" t="s">
        <v>1023</v>
      </c>
      <c r="B5540">
        <v>128</v>
      </c>
      <c r="C5540">
        <v>5.9662500000000004E-4</v>
      </c>
    </row>
    <row r="5541" spans="1:3" x14ac:dyDescent="0.15">
      <c r="A5541" t="s">
        <v>1023</v>
      </c>
      <c r="B5541">
        <v>181.01929999999999</v>
      </c>
      <c r="C5541">
        <v>3.0129100000000003E-4</v>
      </c>
    </row>
    <row r="5542" spans="1:3" x14ac:dyDescent="0.15">
      <c r="A5542" t="s">
        <v>1023</v>
      </c>
      <c r="B5542">
        <v>256</v>
      </c>
      <c r="C5542">
        <v>4.6193999999999999E-5</v>
      </c>
    </row>
    <row r="5543" spans="1:3" x14ac:dyDescent="0.15">
      <c r="A5543" t="s">
        <v>1023</v>
      </c>
      <c r="B5543">
        <v>362.03870000000001</v>
      </c>
      <c r="C5543">
        <v>8.6099999999999999E-7</v>
      </c>
    </row>
    <row r="5544" spans="1:3" x14ac:dyDescent="0.15">
      <c r="A5544" t="s">
        <v>1023</v>
      </c>
      <c r="B5544">
        <v>512</v>
      </c>
      <c r="C5544">
        <v>0</v>
      </c>
    </row>
    <row r="5545" spans="1:3" x14ac:dyDescent="0.15">
      <c r="A5545" t="s">
        <v>1023</v>
      </c>
      <c r="B5545">
        <v>724.07730000000004</v>
      </c>
      <c r="C5545">
        <v>0</v>
      </c>
    </row>
    <row r="5546" spans="1:3" x14ac:dyDescent="0.15">
      <c r="A5546" t="s">
        <v>1024</v>
      </c>
      <c r="B5546">
        <v>2</v>
      </c>
      <c r="C5546">
        <v>1.266217E-3</v>
      </c>
    </row>
    <row r="5547" spans="1:3" x14ac:dyDescent="0.15">
      <c r="A5547" t="s">
        <v>1024</v>
      </c>
      <c r="B5547">
        <v>2.8283999999999998</v>
      </c>
      <c r="C5547">
        <v>1.4232590000000001E-3</v>
      </c>
    </row>
    <row r="5548" spans="1:3" x14ac:dyDescent="0.15">
      <c r="A5548" t="s">
        <v>1024</v>
      </c>
      <c r="B5548">
        <v>4</v>
      </c>
      <c r="C5548">
        <v>1.3259890000000001E-3</v>
      </c>
    </row>
    <row r="5549" spans="1:3" x14ac:dyDescent="0.15">
      <c r="A5549" t="s">
        <v>1024</v>
      </c>
      <c r="B5549">
        <v>5.6569000000000003</v>
      </c>
      <c r="C5549">
        <v>1.0399669999999999E-3</v>
      </c>
    </row>
    <row r="5550" spans="1:3" x14ac:dyDescent="0.15">
      <c r="A5550" t="s">
        <v>1024</v>
      </c>
      <c r="B5550">
        <v>8</v>
      </c>
      <c r="C5550">
        <v>8.6115200000000001E-4</v>
      </c>
    </row>
    <row r="5551" spans="1:3" x14ac:dyDescent="0.15">
      <c r="A5551" t="s">
        <v>1024</v>
      </c>
      <c r="B5551">
        <v>11.313700000000001</v>
      </c>
      <c r="C5551">
        <v>7.64907E-4</v>
      </c>
    </row>
    <row r="5552" spans="1:3" x14ac:dyDescent="0.15">
      <c r="A5552" t="s">
        <v>1024</v>
      </c>
      <c r="B5552">
        <v>16</v>
      </c>
      <c r="C5552">
        <v>7.16313E-4</v>
      </c>
    </row>
    <row r="5553" spans="1:3" x14ac:dyDescent="0.15">
      <c r="A5553" t="s">
        <v>1024</v>
      </c>
      <c r="B5553">
        <v>22.627400000000002</v>
      </c>
      <c r="C5553">
        <v>6.5007200000000002E-4</v>
      </c>
    </row>
    <row r="5554" spans="1:3" x14ac:dyDescent="0.15">
      <c r="A5554" t="s">
        <v>1024</v>
      </c>
      <c r="B5554">
        <v>32</v>
      </c>
      <c r="C5554">
        <v>6.5282700000000003E-4</v>
      </c>
    </row>
    <row r="5555" spans="1:3" x14ac:dyDescent="0.15">
      <c r="A5555" t="s">
        <v>1024</v>
      </c>
      <c r="B5555">
        <v>45.254800000000003</v>
      </c>
      <c r="C5555">
        <v>7.7994499999999999E-4</v>
      </c>
    </row>
    <row r="5556" spans="1:3" x14ac:dyDescent="0.15">
      <c r="A5556" t="s">
        <v>1024</v>
      </c>
      <c r="B5556">
        <v>64</v>
      </c>
      <c r="C5556">
        <v>7.4206200000000004E-4</v>
      </c>
    </row>
    <row r="5557" spans="1:3" x14ac:dyDescent="0.15">
      <c r="A5557" t="s">
        <v>1024</v>
      </c>
      <c r="B5557">
        <v>90.509699999999995</v>
      </c>
      <c r="C5557">
        <v>3.7444000000000003E-4</v>
      </c>
    </row>
    <row r="5558" spans="1:3" x14ac:dyDescent="0.15">
      <c r="A5558" t="s">
        <v>1024</v>
      </c>
      <c r="B5558">
        <v>128</v>
      </c>
      <c r="C5558">
        <v>5.7639999999999997E-5</v>
      </c>
    </row>
    <row r="5559" spans="1:3" x14ac:dyDescent="0.15">
      <c r="A5559" t="s">
        <v>1024</v>
      </c>
      <c r="B5559">
        <v>181.01929999999999</v>
      </c>
      <c r="C5559">
        <v>1.0750000000000001E-6</v>
      </c>
    </row>
    <row r="5560" spans="1:3" x14ac:dyDescent="0.15">
      <c r="A5560" t="s">
        <v>1024</v>
      </c>
      <c r="B5560">
        <v>256</v>
      </c>
      <c r="C5560">
        <v>1.0000000000000001E-9</v>
      </c>
    </row>
    <row r="5561" spans="1:3" x14ac:dyDescent="0.15">
      <c r="A5561" t="s">
        <v>1024</v>
      </c>
      <c r="B5561">
        <v>362.03870000000001</v>
      </c>
      <c r="C5561">
        <v>0</v>
      </c>
    </row>
    <row r="5562" spans="1:3" x14ac:dyDescent="0.15">
      <c r="A5562" t="s">
        <v>1024</v>
      </c>
      <c r="B5562">
        <v>512</v>
      </c>
      <c r="C5562">
        <v>0</v>
      </c>
    </row>
    <row r="5563" spans="1:3" x14ac:dyDescent="0.15">
      <c r="A5563" t="s">
        <v>1024</v>
      </c>
      <c r="B5563">
        <v>724.07730000000004</v>
      </c>
      <c r="C5563">
        <v>0</v>
      </c>
    </row>
    <row r="5564" spans="1:3" x14ac:dyDescent="0.15">
      <c r="A5564" t="s">
        <v>1025</v>
      </c>
      <c r="B5564">
        <v>2</v>
      </c>
      <c r="C5564">
        <v>8.87366E-4</v>
      </c>
    </row>
    <row r="5565" spans="1:3" x14ac:dyDescent="0.15">
      <c r="A5565" t="s">
        <v>1025</v>
      </c>
      <c r="B5565">
        <v>2.8283999999999998</v>
      </c>
      <c r="C5565">
        <v>1.070166E-3</v>
      </c>
    </row>
    <row r="5566" spans="1:3" x14ac:dyDescent="0.15">
      <c r="A5566" t="s">
        <v>1025</v>
      </c>
      <c r="B5566">
        <v>4</v>
      </c>
      <c r="C5566">
        <v>1.2571710000000001E-3</v>
      </c>
    </row>
    <row r="5567" spans="1:3" x14ac:dyDescent="0.15">
      <c r="A5567" t="s">
        <v>1025</v>
      </c>
      <c r="B5567">
        <v>5.6569000000000003</v>
      </c>
      <c r="C5567">
        <v>1.289653E-3</v>
      </c>
    </row>
    <row r="5568" spans="1:3" x14ac:dyDescent="0.15">
      <c r="A5568" t="s">
        <v>1025</v>
      </c>
      <c r="B5568">
        <v>8</v>
      </c>
      <c r="C5568">
        <v>1.1794279999999999E-3</v>
      </c>
    </row>
    <row r="5569" spans="1:3" x14ac:dyDescent="0.15">
      <c r="A5569" t="s">
        <v>1025</v>
      </c>
      <c r="B5569">
        <v>11.313700000000001</v>
      </c>
      <c r="C5569">
        <v>1.0520289999999999E-3</v>
      </c>
    </row>
    <row r="5570" spans="1:3" x14ac:dyDescent="0.15">
      <c r="A5570" t="s">
        <v>1025</v>
      </c>
      <c r="B5570">
        <v>16</v>
      </c>
      <c r="C5570">
        <v>9.3072100000000002E-4</v>
      </c>
    </row>
    <row r="5571" spans="1:3" x14ac:dyDescent="0.15">
      <c r="A5571" t="s">
        <v>1025</v>
      </c>
      <c r="B5571">
        <v>22.627400000000002</v>
      </c>
      <c r="C5571">
        <v>7.8715800000000004E-4</v>
      </c>
    </row>
    <row r="5572" spans="1:3" x14ac:dyDescent="0.15">
      <c r="A5572" t="s">
        <v>1025</v>
      </c>
      <c r="B5572">
        <v>32</v>
      </c>
      <c r="C5572">
        <v>6.2244500000000001E-4</v>
      </c>
    </row>
    <row r="5573" spans="1:3" x14ac:dyDescent="0.15">
      <c r="A5573" t="s">
        <v>1025</v>
      </c>
      <c r="B5573">
        <v>45.254800000000003</v>
      </c>
      <c r="C5573">
        <v>5.2073699999999996E-4</v>
      </c>
    </row>
    <row r="5574" spans="1:3" x14ac:dyDescent="0.15">
      <c r="A5574" t="s">
        <v>1025</v>
      </c>
      <c r="B5574">
        <v>64</v>
      </c>
      <c r="C5574">
        <v>4.51209E-4</v>
      </c>
    </row>
    <row r="5575" spans="1:3" x14ac:dyDescent="0.15">
      <c r="A5575" t="s">
        <v>1025</v>
      </c>
      <c r="B5575">
        <v>90.509699999999995</v>
      </c>
      <c r="C5575">
        <v>3.4071399999999999E-4</v>
      </c>
    </row>
    <row r="5576" spans="1:3" x14ac:dyDescent="0.15">
      <c r="A5576" t="s">
        <v>1025</v>
      </c>
      <c r="B5576">
        <v>128</v>
      </c>
      <c r="C5576">
        <v>2.85238E-4</v>
      </c>
    </row>
    <row r="5577" spans="1:3" x14ac:dyDescent="0.15">
      <c r="A5577" t="s">
        <v>1025</v>
      </c>
      <c r="B5577">
        <v>181.01929999999999</v>
      </c>
      <c r="C5577">
        <v>1.4489099999999999E-4</v>
      </c>
    </row>
    <row r="5578" spans="1:3" x14ac:dyDescent="0.15">
      <c r="A5578" t="s">
        <v>1025</v>
      </c>
      <c r="B5578">
        <v>256</v>
      </c>
      <c r="C5578">
        <v>2.2381000000000001E-5</v>
      </c>
    </row>
    <row r="5579" spans="1:3" x14ac:dyDescent="0.15">
      <c r="A5579" t="s">
        <v>1025</v>
      </c>
      <c r="B5579">
        <v>362.03870000000001</v>
      </c>
      <c r="C5579">
        <v>4.1800000000000001E-7</v>
      </c>
    </row>
    <row r="5580" spans="1:3" x14ac:dyDescent="0.15">
      <c r="A5580" t="s">
        <v>1025</v>
      </c>
      <c r="B5580">
        <v>512</v>
      </c>
      <c r="C5580">
        <v>0</v>
      </c>
    </row>
    <row r="5581" spans="1:3" x14ac:dyDescent="0.15">
      <c r="A5581" t="s">
        <v>1025</v>
      </c>
      <c r="B5581">
        <v>724.07730000000004</v>
      </c>
      <c r="C5581">
        <v>0</v>
      </c>
    </row>
    <row r="5582" spans="1:3" x14ac:dyDescent="0.15">
      <c r="A5582" t="s">
        <v>1026</v>
      </c>
      <c r="B5582">
        <v>2</v>
      </c>
      <c r="C5582">
        <v>7.8430299999999998E-4</v>
      </c>
    </row>
    <row r="5583" spans="1:3" x14ac:dyDescent="0.15">
      <c r="A5583" t="s">
        <v>1026</v>
      </c>
      <c r="B5583">
        <v>2.8283999999999998</v>
      </c>
      <c r="C5583">
        <v>1.00034E-3</v>
      </c>
    </row>
    <row r="5584" spans="1:3" x14ac:dyDescent="0.15">
      <c r="A5584" t="s">
        <v>1026</v>
      </c>
      <c r="B5584">
        <v>4</v>
      </c>
      <c r="C5584">
        <v>1.1376509999999999E-3</v>
      </c>
    </row>
    <row r="5585" spans="1:3" x14ac:dyDescent="0.15">
      <c r="A5585" t="s">
        <v>1026</v>
      </c>
      <c r="B5585">
        <v>5.6569000000000003</v>
      </c>
      <c r="C5585">
        <v>9.3881399999999995E-4</v>
      </c>
    </row>
    <row r="5586" spans="1:3" x14ac:dyDescent="0.15">
      <c r="A5586" t="s">
        <v>1026</v>
      </c>
      <c r="B5586">
        <v>8</v>
      </c>
      <c r="C5586">
        <v>7.92802E-4</v>
      </c>
    </row>
    <row r="5587" spans="1:3" x14ac:dyDescent="0.15">
      <c r="A5587" t="s">
        <v>1026</v>
      </c>
      <c r="B5587">
        <v>11.313700000000001</v>
      </c>
      <c r="C5587">
        <v>8.20724E-4</v>
      </c>
    </row>
    <row r="5588" spans="1:3" x14ac:dyDescent="0.15">
      <c r="A5588" t="s">
        <v>1026</v>
      </c>
      <c r="B5588">
        <v>16</v>
      </c>
      <c r="C5588">
        <v>8.5406000000000002E-4</v>
      </c>
    </row>
    <row r="5589" spans="1:3" x14ac:dyDescent="0.15">
      <c r="A5589" t="s">
        <v>1026</v>
      </c>
      <c r="B5589">
        <v>22.627400000000002</v>
      </c>
      <c r="C5589">
        <v>8.5704100000000001E-4</v>
      </c>
    </row>
    <row r="5590" spans="1:3" x14ac:dyDescent="0.15">
      <c r="A5590" t="s">
        <v>1026</v>
      </c>
      <c r="B5590">
        <v>32</v>
      </c>
      <c r="C5590">
        <v>1.0365260000000001E-3</v>
      </c>
    </row>
    <row r="5591" spans="1:3" x14ac:dyDescent="0.15">
      <c r="A5591" t="s">
        <v>1026</v>
      </c>
      <c r="B5591">
        <v>45.254800000000003</v>
      </c>
      <c r="C5591">
        <v>1.2825530000000001E-3</v>
      </c>
    </row>
    <row r="5592" spans="1:3" x14ac:dyDescent="0.15">
      <c r="A5592" t="s">
        <v>1026</v>
      </c>
      <c r="B5592">
        <v>64</v>
      </c>
      <c r="C5592">
        <v>1.164184E-3</v>
      </c>
    </row>
    <row r="5593" spans="1:3" x14ac:dyDescent="0.15">
      <c r="A5593" t="s">
        <v>1026</v>
      </c>
      <c r="B5593">
        <v>90.509699999999995</v>
      </c>
      <c r="C5593">
        <v>6.6970699999999996E-4</v>
      </c>
    </row>
    <row r="5594" spans="1:3" x14ac:dyDescent="0.15">
      <c r="A5594" t="s">
        <v>1026</v>
      </c>
      <c r="B5594">
        <v>128</v>
      </c>
      <c r="C5594">
        <v>4.41531E-4</v>
      </c>
    </row>
    <row r="5595" spans="1:3" x14ac:dyDescent="0.15">
      <c r="A5595" t="s">
        <v>1026</v>
      </c>
      <c r="B5595">
        <v>181.01929999999999</v>
      </c>
      <c r="C5595">
        <v>2.25467E-4</v>
      </c>
    </row>
    <row r="5596" spans="1:3" x14ac:dyDescent="0.15">
      <c r="A5596" t="s">
        <v>1026</v>
      </c>
      <c r="B5596">
        <v>256</v>
      </c>
      <c r="C5596">
        <v>3.4792999999999997E-5</v>
      </c>
    </row>
    <row r="5597" spans="1:3" x14ac:dyDescent="0.15">
      <c r="A5597" t="s">
        <v>1026</v>
      </c>
      <c r="B5597">
        <v>362.03870000000001</v>
      </c>
      <c r="C5597">
        <v>6.4899999999999995E-7</v>
      </c>
    </row>
    <row r="5598" spans="1:3" x14ac:dyDescent="0.15">
      <c r="A5598" t="s">
        <v>1026</v>
      </c>
      <c r="B5598">
        <v>512</v>
      </c>
      <c r="C5598">
        <v>0</v>
      </c>
    </row>
    <row r="5599" spans="1:3" x14ac:dyDescent="0.15">
      <c r="A5599" t="s">
        <v>1026</v>
      </c>
      <c r="B5599">
        <v>724.07730000000004</v>
      </c>
      <c r="C5599">
        <v>0</v>
      </c>
    </row>
    <row r="5600" spans="1:3" x14ac:dyDescent="0.15">
      <c r="A5600" t="s">
        <v>1027</v>
      </c>
      <c r="B5600">
        <v>2</v>
      </c>
      <c r="C5600">
        <v>2.3983350000000001E-3</v>
      </c>
    </row>
    <row r="5601" spans="1:3" x14ac:dyDescent="0.15">
      <c r="A5601" t="s">
        <v>1027</v>
      </c>
      <c r="B5601">
        <v>2.8283999999999998</v>
      </c>
      <c r="C5601">
        <v>2.5502089999999999E-3</v>
      </c>
    </row>
    <row r="5602" spans="1:3" x14ac:dyDescent="0.15">
      <c r="A5602" t="s">
        <v>1027</v>
      </c>
      <c r="B5602">
        <v>4</v>
      </c>
      <c r="C5602">
        <v>2.3543349999999999E-3</v>
      </c>
    </row>
    <row r="5603" spans="1:3" x14ac:dyDescent="0.15">
      <c r="A5603" t="s">
        <v>1027</v>
      </c>
      <c r="B5603">
        <v>5.6569000000000003</v>
      </c>
      <c r="C5603">
        <v>1.713078E-3</v>
      </c>
    </row>
    <row r="5604" spans="1:3" x14ac:dyDescent="0.15">
      <c r="A5604" t="s">
        <v>1027</v>
      </c>
      <c r="B5604">
        <v>8</v>
      </c>
      <c r="C5604">
        <v>1.1947559999999999E-3</v>
      </c>
    </row>
    <row r="5605" spans="1:3" x14ac:dyDescent="0.15">
      <c r="A5605" t="s">
        <v>1027</v>
      </c>
      <c r="B5605">
        <v>11.313700000000001</v>
      </c>
      <c r="C5605">
        <v>9.4466899999999998E-4</v>
      </c>
    </row>
    <row r="5606" spans="1:3" x14ac:dyDescent="0.15">
      <c r="A5606" t="s">
        <v>1027</v>
      </c>
      <c r="B5606">
        <v>16</v>
      </c>
      <c r="C5606">
        <v>8.58707E-4</v>
      </c>
    </row>
    <row r="5607" spans="1:3" x14ac:dyDescent="0.15">
      <c r="A5607" t="s">
        <v>1027</v>
      </c>
      <c r="B5607">
        <v>22.627400000000002</v>
      </c>
      <c r="C5607">
        <v>1.0146879999999999E-3</v>
      </c>
    </row>
    <row r="5608" spans="1:3" x14ac:dyDescent="0.15">
      <c r="A5608" t="s">
        <v>1027</v>
      </c>
      <c r="B5608">
        <v>32</v>
      </c>
      <c r="C5608">
        <v>1.233589E-3</v>
      </c>
    </row>
    <row r="5609" spans="1:3" x14ac:dyDescent="0.15">
      <c r="A5609" t="s">
        <v>1027</v>
      </c>
      <c r="B5609">
        <v>45.254800000000003</v>
      </c>
      <c r="C5609">
        <v>1.4409729999999999E-3</v>
      </c>
    </row>
    <row r="5610" spans="1:3" x14ac:dyDescent="0.15">
      <c r="A5610" t="s">
        <v>1027</v>
      </c>
      <c r="B5610">
        <v>64</v>
      </c>
      <c r="C5610">
        <v>1.798184E-3</v>
      </c>
    </row>
    <row r="5611" spans="1:3" x14ac:dyDescent="0.15">
      <c r="A5611" t="s">
        <v>1027</v>
      </c>
      <c r="B5611">
        <v>90.509699999999995</v>
      </c>
      <c r="C5611">
        <v>2.016431E-3</v>
      </c>
    </row>
    <row r="5612" spans="1:3" x14ac:dyDescent="0.15">
      <c r="A5612" t="s">
        <v>1027</v>
      </c>
      <c r="B5612">
        <v>128</v>
      </c>
      <c r="C5612">
        <v>1.7707389999999999E-3</v>
      </c>
    </row>
    <row r="5613" spans="1:3" x14ac:dyDescent="0.15">
      <c r="A5613" t="s">
        <v>1027</v>
      </c>
      <c r="B5613">
        <v>181.01929999999999</v>
      </c>
      <c r="C5613">
        <v>8.7923799999999996E-4</v>
      </c>
    </row>
    <row r="5614" spans="1:3" x14ac:dyDescent="0.15">
      <c r="A5614" t="s">
        <v>1027</v>
      </c>
      <c r="B5614">
        <v>256</v>
      </c>
      <c r="C5614">
        <v>1.35365E-4</v>
      </c>
    </row>
    <row r="5615" spans="1:3" x14ac:dyDescent="0.15">
      <c r="A5615" t="s">
        <v>1027</v>
      </c>
      <c r="B5615">
        <v>362.03870000000001</v>
      </c>
      <c r="C5615">
        <v>2.526E-6</v>
      </c>
    </row>
    <row r="5616" spans="1:3" x14ac:dyDescent="0.15">
      <c r="A5616" t="s">
        <v>1027</v>
      </c>
      <c r="B5616">
        <v>512</v>
      </c>
      <c r="C5616">
        <v>2.0000000000000001E-9</v>
      </c>
    </row>
    <row r="5617" spans="1:3" x14ac:dyDescent="0.15">
      <c r="A5617" t="s">
        <v>1027</v>
      </c>
      <c r="B5617">
        <v>724.07730000000004</v>
      </c>
      <c r="C5617">
        <v>0</v>
      </c>
    </row>
    <row r="5618" spans="1:3" x14ac:dyDescent="0.15">
      <c r="A5618" t="s">
        <v>1028</v>
      </c>
      <c r="B5618">
        <v>2</v>
      </c>
      <c r="C5618">
        <v>1.1916749999999999E-3</v>
      </c>
    </row>
    <row r="5619" spans="1:3" x14ac:dyDescent="0.15">
      <c r="A5619" t="s">
        <v>1028</v>
      </c>
      <c r="B5619">
        <v>2.8283999999999998</v>
      </c>
      <c r="C5619">
        <v>1.4259839999999999E-3</v>
      </c>
    </row>
    <row r="5620" spans="1:3" x14ac:dyDescent="0.15">
      <c r="A5620" t="s">
        <v>1028</v>
      </c>
      <c r="B5620">
        <v>4</v>
      </c>
      <c r="C5620">
        <v>1.5757049999999999E-3</v>
      </c>
    </row>
    <row r="5621" spans="1:3" x14ac:dyDescent="0.15">
      <c r="A5621" t="s">
        <v>1028</v>
      </c>
      <c r="B5621">
        <v>5.6569000000000003</v>
      </c>
      <c r="C5621">
        <v>1.5442990000000001E-3</v>
      </c>
    </row>
    <row r="5622" spans="1:3" x14ac:dyDescent="0.15">
      <c r="A5622" t="s">
        <v>1028</v>
      </c>
      <c r="B5622">
        <v>8</v>
      </c>
      <c r="C5622">
        <v>1.4444219999999999E-3</v>
      </c>
    </row>
    <row r="5623" spans="1:3" x14ac:dyDescent="0.15">
      <c r="A5623" t="s">
        <v>1028</v>
      </c>
      <c r="B5623">
        <v>11.313700000000001</v>
      </c>
      <c r="C5623">
        <v>1.433239E-3</v>
      </c>
    </row>
    <row r="5624" spans="1:3" x14ac:dyDescent="0.15">
      <c r="A5624" t="s">
        <v>1028</v>
      </c>
      <c r="B5624">
        <v>16</v>
      </c>
      <c r="C5624">
        <v>1.372081E-3</v>
      </c>
    </row>
    <row r="5625" spans="1:3" x14ac:dyDescent="0.15">
      <c r="A5625" t="s">
        <v>1028</v>
      </c>
      <c r="B5625">
        <v>22.627400000000002</v>
      </c>
      <c r="C5625">
        <v>1.053247E-3</v>
      </c>
    </row>
    <row r="5626" spans="1:3" x14ac:dyDescent="0.15">
      <c r="A5626" t="s">
        <v>1028</v>
      </c>
      <c r="B5626">
        <v>32</v>
      </c>
      <c r="C5626">
        <v>8.9091599999999995E-4</v>
      </c>
    </row>
    <row r="5627" spans="1:3" x14ac:dyDescent="0.15">
      <c r="A5627" t="s">
        <v>1028</v>
      </c>
      <c r="B5627">
        <v>45.254800000000003</v>
      </c>
      <c r="C5627">
        <v>1.061064E-3</v>
      </c>
    </row>
    <row r="5628" spans="1:3" x14ac:dyDescent="0.15">
      <c r="A5628" t="s">
        <v>1028</v>
      </c>
      <c r="B5628">
        <v>64</v>
      </c>
      <c r="C5628">
        <v>1.0178640000000001E-3</v>
      </c>
    </row>
    <row r="5629" spans="1:3" x14ac:dyDescent="0.15">
      <c r="A5629" t="s">
        <v>1028</v>
      </c>
      <c r="B5629">
        <v>90.509699999999995</v>
      </c>
      <c r="C5629">
        <v>6.8194399999999997E-4</v>
      </c>
    </row>
    <row r="5630" spans="1:3" x14ac:dyDescent="0.15">
      <c r="A5630" t="s">
        <v>1028</v>
      </c>
      <c r="B5630">
        <v>128</v>
      </c>
      <c r="C5630">
        <v>5.27171E-4</v>
      </c>
    </row>
    <row r="5631" spans="1:3" x14ac:dyDescent="0.15">
      <c r="A5631" t="s">
        <v>1028</v>
      </c>
      <c r="B5631">
        <v>181.01929999999999</v>
      </c>
      <c r="C5631">
        <v>2.66185E-4</v>
      </c>
    </row>
    <row r="5632" spans="1:3" x14ac:dyDescent="0.15">
      <c r="A5632" t="s">
        <v>1028</v>
      </c>
      <c r="B5632">
        <v>256</v>
      </c>
      <c r="C5632">
        <v>4.0878999999999999E-5</v>
      </c>
    </row>
    <row r="5633" spans="1:3" x14ac:dyDescent="0.15">
      <c r="A5633" t="s">
        <v>1028</v>
      </c>
      <c r="B5633">
        <v>362.03870000000001</v>
      </c>
      <c r="C5633">
        <v>7.6199999999999997E-7</v>
      </c>
    </row>
    <row r="5634" spans="1:3" x14ac:dyDescent="0.15">
      <c r="A5634" t="s">
        <v>1028</v>
      </c>
      <c r="B5634">
        <v>512</v>
      </c>
      <c r="C5634">
        <v>0</v>
      </c>
    </row>
    <row r="5635" spans="1:3" x14ac:dyDescent="0.15">
      <c r="A5635" t="s">
        <v>1028</v>
      </c>
      <c r="B5635">
        <v>724.07730000000004</v>
      </c>
      <c r="C5635">
        <v>0</v>
      </c>
    </row>
    <row r="5636" spans="1:3" x14ac:dyDescent="0.15">
      <c r="A5636" t="s">
        <v>1029</v>
      </c>
      <c r="B5636">
        <v>2</v>
      </c>
      <c r="C5636">
        <v>1.689117E-3</v>
      </c>
    </row>
    <row r="5637" spans="1:3" x14ac:dyDescent="0.15">
      <c r="A5637" t="s">
        <v>1029</v>
      </c>
      <c r="B5637">
        <v>2.8283999999999998</v>
      </c>
      <c r="C5637">
        <v>1.9345950000000001E-3</v>
      </c>
    </row>
    <row r="5638" spans="1:3" x14ac:dyDescent="0.15">
      <c r="A5638" t="s">
        <v>1029</v>
      </c>
      <c r="B5638">
        <v>4</v>
      </c>
      <c r="C5638">
        <v>2.135704E-3</v>
      </c>
    </row>
    <row r="5639" spans="1:3" x14ac:dyDescent="0.15">
      <c r="A5639" t="s">
        <v>1029</v>
      </c>
      <c r="B5639">
        <v>5.6569000000000003</v>
      </c>
      <c r="C5639">
        <v>2.2077210000000002E-3</v>
      </c>
    </row>
    <row r="5640" spans="1:3" x14ac:dyDescent="0.15">
      <c r="A5640" t="s">
        <v>1029</v>
      </c>
      <c r="B5640">
        <v>8</v>
      </c>
      <c r="C5640">
        <v>2.1233929999999999E-3</v>
      </c>
    </row>
    <row r="5641" spans="1:3" x14ac:dyDescent="0.15">
      <c r="A5641" t="s">
        <v>1029</v>
      </c>
      <c r="B5641">
        <v>11.313700000000001</v>
      </c>
      <c r="C5641">
        <v>1.94954E-3</v>
      </c>
    </row>
    <row r="5642" spans="1:3" x14ac:dyDescent="0.15">
      <c r="A5642" t="s">
        <v>1029</v>
      </c>
      <c r="B5642">
        <v>16</v>
      </c>
      <c r="C5642">
        <v>1.7088209999999999E-3</v>
      </c>
    </row>
    <row r="5643" spans="1:3" x14ac:dyDescent="0.15">
      <c r="A5643" t="s">
        <v>1029</v>
      </c>
      <c r="B5643">
        <v>22.627400000000002</v>
      </c>
      <c r="C5643">
        <v>1.349825E-3</v>
      </c>
    </row>
    <row r="5644" spans="1:3" x14ac:dyDescent="0.15">
      <c r="A5644" t="s">
        <v>1029</v>
      </c>
      <c r="B5644">
        <v>32</v>
      </c>
      <c r="C5644">
        <v>8.9717499999999995E-4</v>
      </c>
    </row>
    <row r="5645" spans="1:3" x14ac:dyDescent="0.15">
      <c r="A5645" t="s">
        <v>1029</v>
      </c>
      <c r="B5645">
        <v>45.254800000000003</v>
      </c>
      <c r="C5645">
        <v>7.5529199999999996E-4</v>
      </c>
    </row>
    <row r="5646" spans="1:3" x14ac:dyDescent="0.15">
      <c r="A5646" t="s">
        <v>1029</v>
      </c>
      <c r="B5646">
        <v>64</v>
      </c>
      <c r="C5646">
        <v>7.49159E-4</v>
      </c>
    </row>
    <row r="5647" spans="1:3" x14ac:dyDescent="0.15">
      <c r="A5647" t="s">
        <v>1029</v>
      </c>
      <c r="B5647">
        <v>90.509699999999995</v>
      </c>
      <c r="C5647">
        <v>6.4651400000000005E-4</v>
      </c>
    </row>
    <row r="5648" spans="1:3" x14ac:dyDescent="0.15">
      <c r="A5648" t="s">
        <v>1029</v>
      </c>
      <c r="B5648">
        <v>128</v>
      </c>
      <c r="C5648">
        <v>5.7526699999999997E-4</v>
      </c>
    </row>
    <row r="5649" spans="1:3" x14ac:dyDescent="0.15">
      <c r="A5649" t="s">
        <v>1029</v>
      </c>
      <c r="B5649">
        <v>181.01929999999999</v>
      </c>
      <c r="C5649">
        <v>2.9012999999999999E-4</v>
      </c>
    </row>
    <row r="5650" spans="1:3" x14ac:dyDescent="0.15">
      <c r="A5650" t="s">
        <v>1029</v>
      </c>
      <c r="B5650">
        <v>256</v>
      </c>
      <c r="C5650">
        <v>4.4530000000000002E-5</v>
      </c>
    </row>
    <row r="5651" spans="1:3" x14ac:dyDescent="0.15">
      <c r="A5651" t="s">
        <v>1029</v>
      </c>
      <c r="B5651">
        <v>362.03870000000001</v>
      </c>
      <c r="C5651">
        <v>8.2999999999999999E-7</v>
      </c>
    </row>
    <row r="5652" spans="1:3" x14ac:dyDescent="0.15">
      <c r="A5652" t="s">
        <v>1029</v>
      </c>
      <c r="B5652">
        <v>512</v>
      </c>
      <c r="C5652">
        <v>0</v>
      </c>
    </row>
    <row r="5653" spans="1:3" x14ac:dyDescent="0.15">
      <c r="A5653" t="s">
        <v>1029</v>
      </c>
      <c r="B5653">
        <v>724.07730000000004</v>
      </c>
      <c r="C5653">
        <v>0</v>
      </c>
    </row>
    <row r="5654" spans="1:3" x14ac:dyDescent="0.15">
      <c r="A5654" t="s">
        <v>1030</v>
      </c>
      <c r="B5654">
        <v>2</v>
      </c>
      <c r="C5654">
        <v>1.52783E-3</v>
      </c>
    </row>
    <row r="5655" spans="1:3" x14ac:dyDescent="0.15">
      <c r="A5655" t="s">
        <v>1030</v>
      </c>
      <c r="B5655">
        <v>2.8283999999999998</v>
      </c>
      <c r="C5655">
        <v>1.6854610000000001E-3</v>
      </c>
    </row>
    <row r="5656" spans="1:3" x14ac:dyDescent="0.15">
      <c r="A5656" t="s">
        <v>1030</v>
      </c>
      <c r="B5656">
        <v>4</v>
      </c>
      <c r="C5656">
        <v>1.8710160000000001E-3</v>
      </c>
    </row>
    <row r="5657" spans="1:3" x14ac:dyDescent="0.15">
      <c r="A5657" t="s">
        <v>1030</v>
      </c>
      <c r="B5657">
        <v>5.6569000000000003</v>
      </c>
      <c r="C5657">
        <v>1.7550479999999999E-3</v>
      </c>
    </row>
    <row r="5658" spans="1:3" x14ac:dyDescent="0.15">
      <c r="A5658" t="s">
        <v>1030</v>
      </c>
      <c r="B5658">
        <v>8</v>
      </c>
      <c r="C5658">
        <v>1.4441650000000001E-3</v>
      </c>
    </row>
    <row r="5659" spans="1:3" x14ac:dyDescent="0.15">
      <c r="A5659" t="s">
        <v>1030</v>
      </c>
      <c r="B5659">
        <v>11.313700000000001</v>
      </c>
      <c r="C5659">
        <v>1.242983E-3</v>
      </c>
    </row>
    <row r="5660" spans="1:3" x14ac:dyDescent="0.15">
      <c r="A5660" t="s">
        <v>1030</v>
      </c>
      <c r="B5660">
        <v>16</v>
      </c>
      <c r="C5660">
        <v>9.8917899999999997E-4</v>
      </c>
    </row>
    <row r="5661" spans="1:3" x14ac:dyDescent="0.15">
      <c r="A5661" t="s">
        <v>1030</v>
      </c>
      <c r="B5661">
        <v>22.627400000000002</v>
      </c>
      <c r="C5661">
        <v>1.003419E-3</v>
      </c>
    </row>
    <row r="5662" spans="1:3" x14ac:dyDescent="0.15">
      <c r="A5662" t="s">
        <v>1030</v>
      </c>
      <c r="B5662">
        <v>32</v>
      </c>
      <c r="C5662">
        <v>1.319097E-3</v>
      </c>
    </row>
    <row r="5663" spans="1:3" x14ac:dyDescent="0.15">
      <c r="A5663" t="s">
        <v>1030</v>
      </c>
      <c r="B5663">
        <v>45.254800000000003</v>
      </c>
      <c r="C5663">
        <v>1.4590289999999999E-3</v>
      </c>
    </row>
    <row r="5664" spans="1:3" x14ac:dyDescent="0.15">
      <c r="A5664" t="s">
        <v>1030</v>
      </c>
      <c r="B5664">
        <v>64</v>
      </c>
      <c r="C5664">
        <v>1.340709E-3</v>
      </c>
    </row>
    <row r="5665" spans="1:3" x14ac:dyDescent="0.15">
      <c r="A5665" t="s">
        <v>1030</v>
      </c>
      <c r="B5665">
        <v>90.509699999999995</v>
      </c>
      <c r="C5665">
        <v>1.092546E-3</v>
      </c>
    </row>
    <row r="5666" spans="1:3" x14ac:dyDescent="0.15">
      <c r="A5666" t="s">
        <v>1030</v>
      </c>
      <c r="B5666">
        <v>128</v>
      </c>
      <c r="C5666">
        <v>7.3257900000000002E-4</v>
      </c>
    </row>
    <row r="5667" spans="1:3" x14ac:dyDescent="0.15">
      <c r="A5667" t="s">
        <v>1030</v>
      </c>
      <c r="B5667">
        <v>181.01929999999999</v>
      </c>
      <c r="C5667">
        <v>3.3674300000000002E-4</v>
      </c>
    </row>
    <row r="5668" spans="1:3" x14ac:dyDescent="0.15">
      <c r="A5668" t="s">
        <v>1030</v>
      </c>
      <c r="B5668">
        <v>256</v>
      </c>
      <c r="C5668">
        <v>5.1413999999999999E-5</v>
      </c>
    </row>
    <row r="5669" spans="1:3" x14ac:dyDescent="0.15">
      <c r="A5669" t="s">
        <v>1030</v>
      </c>
      <c r="B5669">
        <v>362.03870000000001</v>
      </c>
      <c r="C5669">
        <v>9.5900000000000005E-7</v>
      </c>
    </row>
    <row r="5670" spans="1:3" x14ac:dyDescent="0.15">
      <c r="A5670" t="s">
        <v>1030</v>
      </c>
      <c r="B5670">
        <v>512</v>
      </c>
      <c r="C5670">
        <v>0</v>
      </c>
    </row>
    <row r="5671" spans="1:3" x14ac:dyDescent="0.15">
      <c r="A5671" t="s">
        <v>1030</v>
      </c>
      <c r="B5671">
        <v>724.07730000000004</v>
      </c>
      <c r="C5671">
        <v>0</v>
      </c>
    </row>
    <row r="5672" spans="1:3" x14ac:dyDescent="0.15">
      <c r="A5672" t="s">
        <v>1031</v>
      </c>
      <c r="B5672">
        <v>2</v>
      </c>
      <c r="C5672">
        <v>2.0662760000000001E-3</v>
      </c>
    </row>
    <row r="5673" spans="1:3" x14ac:dyDescent="0.15">
      <c r="A5673" t="s">
        <v>1031</v>
      </c>
      <c r="B5673">
        <v>2.8283999999999998</v>
      </c>
      <c r="C5673">
        <v>2.1042370000000001E-3</v>
      </c>
    </row>
    <row r="5674" spans="1:3" x14ac:dyDescent="0.15">
      <c r="A5674" t="s">
        <v>1031</v>
      </c>
      <c r="B5674">
        <v>4</v>
      </c>
      <c r="C5674">
        <v>2.2079090000000001E-3</v>
      </c>
    </row>
    <row r="5675" spans="1:3" x14ac:dyDescent="0.15">
      <c r="A5675" t="s">
        <v>1031</v>
      </c>
      <c r="B5675">
        <v>5.6569000000000003</v>
      </c>
      <c r="C5675">
        <v>2.1866490000000001E-3</v>
      </c>
    </row>
    <row r="5676" spans="1:3" x14ac:dyDescent="0.15">
      <c r="A5676" t="s">
        <v>1031</v>
      </c>
      <c r="B5676">
        <v>8</v>
      </c>
      <c r="C5676">
        <v>2.0210739999999999E-3</v>
      </c>
    </row>
    <row r="5677" spans="1:3" x14ac:dyDescent="0.15">
      <c r="A5677" t="s">
        <v>1031</v>
      </c>
      <c r="B5677">
        <v>11.313700000000001</v>
      </c>
      <c r="C5677">
        <v>1.8292320000000001E-3</v>
      </c>
    </row>
    <row r="5678" spans="1:3" x14ac:dyDescent="0.15">
      <c r="A5678" t="s">
        <v>1031</v>
      </c>
      <c r="B5678">
        <v>16</v>
      </c>
      <c r="C5678">
        <v>1.6144670000000001E-3</v>
      </c>
    </row>
    <row r="5679" spans="1:3" x14ac:dyDescent="0.15">
      <c r="A5679" t="s">
        <v>1031</v>
      </c>
      <c r="B5679">
        <v>22.627400000000002</v>
      </c>
      <c r="C5679">
        <v>1.2844359999999999E-3</v>
      </c>
    </row>
    <row r="5680" spans="1:3" x14ac:dyDescent="0.15">
      <c r="A5680" t="s">
        <v>1031</v>
      </c>
      <c r="B5680">
        <v>32</v>
      </c>
      <c r="C5680">
        <v>8.3683100000000001E-4</v>
      </c>
    </row>
    <row r="5681" spans="1:3" x14ac:dyDescent="0.15">
      <c r="A5681" t="s">
        <v>1031</v>
      </c>
      <c r="B5681">
        <v>45.254800000000003</v>
      </c>
      <c r="C5681">
        <v>3.46922E-4</v>
      </c>
    </row>
    <row r="5682" spans="1:3" x14ac:dyDescent="0.15">
      <c r="A5682" t="s">
        <v>1031</v>
      </c>
      <c r="B5682">
        <v>64</v>
      </c>
      <c r="C5682">
        <v>1.75833E-4</v>
      </c>
    </row>
    <row r="5683" spans="1:3" x14ac:dyDescent="0.15">
      <c r="A5683" t="s">
        <v>1031</v>
      </c>
      <c r="B5683">
        <v>90.509699999999995</v>
      </c>
      <c r="C5683">
        <v>9.2276999999999998E-5</v>
      </c>
    </row>
    <row r="5684" spans="1:3" x14ac:dyDescent="0.15">
      <c r="A5684" t="s">
        <v>1031</v>
      </c>
      <c r="B5684">
        <v>128</v>
      </c>
      <c r="C5684">
        <v>1.4215E-5</v>
      </c>
    </row>
    <row r="5685" spans="1:3" x14ac:dyDescent="0.15">
      <c r="A5685" t="s">
        <v>1031</v>
      </c>
      <c r="B5685">
        <v>181.01929999999999</v>
      </c>
      <c r="C5685">
        <v>2.65E-7</v>
      </c>
    </row>
    <row r="5686" spans="1:3" x14ac:dyDescent="0.15">
      <c r="A5686" t="s">
        <v>1031</v>
      </c>
      <c r="B5686">
        <v>256</v>
      </c>
      <c r="C5686">
        <v>0</v>
      </c>
    </row>
    <row r="5687" spans="1:3" x14ac:dyDescent="0.15">
      <c r="A5687" t="s">
        <v>1031</v>
      </c>
      <c r="B5687">
        <v>362.03870000000001</v>
      </c>
      <c r="C5687">
        <v>0</v>
      </c>
    </row>
    <row r="5688" spans="1:3" x14ac:dyDescent="0.15">
      <c r="A5688" t="s">
        <v>1031</v>
      </c>
      <c r="B5688">
        <v>512</v>
      </c>
      <c r="C5688">
        <v>0</v>
      </c>
    </row>
    <row r="5689" spans="1:3" x14ac:dyDescent="0.15">
      <c r="A5689" t="s">
        <v>1031</v>
      </c>
      <c r="B5689">
        <v>724.07730000000004</v>
      </c>
      <c r="C5689">
        <v>0</v>
      </c>
    </row>
    <row r="5690" spans="1:3" x14ac:dyDescent="0.15">
      <c r="A5690" t="s">
        <v>1032</v>
      </c>
      <c r="B5690">
        <v>2</v>
      </c>
      <c r="C5690">
        <v>2.5758230000000001E-3</v>
      </c>
    </row>
    <row r="5691" spans="1:3" x14ac:dyDescent="0.15">
      <c r="A5691" t="s">
        <v>1032</v>
      </c>
      <c r="B5691">
        <v>2.8283999999999998</v>
      </c>
      <c r="C5691">
        <v>2.589675E-3</v>
      </c>
    </row>
    <row r="5692" spans="1:3" x14ac:dyDescent="0.15">
      <c r="A5692" t="s">
        <v>1032</v>
      </c>
      <c r="B5692">
        <v>4</v>
      </c>
      <c r="C5692">
        <v>2.3750249999999998E-3</v>
      </c>
    </row>
    <row r="5693" spans="1:3" x14ac:dyDescent="0.15">
      <c r="A5693" t="s">
        <v>1032</v>
      </c>
      <c r="B5693">
        <v>5.6569000000000003</v>
      </c>
      <c r="C5693">
        <v>1.9417379999999999E-3</v>
      </c>
    </row>
    <row r="5694" spans="1:3" x14ac:dyDescent="0.15">
      <c r="A5694" t="s">
        <v>1032</v>
      </c>
      <c r="B5694">
        <v>8</v>
      </c>
      <c r="C5694">
        <v>1.521566E-3</v>
      </c>
    </row>
    <row r="5695" spans="1:3" x14ac:dyDescent="0.15">
      <c r="A5695" t="s">
        <v>1032</v>
      </c>
      <c r="B5695">
        <v>11.313700000000001</v>
      </c>
      <c r="C5695">
        <v>1.2242519999999999E-3</v>
      </c>
    </row>
    <row r="5696" spans="1:3" x14ac:dyDescent="0.15">
      <c r="A5696" t="s">
        <v>1032</v>
      </c>
      <c r="B5696">
        <v>16</v>
      </c>
      <c r="C5696">
        <v>1.0009000000000001E-3</v>
      </c>
    </row>
    <row r="5697" spans="1:3" x14ac:dyDescent="0.15">
      <c r="A5697" t="s">
        <v>1032</v>
      </c>
      <c r="B5697">
        <v>22.627400000000002</v>
      </c>
      <c r="C5697">
        <v>7.8469900000000003E-4</v>
      </c>
    </row>
    <row r="5698" spans="1:3" x14ac:dyDescent="0.15">
      <c r="A5698" t="s">
        <v>1032</v>
      </c>
      <c r="B5698">
        <v>32</v>
      </c>
      <c r="C5698">
        <v>6.3560699999999995E-4</v>
      </c>
    </row>
    <row r="5699" spans="1:3" x14ac:dyDescent="0.15">
      <c r="A5699" t="s">
        <v>1032</v>
      </c>
      <c r="B5699">
        <v>45.254800000000003</v>
      </c>
      <c r="C5699">
        <v>7.4634699999999996E-4</v>
      </c>
    </row>
    <row r="5700" spans="1:3" x14ac:dyDescent="0.15">
      <c r="A5700" t="s">
        <v>1032</v>
      </c>
      <c r="B5700">
        <v>64</v>
      </c>
      <c r="C5700">
        <v>7.4715299999999997E-4</v>
      </c>
    </row>
    <row r="5701" spans="1:3" x14ac:dyDescent="0.15">
      <c r="A5701" t="s">
        <v>1032</v>
      </c>
      <c r="B5701">
        <v>90.509699999999995</v>
      </c>
      <c r="C5701">
        <v>3.7783899999999999E-4</v>
      </c>
    </row>
    <row r="5702" spans="1:3" x14ac:dyDescent="0.15">
      <c r="A5702" t="s">
        <v>1032</v>
      </c>
      <c r="B5702">
        <v>128</v>
      </c>
      <c r="C5702">
        <v>5.7989000000000003E-5</v>
      </c>
    </row>
    <row r="5703" spans="1:3" x14ac:dyDescent="0.15">
      <c r="A5703" t="s">
        <v>1032</v>
      </c>
      <c r="B5703">
        <v>181.01929999999999</v>
      </c>
      <c r="C5703">
        <v>1.0809999999999999E-6</v>
      </c>
    </row>
    <row r="5704" spans="1:3" x14ac:dyDescent="0.15">
      <c r="A5704" t="s">
        <v>1032</v>
      </c>
      <c r="B5704">
        <v>256</v>
      </c>
      <c r="C5704">
        <v>0</v>
      </c>
    </row>
    <row r="5705" spans="1:3" x14ac:dyDescent="0.15">
      <c r="A5705" t="s">
        <v>1032</v>
      </c>
      <c r="B5705">
        <v>362.03870000000001</v>
      </c>
      <c r="C5705">
        <v>0</v>
      </c>
    </row>
    <row r="5706" spans="1:3" x14ac:dyDescent="0.15">
      <c r="A5706" t="s">
        <v>1032</v>
      </c>
      <c r="B5706">
        <v>512</v>
      </c>
      <c r="C5706">
        <v>0</v>
      </c>
    </row>
    <row r="5707" spans="1:3" x14ac:dyDescent="0.15">
      <c r="A5707" t="s">
        <v>1032</v>
      </c>
      <c r="B5707">
        <v>724.07730000000004</v>
      </c>
      <c r="C5707">
        <v>0</v>
      </c>
    </row>
    <row r="5708" spans="1:3" x14ac:dyDescent="0.15">
      <c r="A5708" t="s">
        <v>1033</v>
      </c>
      <c r="B5708">
        <v>2</v>
      </c>
      <c r="C5708">
        <v>5.13661E-4</v>
      </c>
    </row>
    <row r="5709" spans="1:3" x14ac:dyDescent="0.15">
      <c r="A5709" t="s">
        <v>1033</v>
      </c>
      <c r="B5709">
        <v>2.8283999999999998</v>
      </c>
      <c r="C5709">
        <v>5.6413399999999999E-4</v>
      </c>
    </row>
    <row r="5710" spans="1:3" x14ac:dyDescent="0.15">
      <c r="A5710" t="s">
        <v>1033</v>
      </c>
      <c r="B5710">
        <v>4</v>
      </c>
      <c r="C5710">
        <v>5.9754299999999997E-4</v>
      </c>
    </row>
    <row r="5711" spans="1:3" x14ac:dyDescent="0.15">
      <c r="A5711" t="s">
        <v>1033</v>
      </c>
      <c r="B5711">
        <v>5.6569000000000003</v>
      </c>
      <c r="C5711">
        <v>5.6728200000000001E-4</v>
      </c>
    </row>
    <row r="5712" spans="1:3" x14ac:dyDescent="0.15">
      <c r="A5712" t="s">
        <v>1033</v>
      </c>
      <c r="B5712">
        <v>8</v>
      </c>
      <c r="C5712">
        <v>5.2394500000000005E-4</v>
      </c>
    </row>
    <row r="5713" spans="1:3" x14ac:dyDescent="0.15">
      <c r="A5713" t="s">
        <v>1033</v>
      </c>
      <c r="B5713">
        <v>11.313700000000001</v>
      </c>
      <c r="C5713">
        <v>5.1270799999999996E-4</v>
      </c>
    </row>
    <row r="5714" spans="1:3" x14ac:dyDescent="0.15">
      <c r="A5714" t="s">
        <v>1033</v>
      </c>
      <c r="B5714">
        <v>16</v>
      </c>
      <c r="C5714">
        <v>4.7513699999999999E-4</v>
      </c>
    </row>
    <row r="5715" spans="1:3" x14ac:dyDescent="0.15">
      <c r="A5715" t="s">
        <v>1033</v>
      </c>
      <c r="B5715">
        <v>22.627400000000002</v>
      </c>
      <c r="C5715">
        <v>3.7914200000000001E-4</v>
      </c>
    </row>
    <row r="5716" spans="1:3" x14ac:dyDescent="0.15">
      <c r="A5716" t="s">
        <v>1033</v>
      </c>
      <c r="B5716">
        <v>32</v>
      </c>
      <c r="C5716">
        <v>2.6355299999999998E-4</v>
      </c>
    </row>
    <row r="5717" spans="1:3" x14ac:dyDescent="0.15">
      <c r="A5717" t="s">
        <v>1033</v>
      </c>
      <c r="B5717">
        <v>45.254800000000003</v>
      </c>
      <c r="C5717">
        <v>1.5996700000000001E-4</v>
      </c>
    </row>
    <row r="5718" spans="1:3" x14ac:dyDescent="0.15">
      <c r="A5718" t="s">
        <v>1033</v>
      </c>
      <c r="B5718">
        <v>64</v>
      </c>
      <c r="C5718">
        <v>1.12007E-4</v>
      </c>
    </row>
    <row r="5719" spans="1:3" x14ac:dyDescent="0.15">
      <c r="A5719" t="s">
        <v>1033</v>
      </c>
      <c r="B5719">
        <v>90.509699999999995</v>
      </c>
      <c r="C5719">
        <v>9.6831999999999997E-5</v>
      </c>
    </row>
    <row r="5720" spans="1:3" x14ac:dyDescent="0.15">
      <c r="A5720" t="s">
        <v>1033</v>
      </c>
      <c r="B5720">
        <v>128</v>
      </c>
      <c r="C5720">
        <v>8.3877999999999999E-5</v>
      </c>
    </row>
    <row r="5721" spans="1:3" x14ac:dyDescent="0.15">
      <c r="A5721" t="s">
        <v>1033</v>
      </c>
      <c r="B5721">
        <v>181.01929999999999</v>
      </c>
      <c r="C5721">
        <v>4.2555000000000002E-5</v>
      </c>
    </row>
    <row r="5722" spans="1:3" x14ac:dyDescent="0.15">
      <c r="A5722" t="s">
        <v>1033</v>
      </c>
      <c r="B5722">
        <v>256</v>
      </c>
      <c r="C5722">
        <v>6.5699999999999998E-6</v>
      </c>
    </row>
    <row r="5723" spans="1:3" x14ac:dyDescent="0.15">
      <c r="A5723" t="s">
        <v>1033</v>
      </c>
      <c r="B5723">
        <v>362.03870000000001</v>
      </c>
      <c r="C5723">
        <v>1.23E-7</v>
      </c>
    </row>
    <row r="5724" spans="1:3" x14ac:dyDescent="0.15">
      <c r="A5724" t="s">
        <v>1033</v>
      </c>
      <c r="B5724">
        <v>512</v>
      </c>
      <c r="C5724">
        <v>0</v>
      </c>
    </row>
    <row r="5725" spans="1:3" x14ac:dyDescent="0.15">
      <c r="A5725" t="s">
        <v>1033</v>
      </c>
      <c r="B5725">
        <v>724.07730000000004</v>
      </c>
      <c r="C5725">
        <v>0</v>
      </c>
    </row>
    <row r="5726" spans="1:3" x14ac:dyDescent="0.15">
      <c r="A5726" t="s">
        <v>1034</v>
      </c>
      <c r="B5726">
        <v>2</v>
      </c>
      <c r="C5726">
        <v>8.1068000000000004E-4</v>
      </c>
    </row>
    <row r="5727" spans="1:3" x14ac:dyDescent="0.15">
      <c r="A5727" t="s">
        <v>1034</v>
      </c>
      <c r="B5727">
        <v>2.8283999999999998</v>
      </c>
      <c r="C5727">
        <v>9.8873499999999992E-4</v>
      </c>
    </row>
    <row r="5728" spans="1:3" x14ac:dyDescent="0.15">
      <c r="A5728" t="s">
        <v>1034</v>
      </c>
      <c r="B5728">
        <v>4</v>
      </c>
      <c r="C5728">
        <v>1.074106E-3</v>
      </c>
    </row>
    <row r="5729" spans="1:3" x14ac:dyDescent="0.15">
      <c r="A5729" t="s">
        <v>1034</v>
      </c>
      <c r="B5729">
        <v>5.6569000000000003</v>
      </c>
      <c r="C5729">
        <v>9.8185500000000001E-4</v>
      </c>
    </row>
    <row r="5730" spans="1:3" x14ac:dyDescent="0.15">
      <c r="A5730" t="s">
        <v>1034</v>
      </c>
      <c r="B5730">
        <v>8</v>
      </c>
      <c r="C5730">
        <v>9.0353999999999999E-4</v>
      </c>
    </row>
    <row r="5731" spans="1:3" x14ac:dyDescent="0.15">
      <c r="A5731" t="s">
        <v>1034</v>
      </c>
      <c r="B5731">
        <v>11.313700000000001</v>
      </c>
      <c r="C5731">
        <v>9.3059100000000004E-4</v>
      </c>
    </row>
    <row r="5732" spans="1:3" x14ac:dyDescent="0.15">
      <c r="A5732" t="s">
        <v>1034</v>
      </c>
      <c r="B5732">
        <v>16</v>
      </c>
      <c r="C5732">
        <v>9.0092700000000004E-4</v>
      </c>
    </row>
    <row r="5733" spans="1:3" x14ac:dyDescent="0.15">
      <c r="A5733" t="s">
        <v>1034</v>
      </c>
      <c r="B5733">
        <v>22.627400000000002</v>
      </c>
      <c r="C5733">
        <v>7.4551000000000001E-4</v>
      </c>
    </row>
    <row r="5734" spans="1:3" x14ac:dyDescent="0.15">
      <c r="A5734" t="s">
        <v>1034</v>
      </c>
      <c r="B5734">
        <v>32</v>
      </c>
      <c r="C5734">
        <v>6.2293099999999996E-4</v>
      </c>
    </row>
    <row r="5735" spans="1:3" x14ac:dyDescent="0.15">
      <c r="A5735" t="s">
        <v>1034</v>
      </c>
      <c r="B5735">
        <v>45.254800000000003</v>
      </c>
      <c r="C5735">
        <v>5.9021099999999999E-4</v>
      </c>
    </row>
    <row r="5736" spans="1:3" x14ac:dyDescent="0.15">
      <c r="A5736" t="s">
        <v>1034</v>
      </c>
      <c r="B5736">
        <v>64</v>
      </c>
      <c r="C5736">
        <v>3.9597100000000001E-4</v>
      </c>
    </row>
    <row r="5737" spans="1:3" x14ac:dyDescent="0.15">
      <c r="A5737" t="s">
        <v>1034</v>
      </c>
      <c r="B5737">
        <v>90.509699999999995</v>
      </c>
      <c r="C5737">
        <v>1.18019E-4</v>
      </c>
    </row>
    <row r="5738" spans="1:3" x14ac:dyDescent="0.15">
      <c r="A5738" t="s">
        <v>1034</v>
      </c>
      <c r="B5738">
        <v>128</v>
      </c>
      <c r="C5738">
        <v>2.8102999999999998E-5</v>
      </c>
    </row>
    <row r="5739" spans="1:3" x14ac:dyDescent="0.15">
      <c r="A5739" t="s">
        <v>1034</v>
      </c>
      <c r="B5739">
        <v>181.01929999999999</v>
      </c>
      <c r="C5739">
        <v>2.37E-5</v>
      </c>
    </row>
    <row r="5740" spans="1:3" x14ac:dyDescent="0.15">
      <c r="A5740" t="s">
        <v>1034</v>
      </c>
      <c r="B5740">
        <v>256</v>
      </c>
      <c r="C5740">
        <v>3.6969999999999999E-6</v>
      </c>
    </row>
    <row r="5741" spans="1:3" x14ac:dyDescent="0.15">
      <c r="A5741" t="s">
        <v>1034</v>
      </c>
      <c r="B5741">
        <v>362.03870000000001</v>
      </c>
      <c r="C5741">
        <v>6.8999999999999996E-8</v>
      </c>
    </row>
    <row r="5742" spans="1:3" x14ac:dyDescent="0.15">
      <c r="A5742" t="s">
        <v>1034</v>
      </c>
      <c r="B5742">
        <v>512</v>
      </c>
      <c r="C5742">
        <v>0</v>
      </c>
    </row>
    <row r="5743" spans="1:3" x14ac:dyDescent="0.15">
      <c r="A5743" t="s">
        <v>1034</v>
      </c>
      <c r="B5743">
        <v>724.07730000000004</v>
      </c>
      <c r="C5743">
        <v>0</v>
      </c>
    </row>
    <row r="5744" spans="1:3" x14ac:dyDescent="0.15">
      <c r="A5744" t="s">
        <v>1035</v>
      </c>
      <c r="B5744">
        <v>2</v>
      </c>
      <c r="C5744">
        <v>1.2437069999999999E-3</v>
      </c>
    </row>
    <row r="5745" spans="1:3" x14ac:dyDescent="0.15">
      <c r="A5745" t="s">
        <v>1035</v>
      </c>
      <c r="B5745">
        <v>2.8283999999999998</v>
      </c>
      <c r="C5745">
        <v>1.577656E-3</v>
      </c>
    </row>
    <row r="5746" spans="1:3" x14ac:dyDescent="0.15">
      <c r="A5746" t="s">
        <v>1035</v>
      </c>
      <c r="B5746">
        <v>4</v>
      </c>
      <c r="C5746">
        <v>1.703577E-3</v>
      </c>
    </row>
    <row r="5747" spans="1:3" x14ac:dyDescent="0.15">
      <c r="A5747" t="s">
        <v>1035</v>
      </c>
      <c r="B5747">
        <v>5.6569000000000003</v>
      </c>
      <c r="C5747">
        <v>1.515743E-3</v>
      </c>
    </row>
    <row r="5748" spans="1:3" x14ac:dyDescent="0.15">
      <c r="A5748" t="s">
        <v>1035</v>
      </c>
      <c r="B5748">
        <v>8</v>
      </c>
      <c r="C5748">
        <v>1.27122E-3</v>
      </c>
    </row>
    <row r="5749" spans="1:3" x14ac:dyDescent="0.15">
      <c r="A5749" t="s">
        <v>1035</v>
      </c>
      <c r="B5749">
        <v>11.313700000000001</v>
      </c>
      <c r="C5749">
        <v>1.145234E-3</v>
      </c>
    </row>
    <row r="5750" spans="1:3" x14ac:dyDescent="0.15">
      <c r="A5750" t="s">
        <v>1035</v>
      </c>
      <c r="B5750">
        <v>16</v>
      </c>
      <c r="C5750">
        <v>9.1193600000000002E-4</v>
      </c>
    </row>
    <row r="5751" spans="1:3" x14ac:dyDescent="0.15">
      <c r="A5751" t="s">
        <v>1035</v>
      </c>
      <c r="B5751">
        <v>22.627400000000002</v>
      </c>
      <c r="C5751">
        <v>8.1214999999999998E-4</v>
      </c>
    </row>
    <row r="5752" spans="1:3" x14ac:dyDescent="0.15">
      <c r="A5752" t="s">
        <v>1035</v>
      </c>
      <c r="B5752">
        <v>32</v>
      </c>
      <c r="C5752">
        <v>9.5080999999999996E-4</v>
      </c>
    </row>
    <row r="5753" spans="1:3" x14ac:dyDescent="0.15">
      <c r="A5753" t="s">
        <v>1035</v>
      </c>
      <c r="B5753">
        <v>45.254800000000003</v>
      </c>
      <c r="C5753">
        <v>1.068463E-3</v>
      </c>
    </row>
    <row r="5754" spans="1:3" x14ac:dyDescent="0.15">
      <c r="A5754" t="s">
        <v>1035</v>
      </c>
      <c r="B5754">
        <v>64</v>
      </c>
      <c r="C5754">
        <v>8.5513199999999998E-4</v>
      </c>
    </row>
    <row r="5755" spans="1:3" x14ac:dyDescent="0.15">
      <c r="A5755" t="s">
        <v>1035</v>
      </c>
      <c r="B5755">
        <v>90.509699999999995</v>
      </c>
      <c r="C5755">
        <v>5.4011900000000004E-4</v>
      </c>
    </row>
    <row r="5756" spans="1:3" x14ac:dyDescent="0.15">
      <c r="A5756" t="s">
        <v>1035</v>
      </c>
      <c r="B5756">
        <v>128</v>
      </c>
      <c r="C5756">
        <v>4.0526599999999999E-4</v>
      </c>
    </row>
    <row r="5757" spans="1:3" x14ac:dyDescent="0.15">
      <c r="A5757" t="s">
        <v>1035</v>
      </c>
      <c r="B5757">
        <v>181.01929999999999</v>
      </c>
      <c r="C5757">
        <v>1.99829E-4</v>
      </c>
    </row>
    <row r="5758" spans="1:3" x14ac:dyDescent="0.15">
      <c r="A5758" t="s">
        <v>1035</v>
      </c>
      <c r="B5758">
        <v>256</v>
      </c>
      <c r="C5758">
        <v>3.0642000000000002E-5</v>
      </c>
    </row>
    <row r="5759" spans="1:3" x14ac:dyDescent="0.15">
      <c r="A5759" t="s">
        <v>1035</v>
      </c>
      <c r="B5759">
        <v>362.03870000000001</v>
      </c>
      <c r="C5759">
        <v>5.7100000000000002E-7</v>
      </c>
    </row>
    <row r="5760" spans="1:3" x14ac:dyDescent="0.15">
      <c r="A5760" t="s">
        <v>1035</v>
      </c>
      <c r="B5760">
        <v>512</v>
      </c>
      <c r="C5760">
        <v>0</v>
      </c>
    </row>
    <row r="5761" spans="1:3" x14ac:dyDescent="0.15">
      <c r="A5761" t="s">
        <v>1035</v>
      </c>
      <c r="B5761">
        <v>724.07730000000004</v>
      </c>
      <c r="C5761">
        <v>0</v>
      </c>
    </row>
    <row r="5762" spans="1:3" x14ac:dyDescent="0.15">
      <c r="A5762" t="s">
        <v>1036</v>
      </c>
      <c r="B5762">
        <v>2</v>
      </c>
      <c r="C5762">
        <v>1.168351E-3</v>
      </c>
    </row>
    <row r="5763" spans="1:3" x14ac:dyDescent="0.15">
      <c r="A5763" t="s">
        <v>1036</v>
      </c>
      <c r="B5763">
        <v>2.8283999999999998</v>
      </c>
      <c r="C5763">
        <v>1.5602890000000001E-3</v>
      </c>
    </row>
    <row r="5764" spans="1:3" x14ac:dyDescent="0.15">
      <c r="A5764" t="s">
        <v>1036</v>
      </c>
      <c r="B5764">
        <v>4</v>
      </c>
      <c r="C5764">
        <v>1.8123600000000001E-3</v>
      </c>
    </row>
    <row r="5765" spans="1:3" x14ac:dyDescent="0.15">
      <c r="A5765" t="s">
        <v>1036</v>
      </c>
      <c r="B5765">
        <v>5.6569000000000003</v>
      </c>
      <c r="C5765">
        <v>1.8124689999999999E-3</v>
      </c>
    </row>
    <row r="5766" spans="1:3" x14ac:dyDescent="0.15">
      <c r="A5766" t="s">
        <v>1036</v>
      </c>
      <c r="B5766">
        <v>8</v>
      </c>
      <c r="C5766">
        <v>1.6090150000000001E-3</v>
      </c>
    </row>
    <row r="5767" spans="1:3" x14ac:dyDescent="0.15">
      <c r="A5767" t="s">
        <v>1036</v>
      </c>
      <c r="B5767">
        <v>11.313700000000001</v>
      </c>
      <c r="C5767">
        <v>1.2430130000000001E-3</v>
      </c>
    </row>
    <row r="5768" spans="1:3" x14ac:dyDescent="0.15">
      <c r="A5768" t="s">
        <v>1036</v>
      </c>
      <c r="B5768">
        <v>16</v>
      </c>
      <c r="C5768">
        <v>8.3622799999999995E-4</v>
      </c>
    </row>
    <row r="5769" spans="1:3" x14ac:dyDescent="0.15">
      <c r="A5769" t="s">
        <v>1036</v>
      </c>
      <c r="B5769">
        <v>22.627400000000002</v>
      </c>
      <c r="C5769">
        <v>5.5347899999999995E-4</v>
      </c>
    </row>
    <row r="5770" spans="1:3" x14ac:dyDescent="0.15">
      <c r="A5770" t="s">
        <v>1036</v>
      </c>
      <c r="B5770">
        <v>32</v>
      </c>
      <c r="C5770">
        <v>3.7789600000000002E-4</v>
      </c>
    </row>
    <row r="5771" spans="1:3" x14ac:dyDescent="0.15">
      <c r="A5771" t="s">
        <v>1036</v>
      </c>
      <c r="B5771">
        <v>45.254800000000003</v>
      </c>
      <c r="C5771">
        <v>3.91116E-4</v>
      </c>
    </row>
    <row r="5772" spans="1:3" x14ac:dyDescent="0.15">
      <c r="A5772" t="s">
        <v>1036</v>
      </c>
      <c r="B5772">
        <v>64</v>
      </c>
      <c r="C5772">
        <v>4.9243300000000002E-4</v>
      </c>
    </row>
    <row r="5773" spans="1:3" x14ac:dyDescent="0.15">
      <c r="A5773" t="s">
        <v>1036</v>
      </c>
      <c r="B5773">
        <v>90.509699999999995</v>
      </c>
      <c r="C5773">
        <v>6.3377099999999999E-4</v>
      </c>
    </row>
    <row r="5774" spans="1:3" x14ac:dyDescent="0.15">
      <c r="A5774" t="s">
        <v>1036</v>
      </c>
      <c r="B5774">
        <v>128</v>
      </c>
      <c r="C5774">
        <v>6.3865799999999996E-4</v>
      </c>
    </row>
    <row r="5775" spans="1:3" x14ac:dyDescent="0.15">
      <c r="A5775" t="s">
        <v>1036</v>
      </c>
      <c r="B5775">
        <v>181.01929999999999</v>
      </c>
      <c r="C5775">
        <v>3.2757199999999999E-4</v>
      </c>
    </row>
    <row r="5776" spans="1:3" x14ac:dyDescent="0.15">
      <c r="A5776" t="s">
        <v>1036</v>
      </c>
      <c r="B5776">
        <v>256</v>
      </c>
      <c r="C5776">
        <v>5.0569999999999999E-5</v>
      </c>
    </row>
    <row r="5777" spans="1:3" x14ac:dyDescent="0.15">
      <c r="A5777" t="s">
        <v>1036</v>
      </c>
      <c r="B5777">
        <v>362.03870000000001</v>
      </c>
      <c r="C5777">
        <v>9.4399999999999998E-7</v>
      </c>
    </row>
    <row r="5778" spans="1:3" x14ac:dyDescent="0.15">
      <c r="A5778" t="s">
        <v>1036</v>
      </c>
      <c r="B5778">
        <v>512</v>
      </c>
      <c r="C5778">
        <v>0</v>
      </c>
    </row>
    <row r="5779" spans="1:3" x14ac:dyDescent="0.15">
      <c r="A5779" t="s">
        <v>1036</v>
      </c>
      <c r="B5779">
        <v>724.07730000000004</v>
      </c>
      <c r="C5779">
        <v>0</v>
      </c>
    </row>
  </sheetData>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4923-A73F-0E46-AD7C-3693D620A7C7}">
  <dimension ref="A1:AI126"/>
  <sheetViews>
    <sheetView topLeftCell="B1" zoomScale="120" zoomScaleNormal="120" workbookViewId="0">
      <pane xSplit="4" ySplit="1" topLeftCell="F2" activePane="bottomRight" state="frozen"/>
      <selection activeCell="B1" sqref="B1"/>
      <selection pane="topRight" activeCell="E1" sqref="E1"/>
      <selection pane="bottomLeft" activeCell="B2" sqref="B2"/>
      <selection pane="bottomRight" activeCell="O19" sqref="O19"/>
    </sheetView>
  </sheetViews>
  <sheetFormatPr baseColWidth="10" defaultRowHeight="13" x14ac:dyDescent="0.15"/>
  <cols>
    <col min="3" max="3" width="14.1640625" customWidth="1"/>
    <col min="4" max="4" width="19.5" bestFit="1" customWidth="1"/>
    <col min="13" max="13" width="12.1640625" customWidth="1"/>
    <col min="14" max="14" width="11.5" customWidth="1"/>
    <col min="16" max="16" width="13.33203125" customWidth="1"/>
    <col min="19" max="19" width="8.83203125" customWidth="1"/>
    <col min="20" max="20" width="12.5" customWidth="1"/>
    <col min="21" max="21" width="12.33203125" customWidth="1"/>
    <col min="23" max="23" width="13.83203125" customWidth="1"/>
    <col min="24" max="24" width="14.33203125" customWidth="1"/>
    <col min="27" max="27" width="12" customWidth="1"/>
    <col min="28" max="28" width="12.83203125" customWidth="1"/>
    <col min="30" max="30" width="13.5" customWidth="1"/>
    <col min="31" max="31" width="18.1640625" customWidth="1"/>
    <col min="32" max="33" width="14.6640625" customWidth="1"/>
  </cols>
  <sheetData>
    <row r="1" spans="1:35" ht="36" x14ac:dyDescent="0.2">
      <c r="A1" s="1" t="s">
        <v>298</v>
      </c>
      <c r="B1" s="1" t="s">
        <v>298</v>
      </c>
      <c r="C1" s="1" t="s">
        <v>341</v>
      </c>
      <c r="D1" s="3" t="s">
        <v>299</v>
      </c>
      <c r="E1" s="1" t="s">
        <v>300</v>
      </c>
      <c r="F1" s="1" t="s">
        <v>301</v>
      </c>
      <c r="G1" s="1" t="s">
        <v>304</v>
      </c>
      <c r="H1" s="1" t="s">
        <v>305</v>
      </c>
      <c r="I1" s="16" t="s">
        <v>306</v>
      </c>
      <c r="J1" s="3" t="s">
        <v>681</v>
      </c>
      <c r="K1" s="3" t="s">
        <v>682</v>
      </c>
      <c r="L1" s="3" t="s">
        <v>683</v>
      </c>
      <c r="M1" s="3" t="s">
        <v>684</v>
      </c>
      <c r="N1" s="3" t="s">
        <v>685</v>
      </c>
      <c r="O1" s="3" t="s">
        <v>686</v>
      </c>
      <c r="P1" s="3" t="s">
        <v>687</v>
      </c>
      <c r="Q1" s="3" t="s">
        <v>688</v>
      </c>
      <c r="R1" s="3" t="s">
        <v>689</v>
      </c>
      <c r="S1" s="3" t="s">
        <v>690</v>
      </c>
      <c r="T1" s="3" t="s">
        <v>691</v>
      </c>
      <c r="U1" s="3" t="s">
        <v>692</v>
      </c>
      <c r="V1" s="3" t="s">
        <v>693</v>
      </c>
      <c r="W1" s="3" t="s">
        <v>694</v>
      </c>
      <c r="X1" s="3" t="s">
        <v>695</v>
      </c>
      <c r="Y1" s="3" t="s">
        <v>696</v>
      </c>
      <c r="Z1" s="3" t="s">
        <v>697</v>
      </c>
      <c r="AA1" s="3" t="s">
        <v>698</v>
      </c>
      <c r="AB1" s="3" t="s">
        <v>699</v>
      </c>
      <c r="AC1" s="3" t="s">
        <v>700</v>
      </c>
      <c r="AD1" s="3" t="s">
        <v>701</v>
      </c>
      <c r="AE1" s="3" t="s">
        <v>702</v>
      </c>
      <c r="AF1" s="3" t="s">
        <v>703</v>
      </c>
      <c r="AG1" s="3" t="s">
        <v>459</v>
      </c>
      <c r="AH1" s="3" t="s">
        <v>0</v>
      </c>
      <c r="AI1" s="3"/>
    </row>
    <row r="2" spans="1:35" ht="16" x14ac:dyDescent="0.2">
      <c r="A2" s="4">
        <v>45824</v>
      </c>
      <c r="B2" s="4">
        <v>45824</v>
      </c>
      <c r="C2" s="4"/>
      <c r="D2" s="5" t="s">
        <v>1</v>
      </c>
      <c r="E2" s="5">
        <v>15</v>
      </c>
      <c r="F2" s="5" t="s">
        <v>2</v>
      </c>
      <c r="G2" s="5" t="s">
        <v>3</v>
      </c>
      <c r="H2" s="5">
        <v>0.9</v>
      </c>
      <c r="I2" s="5">
        <v>36.549999999999997</v>
      </c>
      <c r="J2" s="21"/>
      <c r="K2" s="21"/>
      <c r="L2" s="21"/>
      <c r="M2" s="21"/>
      <c r="N2" s="21"/>
      <c r="O2" s="21"/>
      <c r="P2" s="21"/>
      <c r="Q2" s="21"/>
      <c r="R2" s="21"/>
      <c r="S2" s="21"/>
      <c r="T2" s="21"/>
      <c r="U2" s="21"/>
      <c r="V2" s="21"/>
      <c r="W2" s="21"/>
      <c r="X2" s="21"/>
      <c r="Y2" s="21"/>
      <c r="Z2" s="21"/>
      <c r="AA2" s="21"/>
      <c r="AB2" s="21"/>
      <c r="AC2" s="21"/>
      <c r="AD2" s="21"/>
      <c r="AE2" s="21"/>
      <c r="AF2" s="21"/>
      <c r="AG2" s="21">
        <v>1</v>
      </c>
      <c r="AH2" s="41" t="s">
        <v>619</v>
      </c>
    </row>
    <row r="3" spans="1:35" ht="16" x14ac:dyDescent="0.2">
      <c r="A3" s="4">
        <v>45824</v>
      </c>
      <c r="B3" s="4">
        <v>45824</v>
      </c>
      <c r="C3" s="4"/>
      <c r="D3" s="5" t="s">
        <v>1</v>
      </c>
      <c r="E3" s="5">
        <v>17</v>
      </c>
      <c r="F3" s="5" t="s">
        <v>2</v>
      </c>
      <c r="G3" s="5" t="s">
        <v>5</v>
      </c>
      <c r="H3" s="5">
        <v>1.45</v>
      </c>
      <c r="I3" s="5">
        <v>43.05</v>
      </c>
      <c r="J3" s="22">
        <v>1</v>
      </c>
      <c r="K3" s="22"/>
      <c r="L3" s="22"/>
      <c r="M3" s="22"/>
      <c r="N3" s="22"/>
      <c r="O3" s="22"/>
      <c r="P3" s="22"/>
      <c r="Q3" s="22"/>
      <c r="R3" s="22"/>
      <c r="S3" s="22"/>
      <c r="T3" s="22"/>
      <c r="U3" s="22"/>
      <c r="V3" s="22"/>
      <c r="W3" s="22"/>
      <c r="X3" s="22">
        <v>1</v>
      </c>
      <c r="Y3" s="22"/>
      <c r="Z3" s="22"/>
      <c r="AA3" s="22"/>
      <c r="AB3" s="22">
        <v>1</v>
      </c>
      <c r="AC3" s="22"/>
      <c r="AD3" s="22"/>
      <c r="AE3" s="22"/>
      <c r="AF3" s="22"/>
      <c r="AG3" s="22"/>
      <c r="AH3" s="36" t="s">
        <v>455</v>
      </c>
    </row>
    <row r="4" spans="1:35" ht="16" x14ac:dyDescent="0.2">
      <c r="A4" s="4">
        <v>45824</v>
      </c>
      <c r="B4" s="4">
        <v>45824</v>
      </c>
      <c r="C4" s="4"/>
      <c r="D4" s="5" t="s">
        <v>1</v>
      </c>
      <c r="E4" s="5">
        <v>18</v>
      </c>
      <c r="F4" s="5" t="s">
        <v>2</v>
      </c>
      <c r="G4" s="5" t="s">
        <v>5</v>
      </c>
      <c r="H4" s="5">
        <v>0.8</v>
      </c>
      <c r="I4" s="5">
        <v>34</v>
      </c>
      <c r="J4" s="22"/>
      <c r="K4" s="22"/>
      <c r="L4" s="22"/>
      <c r="M4" s="22"/>
      <c r="N4" s="22"/>
      <c r="O4" s="22">
        <v>1</v>
      </c>
      <c r="P4" s="22"/>
      <c r="Q4" s="22"/>
      <c r="R4" s="22"/>
      <c r="S4" s="22"/>
      <c r="T4" s="22"/>
      <c r="U4" s="22"/>
      <c r="V4" s="22"/>
      <c r="W4" s="22"/>
      <c r="X4" s="22"/>
      <c r="Y4" s="22"/>
      <c r="Z4" s="22"/>
      <c r="AA4" s="22"/>
      <c r="AB4" s="22"/>
      <c r="AC4" s="22"/>
      <c r="AD4" s="22"/>
      <c r="AE4" s="22"/>
      <c r="AF4" s="22"/>
      <c r="AG4" s="22"/>
      <c r="AH4" s="22"/>
    </row>
    <row r="5" spans="1:35" ht="16" x14ac:dyDescent="0.2">
      <c r="A5" s="4">
        <v>45824</v>
      </c>
      <c r="B5" s="4">
        <v>45824</v>
      </c>
      <c r="C5" s="4"/>
      <c r="D5" s="5" t="s">
        <v>1</v>
      </c>
      <c r="E5" s="5">
        <v>20</v>
      </c>
      <c r="F5" s="5" t="s">
        <v>2</v>
      </c>
      <c r="G5" s="5" t="s">
        <v>3</v>
      </c>
      <c r="H5" s="5">
        <v>1.1499999999999999</v>
      </c>
      <c r="I5" s="5">
        <v>39</v>
      </c>
      <c r="J5" s="22">
        <v>1</v>
      </c>
      <c r="K5" s="22"/>
      <c r="L5" s="22"/>
      <c r="M5" s="22"/>
      <c r="N5" s="22"/>
      <c r="O5" s="22"/>
      <c r="P5" s="22"/>
      <c r="Q5" s="22"/>
      <c r="R5" s="22"/>
      <c r="S5" s="22"/>
      <c r="T5" s="22"/>
      <c r="U5" s="22"/>
      <c r="V5" s="22"/>
      <c r="W5" s="22"/>
      <c r="X5" s="22">
        <v>1</v>
      </c>
      <c r="Y5" s="22"/>
      <c r="Z5" s="22"/>
      <c r="AA5" s="22"/>
      <c r="AB5" s="22"/>
      <c r="AC5" s="22"/>
      <c r="AD5" s="22"/>
      <c r="AE5" s="22"/>
      <c r="AF5" s="22"/>
      <c r="AG5" s="22">
        <v>2</v>
      </c>
      <c r="AH5" s="36" t="s">
        <v>618</v>
      </c>
    </row>
    <row r="6" spans="1:35" ht="16" x14ac:dyDescent="0.2">
      <c r="A6" s="4">
        <v>45824</v>
      </c>
      <c r="B6" s="4">
        <v>45824</v>
      </c>
      <c r="C6" s="4"/>
      <c r="D6" s="5" t="s">
        <v>1</v>
      </c>
      <c r="E6" s="5">
        <v>22</v>
      </c>
      <c r="F6" s="5" t="s">
        <v>2</v>
      </c>
      <c r="G6" s="5" t="s">
        <v>3</v>
      </c>
      <c r="H6" s="5">
        <v>1</v>
      </c>
      <c r="I6" s="5">
        <v>36.799999999999997</v>
      </c>
      <c r="J6" s="22">
        <v>1</v>
      </c>
      <c r="K6" s="22"/>
      <c r="L6" s="22"/>
      <c r="M6" s="22">
        <v>4</v>
      </c>
      <c r="N6" s="22"/>
      <c r="O6" s="22">
        <v>1</v>
      </c>
      <c r="P6" s="22"/>
      <c r="Q6" s="22">
        <v>1</v>
      </c>
      <c r="R6" s="22"/>
      <c r="S6" s="22"/>
      <c r="T6" s="22">
        <v>1</v>
      </c>
      <c r="U6" s="22">
        <v>1</v>
      </c>
      <c r="V6" s="22"/>
      <c r="W6" s="22"/>
      <c r="X6" s="22"/>
      <c r="Y6" s="22">
        <v>1</v>
      </c>
      <c r="Z6" s="22"/>
      <c r="AA6" s="22"/>
      <c r="AB6" s="22"/>
      <c r="AC6" s="22"/>
      <c r="AD6" s="22"/>
      <c r="AE6" s="22"/>
      <c r="AF6" s="22"/>
      <c r="AG6" s="22">
        <v>2</v>
      </c>
      <c r="AH6" s="36" t="s">
        <v>617</v>
      </c>
    </row>
    <row r="7" spans="1:35" ht="16" x14ac:dyDescent="0.2">
      <c r="A7" s="4">
        <v>45824</v>
      </c>
      <c r="B7" s="4">
        <v>45824</v>
      </c>
      <c r="C7" s="4"/>
      <c r="D7" s="5" t="s">
        <v>1</v>
      </c>
      <c r="E7" s="5">
        <v>23</v>
      </c>
      <c r="F7" s="5" t="s">
        <v>2</v>
      </c>
      <c r="G7" s="5" t="s">
        <v>5</v>
      </c>
      <c r="H7" s="5">
        <v>0.75</v>
      </c>
      <c r="I7" s="5">
        <v>38.15</v>
      </c>
      <c r="J7" s="22">
        <v>3</v>
      </c>
      <c r="K7" s="22"/>
      <c r="L7" s="22"/>
      <c r="M7" s="22"/>
      <c r="N7" s="22"/>
      <c r="O7" s="22">
        <v>1</v>
      </c>
      <c r="P7" s="22"/>
      <c r="Q7" s="22">
        <v>1</v>
      </c>
      <c r="R7" s="22"/>
      <c r="S7" s="22"/>
      <c r="T7" s="22">
        <v>1</v>
      </c>
      <c r="U7" s="22"/>
      <c r="V7" s="22"/>
      <c r="W7" s="22"/>
      <c r="X7" s="22"/>
      <c r="Y7" s="22"/>
      <c r="Z7" s="22"/>
      <c r="AA7" s="22"/>
      <c r="AB7" s="22"/>
      <c r="AC7" s="22"/>
      <c r="AD7" s="22"/>
      <c r="AE7" s="22"/>
      <c r="AF7" s="22"/>
      <c r="AG7" s="22"/>
      <c r="AH7" s="22"/>
    </row>
    <row r="8" spans="1:35" ht="16" x14ac:dyDescent="0.2">
      <c r="A8" s="4">
        <v>45824</v>
      </c>
      <c r="B8" s="4">
        <v>45824</v>
      </c>
      <c r="C8" s="4"/>
      <c r="D8" s="5" t="s">
        <v>1</v>
      </c>
      <c r="E8" s="5">
        <v>24</v>
      </c>
      <c r="F8" s="5" t="s">
        <v>2</v>
      </c>
      <c r="G8" s="5" t="s">
        <v>3</v>
      </c>
      <c r="H8" s="5">
        <v>1</v>
      </c>
      <c r="I8" s="5">
        <v>36.049999999999997</v>
      </c>
      <c r="J8" s="22"/>
      <c r="K8" s="22"/>
      <c r="L8" s="22"/>
      <c r="M8" s="22"/>
      <c r="N8" s="22"/>
      <c r="O8" s="22"/>
      <c r="P8" s="22"/>
      <c r="Q8" s="22"/>
      <c r="R8" s="22"/>
      <c r="S8" s="22"/>
      <c r="T8" s="22"/>
      <c r="U8" s="22"/>
      <c r="V8" s="22"/>
      <c r="W8" s="22"/>
      <c r="X8" s="22"/>
      <c r="Y8" s="22"/>
      <c r="Z8" s="22"/>
      <c r="AA8" s="22"/>
      <c r="AB8" s="22">
        <v>1</v>
      </c>
      <c r="AC8" s="22"/>
      <c r="AD8" s="22"/>
      <c r="AE8" s="22"/>
      <c r="AF8" s="22"/>
      <c r="AG8" s="22"/>
      <c r="AH8" s="22"/>
    </row>
    <row r="9" spans="1:35" ht="16" x14ac:dyDescent="0.2">
      <c r="A9" s="4">
        <v>45824</v>
      </c>
      <c r="B9" s="4">
        <v>45824</v>
      </c>
      <c r="C9" s="4"/>
      <c r="D9" s="5" t="s">
        <v>1</v>
      </c>
      <c r="E9" s="5">
        <v>25</v>
      </c>
      <c r="F9" s="5" t="s">
        <v>2</v>
      </c>
      <c r="G9" s="5" t="s">
        <v>3</v>
      </c>
      <c r="H9" s="5">
        <v>1.25</v>
      </c>
      <c r="I9" s="5">
        <v>43.9</v>
      </c>
      <c r="J9" s="22"/>
      <c r="K9" s="22"/>
      <c r="L9" s="22"/>
      <c r="M9" s="22"/>
      <c r="N9" s="22"/>
      <c r="O9" s="22"/>
      <c r="P9" s="22"/>
      <c r="Q9" s="22"/>
      <c r="R9" s="22">
        <v>1</v>
      </c>
      <c r="S9" s="22"/>
      <c r="T9" s="22"/>
      <c r="U9" s="22"/>
      <c r="V9" s="22"/>
      <c r="W9" s="22"/>
      <c r="X9" s="22"/>
      <c r="Y9" s="22"/>
      <c r="Z9" s="22"/>
      <c r="AA9" s="22"/>
      <c r="AB9" s="22"/>
      <c r="AC9" s="22"/>
      <c r="AD9" s="22"/>
      <c r="AE9" s="22"/>
      <c r="AF9" s="22"/>
      <c r="AG9" s="22"/>
      <c r="AH9" s="22"/>
    </row>
    <row r="10" spans="1:35" ht="16" x14ac:dyDescent="0.2">
      <c r="A10" s="4">
        <v>45824</v>
      </c>
      <c r="B10" s="4">
        <v>45824</v>
      </c>
      <c r="C10" s="4"/>
      <c r="D10" s="5" t="s">
        <v>1</v>
      </c>
      <c r="E10" s="5">
        <v>26</v>
      </c>
      <c r="F10" s="5" t="s">
        <v>2</v>
      </c>
      <c r="G10" s="5" t="s">
        <v>3</v>
      </c>
      <c r="H10" s="5">
        <v>0.85</v>
      </c>
      <c r="I10" s="5">
        <v>35.700000000000003</v>
      </c>
      <c r="J10" s="22"/>
      <c r="K10" s="22"/>
      <c r="L10" s="22"/>
      <c r="M10" s="22"/>
      <c r="N10" s="22"/>
      <c r="O10" s="22"/>
      <c r="P10" s="22"/>
      <c r="Q10" s="22"/>
      <c r="R10" s="22"/>
      <c r="S10" s="22"/>
      <c r="T10" s="22"/>
      <c r="U10" s="22"/>
      <c r="V10" s="22"/>
      <c r="W10" s="22"/>
      <c r="X10" s="22"/>
      <c r="Y10" s="22"/>
      <c r="Z10" s="22"/>
      <c r="AA10" s="22"/>
      <c r="AB10" s="22"/>
      <c r="AC10" s="22"/>
      <c r="AD10" s="22"/>
      <c r="AE10" s="22">
        <v>1</v>
      </c>
      <c r="AF10" s="22"/>
      <c r="AG10" s="22">
        <v>1</v>
      </c>
      <c r="AH10" s="36" t="s">
        <v>616</v>
      </c>
    </row>
    <row r="11" spans="1:35" ht="16" x14ac:dyDescent="0.2">
      <c r="A11" s="4">
        <v>45826</v>
      </c>
      <c r="B11" s="4">
        <v>45826</v>
      </c>
      <c r="C11" s="4"/>
      <c r="D11" s="5" t="s">
        <v>212</v>
      </c>
      <c r="E11" s="5">
        <v>3</v>
      </c>
      <c r="F11" s="5" t="s">
        <v>2</v>
      </c>
      <c r="G11" s="5" t="s">
        <v>3</v>
      </c>
      <c r="H11" s="5">
        <v>1.05</v>
      </c>
      <c r="I11" s="5">
        <v>38.1</v>
      </c>
      <c r="J11" s="22">
        <v>3</v>
      </c>
      <c r="K11" s="22"/>
      <c r="L11" s="22">
        <v>2</v>
      </c>
      <c r="M11" s="22"/>
      <c r="N11" s="22"/>
      <c r="O11" s="22">
        <v>1</v>
      </c>
      <c r="P11" s="22"/>
      <c r="Q11" s="22"/>
      <c r="R11" s="22"/>
      <c r="S11" s="22"/>
      <c r="T11" s="22"/>
      <c r="U11" s="22"/>
      <c r="V11" s="22"/>
      <c r="W11" s="22"/>
      <c r="X11" s="22"/>
      <c r="Y11" s="22"/>
      <c r="Z11" s="22"/>
      <c r="AA11" s="22"/>
      <c r="AB11" s="22"/>
      <c r="AC11" s="22"/>
      <c r="AD11" s="22"/>
      <c r="AE11" s="22"/>
      <c r="AF11" s="22"/>
      <c r="AG11" s="22"/>
      <c r="AH11" s="22"/>
    </row>
    <row r="12" spans="1:35" ht="16" x14ac:dyDescent="0.2">
      <c r="A12" s="4">
        <v>45826</v>
      </c>
      <c r="B12" s="4">
        <v>45826</v>
      </c>
      <c r="C12" s="4"/>
      <c r="D12" s="5" t="s">
        <v>214</v>
      </c>
      <c r="E12" s="5">
        <v>4</v>
      </c>
      <c r="F12" s="5" t="s">
        <v>2</v>
      </c>
      <c r="G12" s="5" t="s">
        <v>3</v>
      </c>
      <c r="H12" s="5">
        <v>0.8</v>
      </c>
      <c r="I12" s="5">
        <v>37.549999999999997</v>
      </c>
      <c r="J12" s="22">
        <v>1</v>
      </c>
      <c r="K12" s="22"/>
      <c r="L12" s="22"/>
      <c r="M12" s="22">
        <v>1</v>
      </c>
      <c r="N12" s="22"/>
      <c r="O12" s="22">
        <v>1</v>
      </c>
      <c r="P12" s="22"/>
      <c r="Q12" s="22"/>
      <c r="R12" s="22"/>
      <c r="S12" s="22"/>
      <c r="T12" s="22">
        <v>1</v>
      </c>
      <c r="U12" s="22"/>
      <c r="V12" s="22"/>
      <c r="W12" s="22"/>
      <c r="X12" s="22"/>
      <c r="Y12" s="22"/>
      <c r="Z12" s="22"/>
      <c r="AA12" s="22"/>
      <c r="AB12" s="22"/>
      <c r="AC12" s="22"/>
      <c r="AD12" s="22"/>
      <c r="AE12" s="22"/>
      <c r="AF12" s="22"/>
      <c r="AG12" s="22"/>
      <c r="AH12" s="22"/>
    </row>
    <row r="13" spans="1:35" ht="16" x14ac:dyDescent="0.2">
      <c r="A13" s="4">
        <v>45826</v>
      </c>
      <c r="B13" s="4">
        <v>45826</v>
      </c>
      <c r="C13" s="4"/>
      <c r="D13" s="5" t="s">
        <v>214</v>
      </c>
      <c r="E13" s="5">
        <v>5</v>
      </c>
      <c r="F13" s="5" t="s">
        <v>2</v>
      </c>
      <c r="G13" s="5" t="s">
        <v>5</v>
      </c>
      <c r="H13" s="5">
        <v>2.0499999999999998</v>
      </c>
      <c r="I13" s="5">
        <v>49.05</v>
      </c>
      <c r="J13" s="22"/>
      <c r="K13" s="22"/>
      <c r="L13" s="22"/>
      <c r="M13" s="22">
        <v>1</v>
      </c>
      <c r="N13" s="22"/>
      <c r="O13" s="22"/>
      <c r="P13" s="22"/>
      <c r="Q13" s="22"/>
      <c r="R13" s="22"/>
      <c r="S13" s="22"/>
      <c r="T13" s="22"/>
      <c r="U13" s="22"/>
      <c r="V13" s="22"/>
      <c r="W13" s="22"/>
      <c r="X13" s="22">
        <v>1</v>
      </c>
      <c r="Y13" s="22"/>
      <c r="Z13" s="22"/>
      <c r="AA13" s="22"/>
      <c r="AB13" s="22">
        <v>1</v>
      </c>
      <c r="AC13" s="22"/>
      <c r="AD13" s="22"/>
      <c r="AE13" s="22"/>
      <c r="AF13" s="22"/>
      <c r="AG13" s="22"/>
      <c r="AH13" s="22"/>
    </row>
    <row r="14" spans="1:35" ht="16" x14ac:dyDescent="0.2">
      <c r="A14" s="4">
        <v>45826</v>
      </c>
      <c r="B14" s="4">
        <v>45826</v>
      </c>
      <c r="C14" s="4"/>
      <c r="D14" s="5" t="s">
        <v>214</v>
      </c>
      <c r="E14" s="5">
        <v>6</v>
      </c>
      <c r="F14" s="5" t="s">
        <v>2</v>
      </c>
      <c r="G14" s="5" t="s">
        <v>5</v>
      </c>
      <c r="H14" s="5">
        <v>0.95</v>
      </c>
      <c r="I14" s="5">
        <v>35.369999999999997</v>
      </c>
      <c r="J14" s="22">
        <v>1</v>
      </c>
      <c r="K14" s="22">
        <v>1</v>
      </c>
      <c r="L14" s="22"/>
      <c r="M14" s="22">
        <v>3</v>
      </c>
      <c r="N14" s="22"/>
      <c r="O14" s="22">
        <v>1</v>
      </c>
      <c r="P14" s="22"/>
      <c r="Q14" s="22"/>
      <c r="R14" s="22"/>
      <c r="S14" s="22"/>
      <c r="T14" s="22"/>
      <c r="U14" s="22"/>
      <c r="V14" s="22"/>
      <c r="W14" s="22">
        <v>1</v>
      </c>
      <c r="X14" s="22"/>
      <c r="Y14" s="22"/>
      <c r="Z14" s="22"/>
      <c r="AA14" s="22"/>
      <c r="AB14" s="22"/>
      <c r="AC14" s="22"/>
      <c r="AD14" s="22"/>
      <c r="AE14" s="22"/>
      <c r="AF14" s="22"/>
      <c r="AG14" s="22">
        <v>1</v>
      </c>
      <c r="AH14" s="36" t="s">
        <v>615</v>
      </c>
    </row>
    <row r="15" spans="1:35" ht="16" x14ac:dyDescent="0.2">
      <c r="A15" s="4">
        <v>45826</v>
      </c>
      <c r="B15" s="4">
        <v>45826</v>
      </c>
      <c r="C15" s="4"/>
      <c r="D15" s="5" t="s">
        <v>214</v>
      </c>
      <c r="E15" s="5">
        <v>8</v>
      </c>
      <c r="F15" s="5" t="s">
        <v>2</v>
      </c>
      <c r="G15" s="5" t="s">
        <v>3</v>
      </c>
      <c r="H15" s="5">
        <v>0.95</v>
      </c>
      <c r="I15" s="5">
        <v>39.299999999999997</v>
      </c>
      <c r="J15" s="22">
        <v>1</v>
      </c>
      <c r="K15" s="22"/>
      <c r="L15" s="22"/>
      <c r="M15" s="22">
        <v>1</v>
      </c>
      <c r="N15" s="22"/>
      <c r="O15" s="22"/>
      <c r="P15" s="22"/>
      <c r="Q15" s="22"/>
      <c r="R15" s="22"/>
      <c r="S15" s="22"/>
      <c r="T15" s="22"/>
      <c r="U15" s="22"/>
      <c r="V15" s="22"/>
      <c r="W15" s="22"/>
      <c r="X15" s="22"/>
      <c r="Y15" s="22">
        <v>1</v>
      </c>
      <c r="Z15" s="22"/>
      <c r="AA15" s="22"/>
      <c r="AB15" s="22"/>
      <c r="AC15" s="22"/>
      <c r="AD15" s="22"/>
      <c r="AE15" s="22"/>
      <c r="AF15" s="22"/>
      <c r="AG15" s="22">
        <v>1</v>
      </c>
      <c r="AH15" s="36" t="s">
        <v>614</v>
      </c>
    </row>
    <row r="16" spans="1:35" ht="16" x14ac:dyDescent="0.2">
      <c r="A16" s="4">
        <v>45826</v>
      </c>
      <c r="B16" s="4">
        <v>45826</v>
      </c>
      <c r="C16" s="4"/>
      <c r="D16" s="5" t="s">
        <v>214</v>
      </c>
      <c r="E16" s="5">
        <v>9</v>
      </c>
      <c r="F16" s="5" t="s">
        <v>2</v>
      </c>
      <c r="G16" s="5" t="s">
        <v>5</v>
      </c>
      <c r="H16" s="5">
        <v>1.85</v>
      </c>
      <c r="I16" s="5">
        <v>46.75</v>
      </c>
      <c r="J16" s="22"/>
      <c r="K16" s="22"/>
      <c r="L16" s="22"/>
      <c r="M16" s="22"/>
      <c r="N16" s="22"/>
      <c r="O16" s="22">
        <v>1</v>
      </c>
      <c r="P16" s="22"/>
      <c r="Q16" s="22"/>
      <c r="R16" s="22"/>
      <c r="S16" s="22"/>
      <c r="T16" s="22"/>
      <c r="U16" s="22"/>
      <c r="V16" s="22"/>
      <c r="W16" s="22"/>
      <c r="X16" s="22"/>
      <c r="Y16" s="22"/>
      <c r="Z16" s="22"/>
      <c r="AA16" s="22"/>
      <c r="AB16" s="22"/>
      <c r="AC16" s="22"/>
      <c r="AD16" s="22"/>
      <c r="AE16" s="22"/>
      <c r="AF16" s="22"/>
      <c r="AG16" s="22">
        <v>1</v>
      </c>
      <c r="AH16" s="36" t="s">
        <v>613</v>
      </c>
    </row>
    <row r="17" spans="1:34" ht="16" x14ac:dyDescent="0.2">
      <c r="A17" s="4">
        <v>45826</v>
      </c>
      <c r="B17" s="4">
        <v>45826</v>
      </c>
      <c r="C17" s="4"/>
      <c r="D17" s="5" t="s">
        <v>214</v>
      </c>
      <c r="E17" s="5">
        <v>10</v>
      </c>
      <c r="F17" s="5" t="s">
        <v>2</v>
      </c>
      <c r="G17" s="5" t="s">
        <v>5</v>
      </c>
      <c r="H17" s="5">
        <v>0.95</v>
      </c>
      <c r="I17" s="5">
        <v>38.85</v>
      </c>
      <c r="J17" s="22">
        <v>2</v>
      </c>
      <c r="K17" s="22">
        <v>1</v>
      </c>
      <c r="L17" s="22"/>
      <c r="M17" s="22">
        <v>3</v>
      </c>
      <c r="N17" s="22">
        <v>3</v>
      </c>
      <c r="O17" s="22"/>
      <c r="P17" s="22"/>
      <c r="Q17" s="22"/>
      <c r="R17" s="22"/>
      <c r="S17" s="22"/>
      <c r="T17" s="22">
        <v>1</v>
      </c>
      <c r="U17" s="22">
        <v>1</v>
      </c>
      <c r="V17" s="22"/>
      <c r="W17" s="22"/>
      <c r="X17" s="22"/>
      <c r="Y17" s="22">
        <v>2</v>
      </c>
      <c r="Z17" s="22"/>
      <c r="AA17" s="22"/>
      <c r="AB17" s="22">
        <v>1</v>
      </c>
      <c r="AC17" s="22"/>
      <c r="AD17" s="22"/>
      <c r="AE17" s="22"/>
      <c r="AF17" s="22"/>
      <c r="AG17" s="22">
        <v>1</v>
      </c>
      <c r="AH17" s="36" t="s">
        <v>612</v>
      </c>
    </row>
    <row r="18" spans="1:34" ht="16" x14ac:dyDescent="0.2">
      <c r="A18" s="4">
        <v>45826</v>
      </c>
      <c r="B18" s="4">
        <v>45826</v>
      </c>
      <c r="C18" s="4"/>
      <c r="D18" s="5" t="s">
        <v>214</v>
      </c>
      <c r="E18" s="5">
        <v>11</v>
      </c>
      <c r="F18" s="5" t="s">
        <v>2</v>
      </c>
      <c r="G18" s="5" t="s">
        <v>3</v>
      </c>
      <c r="H18" s="5">
        <v>0.9</v>
      </c>
      <c r="I18" s="5">
        <v>36.65</v>
      </c>
      <c r="J18" s="22">
        <v>12</v>
      </c>
      <c r="K18" s="22"/>
      <c r="L18" s="22"/>
      <c r="M18" s="22">
        <v>2</v>
      </c>
      <c r="N18" s="22">
        <v>1</v>
      </c>
      <c r="O18" s="22"/>
      <c r="P18" s="22"/>
      <c r="Q18" s="22"/>
      <c r="R18" s="22"/>
      <c r="S18" s="22"/>
      <c r="T18" s="22"/>
      <c r="U18" s="22">
        <v>1</v>
      </c>
      <c r="V18" s="22"/>
      <c r="W18" s="22"/>
      <c r="X18" s="22"/>
      <c r="Y18" s="22">
        <v>2</v>
      </c>
      <c r="Z18" s="22"/>
      <c r="AA18" s="22">
        <v>1</v>
      </c>
      <c r="AB18" s="22"/>
      <c r="AC18" s="22"/>
      <c r="AD18" s="22"/>
      <c r="AE18" s="22"/>
      <c r="AF18" s="22">
        <v>1</v>
      </c>
      <c r="AG18" s="22">
        <v>1</v>
      </c>
      <c r="AH18" s="36" t="s">
        <v>611</v>
      </c>
    </row>
    <row r="19" spans="1:34" ht="16" x14ac:dyDescent="0.2">
      <c r="A19" s="4">
        <v>45826</v>
      </c>
      <c r="B19" s="4">
        <v>45826</v>
      </c>
      <c r="C19" s="4"/>
      <c r="D19" s="5" t="s">
        <v>214</v>
      </c>
      <c r="E19" s="5">
        <v>12</v>
      </c>
      <c r="F19" s="5" t="s">
        <v>2</v>
      </c>
      <c r="G19" s="5" t="s">
        <v>5</v>
      </c>
      <c r="H19" s="5">
        <v>1.25</v>
      </c>
      <c r="I19" s="5">
        <v>42.4</v>
      </c>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36" t="s">
        <v>610</v>
      </c>
    </row>
    <row r="20" spans="1:34" ht="16" x14ac:dyDescent="0.2">
      <c r="A20" s="4">
        <v>45827</v>
      </c>
      <c r="B20" s="4">
        <v>45827</v>
      </c>
      <c r="C20" s="4"/>
      <c r="D20" s="5" t="s">
        <v>40</v>
      </c>
      <c r="E20" s="5">
        <v>9</v>
      </c>
      <c r="F20" s="5" t="s">
        <v>2</v>
      </c>
      <c r="G20" s="5" t="s">
        <v>3</v>
      </c>
      <c r="H20" s="5">
        <v>0.9</v>
      </c>
      <c r="I20" s="5">
        <v>39</v>
      </c>
      <c r="J20" s="22">
        <v>3</v>
      </c>
      <c r="K20" s="22"/>
      <c r="L20" s="22"/>
      <c r="M20" s="22">
        <v>3</v>
      </c>
      <c r="N20" s="22"/>
      <c r="O20" s="22"/>
      <c r="P20" s="22"/>
      <c r="Q20" s="22"/>
      <c r="R20" s="22"/>
      <c r="S20" s="22"/>
      <c r="T20" s="22">
        <v>1</v>
      </c>
      <c r="U20" s="22"/>
      <c r="V20" s="22"/>
      <c r="W20" s="22"/>
      <c r="X20" s="22"/>
      <c r="Y20" s="22"/>
      <c r="Z20" s="22"/>
      <c r="AA20" s="22"/>
      <c r="AB20" s="22"/>
      <c r="AC20" s="22"/>
      <c r="AD20" s="22"/>
      <c r="AE20" s="22"/>
      <c r="AF20" s="22"/>
      <c r="AG20" s="22"/>
      <c r="AH20" s="22"/>
    </row>
    <row r="21" spans="1:34" ht="16" x14ac:dyDescent="0.2">
      <c r="A21" s="4">
        <v>45827</v>
      </c>
      <c r="B21" s="4">
        <v>45827</v>
      </c>
      <c r="C21" s="4"/>
      <c r="D21" s="5" t="s">
        <v>40</v>
      </c>
      <c r="E21" s="5">
        <v>11</v>
      </c>
      <c r="F21" s="5" t="s">
        <v>2</v>
      </c>
      <c r="G21" s="5" t="s">
        <v>5</v>
      </c>
      <c r="H21" s="5">
        <v>1.1000000000000001</v>
      </c>
      <c r="I21" s="5">
        <v>40.5</v>
      </c>
      <c r="J21" s="22">
        <v>2</v>
      </c>
      <c r="K21" s="22"/>
      <c r="L21" s="22"/>
      <c r="M21" s="22">
        <v>2</v>
      </c>
      <c r="N21" s="22"/>
      <c r="O21" s="22"/>
      <c r="P21" s="22"/>
      <c r="Q21" s="22"/>
      <c r="R21" s="22"/>
      <c r="S21" s="22"/>
      <c r="T21" s="22">
        <v>3</v>
      </c>
      <c r="U21" s="22"/>
      <c r="V21" s="22">
        <v>1</v>
      </c>
      <c r="W21" s="22"/>
      <c r="X21" s="22"/>
      <c r="Y21" s="22"/>
      <c r="Z21" s="22"/>
      <c r="AA21" s="22"/>
      <c r="AB21" s="22"/>
      <c r="AC21" s="22"/>
      <c r="AD21" s="22"/>
      <c r="AE21" s="22"/>
      <c r="AF21" s="22"/>
      <c r="AG21" s="22">
        <v>1</v>
      </c>
      <c r="AH21" s="36" t="s">
        <v>609</v>
      </c>
    </row>
    <row r="22" spans="1:34" ht="16" x14ac:dyDescent="0.2">
      <c r="A22" s="4">
        <v>45827</v>
      </c>
      <c r="B22" s="4">
        <v>45827</v>
      </c>
      <c r="C22" s="4"/>
      <c r="D22" s="5" t="s">
        <v>40</v>
      </c>
      <c r="E22" s="5">
        <v>12</v>
      </c>
      <c r="F22" s="5" t="s">
        <v>2</v>
      </c>
      <c r="G22" s="5" t="s">
        <v>5</v>
      </c>
      <c r="H22" s="5">
        <v>1.2</v>
      </c>
      <c r="I22" s="5">
        <v>42.5</v>
      </c>
      <c r="J22" s="22">
        <v>2</v>
      </c>
      <c r="K22" s="22"/>
      <c r="L22" s="22"/>
      <c r="M22" s="22"/>
      <c r="N22" s="22"/>
      <c r="O22" s="22"/>
      <c r="P22" s="22"/>
      <c r="Q22" s="22">
        <v>1</v>
      </c>
      <c r="R22" s="22"/>
      <c r="S22" s="22"/>
      <c r="T22" s="22"/>
      <c r="U22" s="22"/>
      <c r="V22" s="22"/>
      <c r="W22" s="22"/>
      <c r="X22" s="22"/>
      <c r="Y22" s="22"/>
      <c r="Z22" s="22"/>
      <c r="AA22" s="22"/>
      <c r="AB22" s="22"/>
      <c r="AC22" s="22"/>
      <c r="AD22" s="22"/>
      <c r="AE22" s="22"/>
      <c r="AF22" s="22"/>
      <c r="AG22" s="22"/>
      <c r="AH22" s="22"/>
    </row>
    <row r="23" spans="1:34" ht="16" x14ac:dyDescent="0.2">
      <c r="A23" s="4">
        <v>45827</v>
      </c>
      <c r="B23" s="4">
        <v>45827</v>
      </c>
      <c r="C23" s="4"/>
      <c r="D23" s="5" t="s">
        <v>40</v>
      </c>
      <c r="E23" s="5">
        <v>14</v>
      </c>
      <c r="F23" s="5" t="s">
        <v>2</v>
      </c>
      <c r="G23" s="5" t="s">
        <v>5</v>
      </c>
      <c r="H23" s="5">
        <v>0.75</v>
      </c>
      <c r="I23" s="5">
        <v>38.9</v>
      </c>
      <c r="J23" s="22">
        <v>4</v>
      </c>
      <c r="K23" s="22"/>
      <c r="L23" s="22"/>
      <c r="M23" s="22">
        <v>4</v>
      </c>
      <c r="N23" s="22"/>
      <c r="O23" s="22"/>
      <c r="P23" s="22"/>
      <c r="Q23" s="22"/>
      <c r="R23" s="22"/>
      <c r="S23" s="22"/>
      <c r="T23" s="22"/>
      <c r="U23" s="22">
        <v>1</v>
      </c>
      <c r="V23" s="22"/>
      <c r="W23" s="22"/>
      <c r="X23" s="22"/>
      <c r="Y23" s="22"/>
      <c r="Z23" s="22"/>
      <c r="AA23" s="22"/>
      <c r="AB23" s="22"/>
      <c r="AC23" s="22"/>
      <c r="AD23" s="22"/>
      <c r="AE23" s="22"/>
      <c r="AF23" s="22"/>
      <c r="AG23" s="22"/>
      <c r="AH23" s="22"/>
    </row>
    <row r="24" spans="1:34" ht="16" x14ac:dyDescent="0.2">
      <c r="A24" s="4">
        <v>45827</v>
      </c>
      <c r="B24" s="4">
        <v>45827</v>
      </c>
      <c r="C24" s="4"/>
      <c r="D24" s="5" t="s">
        <v>40</v>
      </c>
      <c r="E24" s="5">
        <v>15</v>
      </c>
      <c r="F24" s="5" t="s">
        <v>2</v>
      </c>
      <c r="G24" s="5" t="s">
        <v>5</v>
      </c>
      <c r="H24" s="5">
        <v>0.7</v>
      </c>
      <c r="I24" s="5">
        <v>36.5</v>
      </c>
      <c r="J24" s="22">
        <v>2</v>
      </c>
      <c r="K24" s="22"/>
      <c r="L24" s="22">
        <v>1</v>
      </c>
      <c r="M24" s="22">
        <v>6</v>
      </c>
      <c r="N24" s="22"/>
      <c r="O24" s="22">
        <v>2</v>
      </c>
      <c r="P24" s="22"/>
      <c r="Q24" s="22"/>
      <c r="R24" s="22"/>
      <c r="S24" s="22"/>
      <c r="T24" s="22"/>
      <c r="U24" s="22"/>
      <c r="V24" s="22"/>
      <c r="W24" s="22">
        <v>1</v>
      </c>
      <c r="X24" s="22"/>
      <c r="Y24" s="22"/>
      <c r="Z24" s="22"/>
      <c r="AA24" s="22"/>
      <c r="AB24" s="22"/>
      <c r="AC24" s="22"/>
      <c r="AD24" s="22"/>
      <c r="AE24" s="22"/>
      <c r="AF24" s="22"/>
      <c r="AG24" s="22">
        <v>2</v>
      </c>
      <c r="AH24" s="36" t="s">
        <v>608</v>
      </c>
    </row>
    <row r="25" spans="1:34" ht="16" x14ac:dyDescent="0.2">
      <c r="A25" s="4">
        <v>45827</v>
      </c>
      <c r="B25" s="4">
        <v>45827</v>
      </c>
      <c r="C25" s="4"/>
      <c r="D25" s="5" t="s">
        <v>40</v>
      </c>
      <c r="E25" s="5">
        <v>16</v>
      </c>
      <c r="F25" s="5" t="s">
        <v>2</v>
      </c>
      <c r="G25" s="5" t="s">
        <v>6</v>
      </c>
      <c r="H25" s="5">
        <v>0.65</v>
      </c>
      <c r="I25" s="5">
        <v>35.1</v>
      </c>
      <c r="J25" s="22">
        <v>1</v>
      </c>
      <c r="K25" s="22"/>
      <c r="L25" s="22"/>
      <c r="M25" s="22">
        <v>1</v>
      </c>
      <c r="N25" s="22"/>
      <c r="O25" s="22"/>
      <c r="P25" s="22"/>
      <c r="Q25" s="22"/>
      <c r="R25" s="22"/>
      <c r="S25" s="22"/>
      <c r="T25" s="22"/>
      <c r="U25" s="22"/>
      <c r="V25" s="22"/>
      <c r="W25" s="22"/>
      <c r="X25" s="22"/>
      <c r="Y25" s="22"/>
      <c r="Z25" s="22">
        <v>9</v>
      </c>
      <c r="AA25" s="22"/>
      <c r="AB25" s="22"/>
      <c r="AC25" s="22"/>
      <c r="AD25" s="22"/>
      <c r="AE25" s="22"/>
      <c r="AF25" s="22"/>
      <c r="AG25" s="22"/>
      <c r="AH25" s="22"/>
    </row>
    <row r="26" spans="1:34" ht="16" x14ac:dyDescent="0.2">
      <c r="A26" s="4">
        <v>45827</v>
      </c>
      <c r="B26" s="4">
        <v>45827</v>
      </c>
      <c r="C26" s="4"/>
      <c r="D26" s="5" t="s">
        <v>40</v>
      </c>
      <c r="E26" s="5">
        <v>18</v>
      </c>
      <c r="F26" s="5" t="s">
        <v>2</v>
      </c>
      <c r="G26" s="5" t="s">
        <v>5</v>
      </c>
      <c r="H26" s="5">
        <v>1</v>
      </c>
      <c r="I26" s="5">
        <v>39.4</v>
      </c>
      <c r="J26" s="22">
        <v>3</v>
      </c>
      <c r="K26" s="22">
        <v>2</v>
      </c>
      <c r="L26" s="22"/>
      <c r="M26" s="22">
        <v>3</v>
      </c>
      <c r="N26" s="22"/>
      <c r="O26" s="22"/>
      <c r="P26" s="22"/>
      <c r="Q26" s="22"/>
      <c r="R26" s="22"/>
      <c r="S26" s="22">
        <v>1</v>
      </c>
      <c r="T26" s="22">
        <v>5</v>
      </c>
      <c r="U26" s="22"/>
      <c r="V26" s="22">
        <v>1</v>
      </c>
      <c r="W26" s="22"/>
      <c r="X26" s="22"/>
      <c r="Y26" s="22"/>
      <c r="Z26" s="22"/>
      <c r="AA26" s="22"/>
      <c r="AB26" s="22"/>
      <c r="AC26" s="22"/>
      <c r="AD26" s="22"/>
      <c r="AE26" s="22"/>
      <c r="AF26" s="22"/>
      <c r="AG26" s="22"/>
      <c r="AH26" s="22"/>
    </row>
    <row r="27" spans="1:34" ht="16" x14ac:dyDescent="0.2">
      <c r="A27" s="4">
        <v>45827</v>
      </c>
      <c r="B27" s="4">
        <v>45827</v>
      </c>
      <c r="C27" s="4"/>
      <c r="D27" s="5" t="s">
        <v>40</v>
      </c>
      <c r="E27" s="5">
        <v>19</v>
      </c>
      <c r="F27" s="5" t="s">
        <v>2</v>
      </c>
      <c r="G27" s="5" t="s">
        <v>5</v>
      </c>
      <c r="H27" s="5">
        <v>0.9</v>
      </c>
      <c r="I27" s="5">
        <v>40.9</v>
      </c>
      <c r="J27" s="22">
        <v>4</v>
      </c>
      <c r="K27" s="22">
        <v>1</v>
      </c>
      <c r="L27" s="22"/>
      <c r="M27" s="22">
        <v>5</v>
      </c>
      <c r="N27" s="22">
        <v>1</v>
      </c>
      <c r="O27" s="22"/>
      <c r="P27" s="22"/>
      <c r="Q27" s="22"/>
      <c r="R27" s="22"/>
      <c r="S27" s="22"/>
      <c r="T27" s="22">
        <v>3</v>
      </c>
      <c r="U27" s="22"/>
      <c r="V27" s="22"/>
      <c r="W27" s="22"/>
      <c r="X27" s="22">
        <v>1</v>
      </c>
      <c r="Y27" s="22"/>
      <c r="Z27" s="22"/>
      <c r="AA27" s="22"/>
      <c r="AB27" s="22"/>
      <c r="AC27" s="22"/>
      <c r="AD27" s="22"/>
      <c r="AE27" s="22"/>
      <c r="AF27" s="22"/>
      <c r="AG27" s="22"/>
      <c r="AH27" s="22"/>
    </row>
    <row r="28" spans="1:34" ht="16" x14ac:dyDescent="0.2">
      <c r="A28" s="4">
        <v>45827</v>
      </c>
      <c r="B28" s="4">
        <v>45827</v>
      </c>
      <c r="C28" s="4"/>
      <c r="D28" s="5" t="s">
        <v>40</v>
      </c>
      <c r="E28" s="5">
        <v>20</v>
      </c>
      <c r="F28" s="5" t="s">
        <v>2</v>
      </c>
      <c r="G28" s="5" t="s">
        <v>5</v>
      </c>
      <c r="H28" s="5">
        <v>0.75</v>
      </c>
      <c r="I28" s="5">
        <v>37.9</v>
      </c>
      <c r="J28" s="22">
        <v>10</v>
      </c>
      <c r="K28" s="22">
        <v>1</v>
      </c>
      <c r="L28" s="22"/>
      <c r="M28" s="22"/>
      <c r="N28" s="22"/>
      <c r="O28" s="22"/>
      <c r="P28" s="22"/>
      <c r="Q28" s="22"/>
      <c r="R28" s="22"/>
      <c r="S28" s="22"/>
      <c r="T28" s="22">
        <v>1</v>
      </c>
      <c r="U28" s="22"/>
      <c r="V28" s="22"/>
      <c r="W28" s="22"/>
      <c r="X28" s="22"/>
      <c r="Y28" s="22"/>
      <c r="Z28" s="22"/>
      <c r="AA28" s="22"/>
      <c r="AB28" s="22"/>
      <c r="AC28" s="22"/>
      <c r="AD28" s="22"/>
      <c r="AE28" s="22"/>
      <c r="AF28" s="22"/>
      <c r="AG28" s="22">
        <v>3</v>
      </c>
      <c r="AH28" s="36" t="s">
        <v>607</v>
      </c>
    </row>
    <row r="29" spans="1:34" ht="16" x14ac:dyDescent="0.2">
      <c r="A29" s="4">
        <v>45827</v>
      </c>
      <c r="B29" s="4">
        <v>45827</v>
      </c>
      <c r="C29" s="4"/>
      <c r="D29" s="5" t="s">
        <v>40</v>
      </c>
      <c r="E29" s="5">
        <v>21</v>
      </c>
      <c r="F29" s="5" t="s">
        <v>2</v>
      </c>
      <c r="G29" s="5" t="s">
        <v>5</v>
      </c>
      <c r="H29" s="5">
        <v>0.75</v>
      </c>
      <c r="I29" s="5">
        <v>37.549999999999997</v>
      </c>
      <c r="J29" s="22">
        <v>1</v>
      </c>
      <c r="K29" s="22"/>
      <c r="L29" s="22"/>
      <c r="M29" s="22"/>
      <c r="N29" s="22"/>
      <c r="O29" s="22"/>
      <c r="P29" s="22"/>
      <c r="Q29" s="22"/>
      <c r="R29" s="22"/>
      <c r="S29" s="22"/>
      <c r="T29" s="22"/>
      <c r="U29" s="22"/>
      <c r="V29" s="22"/>
      <c r="W29" s="22"/>
      <c r="X29" s="22"/>
      <c r="Y29" s="22"/>
      <c r="Z29" s="22"/>
      <c r="AA29" s="22"/>
      <c r="AB29" s="22"/>
      <c r="AC29" s="22"/>
      <c r="AD29" s="22"/>
      <c r="AE29" s="22"/>
      <c r="AF29" s="22"/>
      <c r="AG29" s="22">
        <v>1</v>
      </c>
      <c r="AH29" s="36" t="s">
        <v>606</v>
      </c>
    </row>
    <row r="30" spans="1:34" ht="16" x14ac:dyDescent="0.2">
      <c r="A30" s="4">
        <v>45827</v>
      </c>
      <c r="B30" s="4">
        <v>45827</v>
      </c>
      <c r="C30" s="4"/>
      <c r="D30" s="5" t="s">
        <v>40</v>
      </c>
      <c r="E30" s="5">
        <v>22</v>
      </c>
      <c r="F30" s="5" t="s">
        <v>2</v>
      </c>
      <c r="G30" s="5" t="s">
        <v>5</v>
      </c>
      <c r="H30" s="5">
        <v>0.75</v>
      </c>
      <c r="I30" s="5">
        <v>36.6</v>
      </c>
      <c r="J30" s="22">
        <v>4</v>
      </c>
      <c r="K30" s="22"/>
      <c r="L30" s="22"/>
      <c r="M30" s="22"/>
      <c r="N30" s="22"/>
      <c r="O30" s="22"/>
      <c r="P30" s="22"/>
      <c r="Q30" s="22"/>
      <c r="R30" s="22"/>
      <c r="S30" s="22"/>
      <c r="T30" s="22"/>
      <c r="U30" s="22"/>
      <c r="V30" s="22"/>
      <c r="W30" s="22">
        <v>1</v>
      </c>
      <c r="X30" s="22"/>
      <c r="Y30" s="22"/>
      <c r="Z30" s="22"/>
      <c r="AA30" s="22"/>
      <c r="AB30" s="22"/>
      <c r="AC30" s="22"/>
      <c r="AD30" s="22"/>
      <c r="AE30" s="22"/>
      <c r="AF30" s="22"/>
      <c r="AG30" s="22">
        <v>1</v>
      </c>
      <c r="AH30" s="36" t="s">
        <v>605</v>
      </c>
    </row>
    <row r="31" spans="1:34" ht="16" x14ac:dyDescent="0.2">
      <c r="A31" s="4">
        <v>45827</v>
      </c>
      <c r="B31" s="4">
        <v>45827</v>
      </c>
      <c r="C31" s="4"/>
      <c r="D31" s="5" t="s">
        <v>40</v>
      </c>
      <c r="E31" s="5">
        <v>23</v>
      </c>
      <c r="F31" s="5" t="s">
        <v>2</v>
      </c>
      <c r="G31" s="5" t="s">
        <v>3</v>
      </c>
      <c r="H31" s="5">
        <v>0.7</v>
      </c>
      <c r="I31" s="5">
        <v>36.4</v>
      </c>
      <c r="J31" s="22">
        <v>7</v>
      </c>
      <c r="K31" s="22"/>
      <c r="L31" s="22"/>
      <c r="M31" s="22">
        <v>1</v>
      </c>
      <c r="N31" s="22"/>
      <c r="O31" s="22">
        <v>1</v>
      </c>
      <c r="P31" s="22"/>
      <c r="Q31" s="22"/>
      <c r="R31" s="22"/>
      <c r="S31" s="22"/>
      <c r="T31" s="22">
        <v>2</v>
      </c>
      <c r="U31" s="22"/>
      <c r="V31" s="22"/>
      <c r="W31" s="22"/>
      <c r="X31" s="22"/>
      <c r="Y31" s="22"/>
      <c r="Z31" s="22"/>
      <c r="AA31" s="22"/>
      <c r="AB31" s="22"/>
      <c r="AC31" s="22"/>
      <c r="AD31" s="22"/>
      <c r="AE31" s="22"/>
      <c r="AF31" s="22"/>
      <c r="AG31" s="22"/>
      <c r="AH31" s="22"/>
    </row>
    <row r="32" spans="1:34" ht="16" x14ac:dyDescent="0.2">
      <c r="A32" s="4">
        <v>45828</v>
      </c>
      <c r="B32" s="4">
        <v>45828</v>
      </c>
      <c r="C32" s="4"/>
      <c r="D32" s="5" t="s">
        <v>42</v>
      </c>
      <c r="E32" s="5">
        <v>13</v>
      </c>
      <c r="F32" s="5" t="s">
        <v>2</v>
      </c>
      <c r="G32" s="5" t="s">
        <v>5</v>
      </c>
      <c r="H32" s="5">
        <v>0.65</v>
      </c>
      <c r="I32" s="5">
        <v>33.5</v>
      </c>
      <c r="J32" s="22">
        <v>2</v>
      </c>
      <c r="K32" s="22"/>
      <c r="L32" s="22"/>
      <c r="M32" s="22">
        <v>3</v>
      </c>
      <c r="N32" s="22"/>
      <c r="O32" s="22">
        <v>3</v>
      </c>
      <c r="P32" s="22"/>
      <c r="Q32" s="22"/>
      <c r="R32" s="22">
        <v>1</v>
      </c>
      <c r="S32" s="22"/>
      <c r="T32" s="22"/>
      <c r="U32" s="22">
        <v>1</v>
      </c>
      <c r="V32" s="22"/>
      <c r="W32" s="22"/>
      <c r="X32" s="22"/>
      <c r="Y32" s="22"/>
      <c r="Z32" s="22"/>
      <c r="AA32" s="22"/>
      <c r="AB32" s="22"/>
      <c r="AC32" s="22"/>
      <c r="AD32" s="22"/>
      <c r="AE32" s="22"/>
      <c r="AF32" s="22"/>
      <c r="AG32" s="22"/>
      <c r="AH32" s="22"/>
    </row>
    <row r="33" spans="1:34" ht="16" x14ac:dyDescent="0.2">
      <c r="A33" s="4">
        <v>45828</v>
      </c>
      <c r="B33" s="4">
        <v>45828</v>
      </c>
      <c r="C33" s="4"/>
      <c r="D33" s="5" t="s">
        <v>42</v>
      </c>
      <c r="E33" s="5">
        <v>14</v>
      </c>
      <c r="F33" s="5" t="s">
        <v>2</v>
      </c>
      <c r="G33" s="5" t="s">
        <v>3</v>
      </c>
      <c r="H33" s="5">
        <v>1.2</v>
      </c>
      <c r="I33" s="5">
        <v>42.9</v>
      </c>
      <c r="J33" s="22"/>
      <c r="K33" s="22"/>
      <c r="L33" s="22"/>
      <c r="M33" s="22"/>
      <c r="N33" s="22"/>
      <c r="O33" s="22"/>
      <c r="P33" s="22"/>
      <c r="Q33" s="22"/>
      <c r="R33" s="22"/>
      <c r="S33" s="22"/>
      <c r="T33" s="22"/>
      <c r="U33" s="22"/>
      <c r="V33" s="22"/>
      <c r="W33" s="22"/>
      <c r="X33" s="22"/>
      <c r="Y33" s="22"/>
      <c r="Z33" s="22"/>
      <c r="AA33" s="22"/>
      <c r="AB33" s="22"/>
      <c r="AC33" s="22"/>
      <c r="AD33" s="22"/>
      <c r="AE33" s="22"/>
      <c r="AF33" s="22"/>
      <c r="AG33" s="22">
        <v>1</v>
      </c>
      <c r="AH33" s="36" t="s">
        <v>604</v>
      </c>
    </row>
    <row r="34" spans="1:34" ht="16" x14ac:dyDescent="0.2">
      <c r="A34" s="4">
        <v>45828</v>
      </c>
      <c r="B34" s="4">
        <v>45828</v>
      </c>
      <c r="C34" s="4"/>
      <c r="D34" s="5" t="s">
        <v>42</v>
      </c>
      <c r="E34" s="5">
        <v>15</v>
      </c>
      <c r="F34" s="5" t="s">
        <v>2</v>
      </c>
      <c r="G34" s="5" t="s">
        <v>3</v>
      </c>
      <c r="H34" s="5">
        <v>0.7</v>
      </c>
      <c r="I34" s="5">
        <v>36.4</v>
      </c>
      <c r="J34" s="22">
        <v>1</v>
      </c>
      <c r="K34" s="22">
        <v>1</v>
      </c>
      <c r="L34" s="22"/>
      <c r="M34" s="22">
        <v>3</v>
      </c>
      <c r="N34" s="22"/>
      <c r="O34" s="22">
        <v>1</v>
      </c>
      <c r="P34" s="22"/>
      <c r="Q34" s="22">
        <v>1</v>
      </c>
      <c r="R34" s="22"/>
      <c r="S34" s="22"/>
      <c r="T34" s="22"/>
      <c r="U34" s="22"/>
      <c r="V34" s="22"/>
      <c r="W34" s="22"/>
      <c r="X34" s="22"/>
      <c r="Y34" s="22"/>
      <c r="Z34" s="22"/>
      <c r="AA34" s="22"/>
      <c r="AB34" s="22"/>
      <c r="AC34" s="22"/>
      <c r="AD34" s="22"/>
      <c r="AE34" s="22"/>
      <c r="AF34" s="22"/>
      <c r="AG34" s="22">
        <v>1</v>
      </c>
      <c r="AH34" s="36" t="s">
        <v>603</v>
      </c>
    </row>
    <row r="35" spans="1:34" ht="16" x14ac:dyDescent="0.2">
      <c r="A35" s="4">
        <v>45828</v>
      </c>
      <c r="B35" s="4">
        <v>45828</v>
      </c>
      <c r="C35" s="4"/>
      <c r="D35" s="5" t="s">
        <v>42</v>
      </c>
      <c r="E35" s="5">
        <v>16</v>
      </c>
      <c r="F35" s="5" t="s">
        <v>2</v>
      </c>
      <c r="G35" s="5" t="s">
        <v>5</v>
      </c>
      <c r="H35" s="5">
        <v>0.95</v>
      </c>
      <c r="I35" s="5">
        <v>38.1</v>
      </c>
      <c r="J35" s="22">
        <v>1</v>
      </c>
      <c r="K35" s="22"/>
      <c r="L35" s="22"/>
      <c r="M35" s="22"/>
      <c r="N35" s="22"/>
      <c r="O35" s="22">
        <v>2</v>
      </c>
      <c r="P35" s="22"/>
      <c r="R35" s="22"/>
      <c r="S35" s="22"/>
      <c r="T35" s="22"/>
      <c r="U35" s="22"/>
      <c r="V35" s="22"/>
      <c r="W35" s="22"/>
      <c r="X35" s="22"/>
      <c r="Y35" s="22"/>
      <c r="Z35" s="22"/>
      <c r="AA35" s="22"/>
      <c r="AB35" s="22"/>
      <c r="AC35" s="22"/>
      <c r="AD35" s="22"/>
      <c r="AE35" s="22"/>
      <c r="AF35" s="22"/>
      <c r="AG35" s="22"/>
      <c r="AH35" s="22"/>
    </row>
    <row r="36" spans="1:34" ht="16" x14ac:dyDescent="0.2">
      <c r="A36" s="4">
        <v>45828</v>
      </c>
      <c r="B36" s="4">
        <v>45828</v>
      </c>
      <c r="C36" s="4"/>
      <c r="D36" s="5" t="s">
        <v>42</v>
      </c>
      <c r="E36" s="5">
        <v>17</v>
      </c>
      <c r="F36" s="5" t="s">
        <v>2</v>
      </c>
      <c r="G36" s="5" t="s">
        <v>3</v>
      </c>
      <c r="H36" s="5">
        <v>0.8</v>
      </c>
      <c r="I36" s="5">
        <v>39.700000000000003</v>
      </c>
      <c r="J36" s="22">
        <v>1</v>
      </c>
      <c r="K36" s="22"/>
      <c r="L36" s="22"/>
      <c r="M36" s="22">
        <v>1</v>
      </c>
      <c r="N36" s="22"/>
      <c r="O36" s="22">
        <v>1</v>
      </c>
      <c r="P36" s="22"/>
      <c r="Q36" s="22"/>
      <c r="R36" s="22"/>
      <c r="S36" s="22"/>
      <c r="T36" s="22">
        <v>1</v>
      </c>
      <c r="U36" s="22"/>
      <c r="V36" s="22"/>
      <c r="W36" s="22"/>
      <c r="X36" s="22"/>
      <c r="Y36" s="22"/>
      <c r="Z36" s="22"/>
      <c r="AA36" s="22"/>
      <c r="AB36" s="22"/>
      <c r="AC36" s="22"/>
      <c r="AD36" s="22"/>
      <c r="AE36" s="22"/>
      <c r="AF36" s="22"/>
      <c r="AG36" s="22"/>
      <c r="AH36" s="22"/>
    </row>
    <row r="37" spans="1:34" ht="16" x14ac:dyDescent="0.2">
      <c r="A37" s="4">
        <v>45828</v>
      </c>
      <c r="B37" s="4">
        <v>45828</v>
      </c>
      <c r="C37" s="4"/>
      <c r="D37" s="5" t="s">
        <v>42</v>
      </c>
      <c r="E37" s="5">
        <v>18</v>
      </c>
      <c r="F37" s="5" t="s">
        <v>2</v>
      </c>
      <c r="G37" s="5" t="s">
        <v>3</v>
      </c>
      <c r="H37" s="5">
        <v>0.7</v>
      </c>
      <c r="I37" s="5">
        <v>33.799999999999997</v>
      </c>
      <c r="J37" s="22">
        <v>2</v>
      </c>
      <c r="K37" s="22"/>
      <c r="L37" s="22"/>
      <c r="M37" s="22"/>
      <c r="N37" s="22"/>
      <c r="O37" s="22"/>
      <c r="P37" s="22"/>
      <c r="Q37" s="22"/>
      <c r="R37" s="22">
        <v>1</v>
      </c>
      <c r="S37" s="22"/>
      <c r="T37" s="22"/>
      <c r="U37" s="22"/>
      <c r="V37" s="22"/>
      <c r="W37" s="22"/>
      <c r="X37" s="22"/>
      <c r="Y37" s="22"/>
      <c r="Z37" s="22"/>
      <c r="AA37" s="22"/>
      <c r="AB37" s="22"/>
      <c r="AC37" s="22"/>
      <c r="AD37" s="22"/>
      <c r="AE37" s="22"/>
      <c r="AF37" s="22"/>
      <c r="AG37" s="22">
        <v>1</v>
      </c>
      <c r="AH37" s="36" t="s">
        <v>602</v>
      </c>
    </row>
    <row r="38" spans="1:34" ht="16" x14ac:dyDescent="0.2">
      <c r="A38" s="4">
        <v>45828</v>
      </c>
      <c r="B38" s="4">
        <v>45828</v>
      </c>
      <c r="C38" s="4"/>
      <c r="D38" s="5" t="s">
        <v>42</v>
      </c>
      <c r="E38" s="5">
        <v>19</v>
      </c>
      <c r="F38" s="5" t="s">
        <v>2</v>
      </c>
      <c r="G38" s="5" t="s">
        <v>3</v>
      </c>
      <c r="H38" s="5">
        <v>0.7</v>
      </c>
      <c r="I38" s="5">
        <v>34.799999999999997</v>
      </c>
      <c r="J38" s="22">
        <v>1</v>
      </c>
      <c r="K38" s="22">
        <v>1</v>
      </c>
      <c r="L38" s="22"/>
      <c r="M38" s="22">
        <v>1</v>
      </c>
      <c r="N38" s="22"/>
      <c r="O38" s="22">
        <v>1</v>
      </c>
      <c r="P38" s="22"/>
      <c r="Q38" s="22"/>
      <c r="R38" s="22"/>
      <c r="S38" s="22"/>
      <c r="T38" s="22">
        <v>2</v>
      </c>
      <c r="U38" s="22">
        <v>1</v>
      </c>
      <c r="V38" s="22"/>
      <c r="W38" s="22"/>
      <c r="X38" s="22"/>
      <c r="Y38" s="22"/>
      <c r="Z38" s="22"/>
      <c r="AA38" s="22"/>
      <c r="AB38" s="22"/>
      <c r="AC38" s="22"/>
      <c r="AD38" s="22"/>
      <c r="AE38" s="22"/>
      <c r="AF38" s="22"/>
      <c r="AG38" s="22">
        <v>3</v>
      </c>
      <c r="AH38" s="36" t="s">
        <v>601</v>
      </c>
    </row>
    <row r="39" spans="1:34" ht="16" x14ac:dyDescent="0.2">
      <c r="A39" s="4">
        <v>45828</v>
      </c>
      <c r="B39" s="4">
        <v>45828</v>
      </c>
      <c r="C39" s="4"/>
      <c r="D39" s="5" t="s">
        <v>42</v>
      </c>
      <c r="E39" s="5">
        <v>20</v>
      </c>
      <c r="F39" s="5" t="s">
        <v>2</v>
      </c>
      <c r="G39" s="5" t="s">
        <v>5</v>
      </c>
      <c r="H39" s="5">
        <v>0.8</v>
      </c>
      <c r="I39" s="5">
        <v>38.5</v>
      </c>
      <c r="J39" s="22">
        <v>4</v>
      </c>
      <c r="K39" s="22"/>
      <c r="L39" s="22"/>
      <c r="M39" s="22">
        <v>2</v>
      </c>
      <c r="N39" s="22"/>
      <c r="O39" s="22">
        <v>2</v>
      </c>
      <c r="P39" s="22"/>
      <c r="Q39" s="22">
        <v>1</v>
      </c>
      <c r="R39" s="22"/>
      <c r="S39" s="22"/>
      <c r="T39" s="22"/>
      <c r="U39" s="22"/>
      <c r="V39" s="22"/>
      <c r="W39" s="22"/>
      <c r="X39" s="22"/>
      <c r="Y39" s="22"/>
      <c r="Z39" s="22"/>
      <c r="AA39" s="22"/>
      <c r="AB39" s="22">
        <v>1</v>
      </c>
      <c r="AC39" s="22"/>
      <c r="AD39" s="22"/>
      <c r="AE39" s="22"/>
      <c r="AF39" s="22"/>
      <c r="AG39" s="22">
        <v>4</v>
      </c>
      <c r="AH39" s="36" t="s">
        <v>600</v>
      </c>
    </row>
    <row r="40" spans="1:34" ht="16" x14ac:dyDescent="0.2">
      <c r="A40" s="4">
        <v>45828</v>
      </c>
      <c r="B40" s="4">
        <v>45828</v>
      </c>
      <c r="C40" s="4"/>
      <c r="D40" s="5" t="s">
        <v>42</v>
      </c>
      <c r="E40" s="5">
        <v>21</v>
      </c>
      <c r="F40" s="5" t="s">
        <v>2</v>
      </c>
      <c r="G40" s="5" t="s">
        <v>3</v>
      </c>
      <c r="H40" s="5">
        <v>1.1000000000000001</v>
      </c>
      <c r="I40" s="5">
        <v>43.05</v>
      </c>
      <c r="J40" s="22"/>
      <c r="K40" s="22"/>
      <c r="L40" s="22"/>
      <c r="M40" s="22">
        <v>1</v>
      </c>
      <c r="N40" s="22"/>
      <c r="O40" s="22"/>
      <c r="P40" s="22"/>
      <c r="Q40" s="22"/>
      <c r="R40" s="22"/>
      <c r="S40" s="22"/>
      <c r="T40" s="22">
        <v>10</v>
      </c>
      <c r="U40" s="22"/>
      <c r="V40" s="22"/>
      <c r="W40" s="22"/>
      <c r="X40" s="22">
        <v>1</v>
      </c>
      <c r="Y40" s="22"/>
      <c r="Z40" s="22"/>
      <c r="AA40" s="22"/>
      <c r="AB40" s="22"/>
      <c r="AC40" s="22"/>
      <c r="AD40" s="22"/>
      <c r="AE40" s="22"/>
      <c r="AF40" s="22"/>
      <c r="AG40" s="22">
        <v>1</v>
      </c>
      <c r="AH40" s="36" t="s">
        <v>599</v>
      </c>
    </row>
    <row r="41" spans="1:34" ht="16" x14ac:dyDescent="0.2">
      <c r="A41" s="4">
        <v>45828</v>
      </c>
      <c r="B41" s="4">
        <v>45828</v>
      </c>
      <c r="C41" s="4"/>
      <c r="D41" s="5" t="s">
        <v>42</v>
      </c>
      <c r="E41" s="5">
        <v>22</v>
      </c>
      <c r="F41" s="5" t="s">
        <v>2</v>
      </c>
      <c r="G41" s="5" t="s">
        <v>3</v>
      </c>
      <c r="H41" s="5">
        <v>1.3</v>
      </c>
      <c r="I41" s="5">
        <v>43.9</v>
      </c>
      <c r="J41" s="22">
        <v>2</v>
      </c>
      <c r="K41" s="22"/>
      <c r="L41" s="22"/>
      <c r="M41" s="22"/>
      <c r="N41" s="22"/>
      <c r="O41" s="22">
        <v>1</v>
      </c>
      <c r="P41" s="22"/>
      <c r="Q41" s="22"/>
      <c r="R41" s="22"/>
      <c r="S41" s="22"/>
      <c r="T41" s="22">
        <v>11</v>
      </c>
      <c r="U41" s="22"/>
      <c r="V41" s="22"/>
      <c r="W41" s="22"/>
      <c r="X41" s="22"/>
      <c r="Y41" s="22"/>
      <c r="Z41" s="22"/>
      <c r="AA41" s="22"/>
      <c r="AB41" s="22"/>
      <c r="AC41" s="22"/>
      <c r="AD41" s="22"/>
      <c r="AE41" s="22"/>
      <c r="AF41" s="22"/>
      <c r="AG41" s="22">
        <v>1</v>
      </c>
      <c r="AH41" s="36" t="s">
        <v>599</v>
      </c>
    </row>
    <row r="42" spans="1:34" ht="16" x14ac:dyDescent="0.2">
      <c r="A42" s="4">
        <v>45831</v>
      </c>
      <c r="B42" s="4">
        <v>45831</v>
      </c>
      <c r="C42" s="4"/>
      <c r="D42" s="5" t="s">
        <v>20</v>
      </c>
      <c r="E42" s="5">
        <v>9</v>
      </c>
      <c r="F42" s="5" t="s">
        <v>2</v>
      </c>
      <c r="G42" s="5" t="s">
        <v>3</v>
      </c>
      <c r="H42" s="5">
        <v>0.8</v>
      </c>
      <c r="I42" s="5">
        <v>34</v>
      </c>
      <c r="J42" s="22">
        <v>8</v>
      </c>
      <c r="K42" s="22"/>
      <c r="L42" s="22"/>
      <c r="M42" s="22">
        <v>1</v>
      </c>
      <c r="N42" s="22"/>
      <c r="O42" s="22">
        <v>2</v>
      </c>
      <c r="P42" s="22"/>
      <c r="Q42" s="22"/>
      <c r="R42" s="22"/>
      <c r="S42" s="22"/>
      <c r="T42" s="22">
        <v>2</v>
      </c>
      <c r="U42" s="22">
        <v>1</v>
      </c>
      <c r="V42" s="22"/>
      <c r="W42" s="22"/>
      <c r="X42" s="22"/>
      <c r="Y42" s="22">
        <v>3</v>
      </c>
      <c r="Z42" s="22"/>
      <c r="AA42" s="22"/>
      <c r="AB42" s="22"/>
      <c r="AC42" s="22"/>
      <c r="AD42" s="22"/>
      <c r="AE42" s="22"/>
      <c r="AF42" s="22"/>
      <c r="AG42" s="22">
        <v>3</v>
      </c>
      <c r="AH42" s="36" t="s">
        <v>598</v>
      </c>
    </row>
    <row r="43" spans="1:34" ht="16" x14ac:dyDescent="0.2">
      <c r="A43" s="4">
        <v>45831</v>
      </c>
      <c r="B43" s="4">
        <v>45831</v>
      </c>
      <c r="C43" s="4"/>
      <c r="D43" s="5" t="s">
        <v>20</v>
      </c>
      <c r="E43" s="5">
        <v>10</v>
      </c>
      <c r="F43" s="5" t="s">
        <v>2</v>
      </c>
      <c r="G43" s="5" t="s">
        <v>3</v>
      </c>
      <c r="H43" s="5">
        <v>0.65</v>
      </c>
      <c r="I43" s="5">
        <v>32.75</v>
      </c>
      <c r="J43" s="22"/>
      <c r="K43" s="22"/>
      <c r="L43" s="22"/>
      <c r="M43" s="22"/>
      <c r="N43" s="22"/>
      <c r="O43" s="22"/>
      <c r="P43" s="22"/>
      <c r="Q43" s="22">
        <v>1</v>
      </c>
      <c r="R43" s="22"/>
      <c r="S43" s="22"/>
      <c r="T43" s="22">
        <v>2</v>
      </c>
      <c r="U43" s="22">
        <v>1</v>
      </c>
      <c r="V43" s="22"/>
      <c r="W43" s="22"/>
      <c r="X43" s="22"/>
      <c r="Y43" s="22"/>
      <c r="Z43" s="22"/>
      <c r="AA43" s="22"/>
      <c r="AB43" s="22"/>
      <c r="AC43" s="22"/>
      <c r="AD43" s="22"/>
      <c r="AE43" s="22"/>
      <c r="AF43" s="22"/>
      <c r="AG43" s="22"/>
      <c r="AH43" s="22"/>
    </row>
    <row r="44" spans="1:34" ht="16" x14ac:dyDescent="0.2">
      <c r="A44" s="4">
        <v>45831</v>
      </c>
      <c r="B44" s="4">
        <v>45831</v>
      </c>
      <c r="C44" s="4"/>
      <c r="D44" s="5" t="s">
        <v>20</v>
      </c>
      <c r="E44" s="5">
        <v>12</v>
      </c>
      <c r="F44" s="5" t="s">
        <v>2</v>
      </c>
      <c r="G44" s="5" t="s">
        <v>5</v>
      </c>
      <c r="H44" s="5">
        <v>0.75</v>
      </c>
      <c r="I44" s="5">
        <v>32.950000000000003</v>
      </c>
      <c r="J44" s="22">
        <v>3</v>
      </c>
      <c r="K44" s="22"/>
      <c r="L44" s="22"/>
      <c r="M44" s="22">
        <v>3</v>
      </c>
      <c r="N44" s="22"/>
      <c r="O44" s="22"/>
      <c r="P44" s="22"/>
      <c r="Q44" s="22"/>
      <c r="R44" s="22"/>
      <c r="S44" s="22"/>
      <c r="T44" s="22"/>
      <c r="U44" s="22">
        <v>2</v>
      </c>
      <c r="V44" s="22"/>
      <c r="W44" s="22"/>
      <c r="X44" s="22"/>
      <c r="Y44" s="22">
        <v>1</v>
      </c>
      <c r="Z44" s="22"/>
      <c r="AA44" s="22"/>
      <c r="AB44" s="22"/>
      <c r="AC44" s="22"/>
      <c r="AD44" s="22"/>
      <c r="AE44" s="22"/>
      <c r="AF44" s="22"/>
      <c r="AG44" s="22">
        <v>1</v>
      </c>
      <c r="AH44" s="36" t="s">
        <v>597</v>
      </c>
    </row>
    <row r="45" spans="1:34" ht="16" x14ac:dyDescent="0.2">
      <c r="A45" s="4">
        <v>45831</v>
      </c>
      <c r="B45" s="4">
        <v>45831</v>
      </c>
      <c r="C45" s="4"/>
      <c r="D45" s="5" t="s">
        <v>20</v>
      </c>
      <c r="E45" s="5">
        <v>15</v>
      </c>
      <c r="F45" s="5" t="s">
        <v>2</v>
      </c>
      <c r="G45" s="5" t="s">
        <v>3</v>
      </c>
      <c r="H45" s="5">
        <v>0.55000000000000004</v>
      </c>
      <c r="I45" s="5">
        <v>30.3</v>
      </c>
      <c r="J45" s="22">
        <v>4</v>
      </c>
      <c r="K45" s="22"/>
      <c r="L45" s="22"/>
      <c r="M45" s="22"/>
      <c r="N45" s="22"/>
      <c r="O45" s="22"/>
      <c r="P45" s="22"/>
      <c r="Q45" s="22"/>
      <c r="R45" s="22">
        <v>1</v>
      </c>
      <c r="S45" s="22"/>
      <c r="T45" s="22"/>
      <c r="U45" s="22">
        <v>2</v>
      </c>
      <c r="V45" s="22"/>
      <c r="W45" s="22"/>
      <c r="X45" s="22"/>
      <c r="Y45" s="22"/>
      <c r="Z45" s="22"/>
      <c r="AA45" s="22"/>
      <c r="AB45" s="22"/>
      <c r="AC45" s="22"/>
      <c r="AD45" s="22"/>
      <c r="AE45" s="22">
        <v>1</v>
      </c>
      <c r="AF45" s="22"/>
      <c r="AG45" s="22"/>
      <c r="AH45" s="22"/>
    </row>
    <row r="46" spans="1:34" ht="16" x14ac:dyDescent="0.2">
      <c r="A46" s="4">
        <v>45831</v>
      </c>
      <c r="B46" s="4">
        <v>45831</v>
      </c>
      <c r="C46" s="4"/>
      <c r="D46" s="5" t="s">
        <v>20</v>
      </c>
      <c r="E46" s="5">
        <v>17</v>
      </c>
      <c r="F46" s="5" t="s">
        <v>2</v>
      </c>
      <c r="G46" s="5" t="s">
        <v>6</v>
      </c>
      <c r="H46" s="5">
        <v>0.75</v>
      </c>
      <c r="I46" s="5">
        <v>33.4</v>
      </c>
      <c r="J46" s="22">
        <v>4</v>
      </c>
      <c r="K46" s="22"/>
      <c r="L46" s="22"/>
      <c r="M46" s="22"/>
      <c r="N46" s="22"/>
      <c r="O46" s="22">
        <v>1</v>
      </c>
      <c r="P46" s="22"/>
      <c r="Q46" s="22"/>
      <c r="R46" s="22"/>
      <c r="S46" s="22"/>
      <c r="T46" s="22"/>
      <c r="U46" s="22">
        <v>1</v>
      </c>
      <c r="V46" s="22"/>
      <c r="W46" s="22"/>
      <c r="X46" s="22"/>
      <c r="Y46" s="22"/>
      <c r="Z46" s="22"/>
      <c r="AA46" s="22"/>
      <c r="AB46" s="22"/>
      <c r="AC46" s="22"/>
      <c r="AD46" s="22"/>
      <c r="AE46" s="22"/>
      <c r="AF46" s="22"/>
      <c r="AG46" s="22">
        <v>1</v>
      </c>
      <c r="AH46" s="36" t="s">
        <v>592</v>
      </c>
    </row>
    <row r="47" spans="1:34" ht="16" x14ac:dyDescent="0.2">
      <c r="A47" s="4">
        <v>45831</v>
      </c>
      <c r="B47" s="4">
        <v>45831</v>
      </c>
      <c r="C47" s="4"/>
      <c r="D47" s="5" t="s">
        <v>20</v>
      </c>
      <c r="E47" s="5">
        <v>18</v>
      </c>
      <c r="F47" s="5" t="s">
        <v>2</v>
      </c>
      <c r="G47" s="5" t="s">
        <v>3</v>
      </c>
      <c r="H47" s="5">
        <v>1.75</v>
      </c>
      <c r="I47" s="5">
        <v>47.6</v>
      </c>
      <c r="J47" s="22">
        <v>4</v>
      </c>
      <c r="K47" s="22"/>
      <c r="L47" s="22"/>
      <c r="M47" s="22">
        <v>1</v>
      </c>
      <c r="N47" s="22"/>
      <c r="O47" s="22"/>
      <c r="P47" s="22"/>
      <c r="Q47" s="22"/>
      <c r="R47" s="22"/>
      <c r="S47" s="22"/>
      <c r="T47" s="22">
        <v>13</v>
      </c>
      <c r="U47" s="22">
        <v>2</v>
      </c>
      <c r="V47" s="22"/>
      <c r="W47" s="22"/>
      <c r="X47" s="22"/>
      <c r="Y47" s="22"/>
      <c r="Z47" s="22"/>
      <c r="AA47" s="22"/>
      <c r="AB47" s="22"/>
      <c r="AC47" s="22"/>
      <c r="AD47" s="22"/>
      <c r="AE47" s="22"/>
      <c r="AF47" s="22"/>
      <c r="AG47" s="22"/>
      <c r="AH47" s="22"/>
    </row>
    <row r="48" spans="1:34" ht="16" x14ac:dyDescent="0.2">
      <c r="A48" s="4">
        <v>45831</v>
      </c>
      <c r="B48" s="4">
        <v>45831</v>
      </c>
      <c r="C48" s="4"/>
      <c r="D48" s="5" t="s">
        <v>20</v>
      </c>
      <c r="E48" s="5">
        <v>19</v>
      </c>
      <c r="F48" s="5" t="s">
        <v>2</v>
      </c>
      <c r="G48" s="5" t="s">
        <v>5</v>
      </c>
      <c r="H48" s="5">
        <v>1.35</v>
      </c>
      <c r="I48" s="5">
        <v>37.299999999999997</v>
      </c>
      <c r="J48" s="22"/>
      <c r="K48" s="22"/>
      <c r="L48" s="22"/>
      <c r="M48" s="22">
        <v>2</v>
      </c>
      <c r="N48" s="22"/>
      <c r="O48" s="22"/>
      <c r="P48" s="22"/>
      <c r="Q48" s="22"/>
      <c r="R48" s="22"/>
      <c r="S48" s="22"/>
      <c r="T48" s="22"/>
      <c r="U48" s="22"/>
      <c r="V48" s="22"/>
      <c r="W48" s="22"/>
      <c r="X48" s="22"/>
      <c r="Y48" s="22"/>
      <c r="Z48" s="22"/>
      <c r="AA48" s="22"/>
      <c r="AB48" s="22">
        <v>1</v>
      </c>
      <c r="AC48" s="22"/>
      <c r="AD48" s="22"/>
      <c r="AE48" s="22"/>
      <c r="AF48" s="22"/>
      <c r="AG48" s="22">
        <v>1</v>
      </c>
      <c r="AH48" s="36" t="s">
        <v>591</v>
      </c>
    </row>
    <row r="49" spans="1:34" ht="16" x14ac:dyDescent="0.2">
      <c r="A49" s="4">
        <v>45831</v>
      </c>
      <c r="B49" s="4">
        <v>45831</v>
      </c>
      <c r="C49" s="4"/>
      <c r="D49" s="5" t="s">
        <v>20</v>
      </c>
      <c r="E49" s="5">
        <v>21</v>
      </c>
      <c r="F49" s="5" t="s">
        <v>2</v>
      </c>
      <c r="G49" s="5" t="s">
        <v>5</v>
      </c>
      <c r="H49" s="5">
        <v>0.7</v>
      </c>
      <c r="I49" s="5">
        <v>34.85</v>
      </c>
      <c r="J49" s="22">
        <v>1</v>
      </c>
      <c r="K49" s="22"/>
      <c r="L49" s="22"/>
      <c r="M49" s="22"/>
      <c r="N49" s="22"/>
      <c r="O49" s="22">
        <v>1</v>
      </c>
      <c r="P49" s="22"/>
      <c r="Q49" s="22">
        <v>1</v>
      </c>
      <c r="R49" s="22"/>
      <c r="S49" s="22"/>
      <c r="T49" s="22"/>
      <c r="U49" s="22"/>
      <c r="V49" s="22"/>
      <c r="W49" s="22"/>
      <c r="X49" s="22"/>
      <c r="Y49" s="22"/>
      <c r="Z49" s="22"/>
      <c r="AA49" s="22"/>
      <c r="AB49" s="22"/>
      <c r="AC49" s="22"/>
      <c r="AD49" s="22"/>
      <c r="AE49" s="22"/>
      <c r="AF49" s="22"/>
      <c r="AG49" s="22">
        <v>3</v>
      </c>
      <c r="AH49" s="36" t="s">
        <v>590</v>
      </c>
    </row>
    <row r="50" spans="1:34" ht="16" x14ac:dyDescent="0.2">
      <c r="A50" s="4">
        <v>45831</v>
      </c>
      <c r="B50" s="4">
        <v>45831</v>
      </c>
      <c r="C50" s="4"/>
      <c r="D50" s="5" t="s">
        <v>20</v>
      </c>
      <c r="E50" s="5">
        <v>22</v>
      </c>
      <c r="F50" s="5" t="s">
        <v>2</v>
      </c>
      <c r="G50" s="5" t="s">
        <v>3</v>
      </c>
      <c r="H50" s="5">
        <v>0.85</v>
      </c>
      <c r="I50" s="5">
        <v>35.85</v>
      </c>
      <c r="J50" s="22">
        <v>2</v>
      </c>
      <c r="K50" s="22"/>
      <c r="L50" s="22"/>
      <c r="M50" s="22"/>
      <c r="N50" s="22"/>
      <c r="O50" s="22"/>
      <c r="P50" s="22"/>
      <c r="Q50" s="22"/>
      <c r="R50" s="22"/>
      <c r="S50" s="22"/>
      <c r="T50" s="22"/>
      <c r="U50" s="22"/>
      <c r="V50" s="22"/>
      <c r="W50" s="22"/>
      <c r="X50" s="22"/>
      <c r="Y50" s="22"/>
      <c r="Z50" s="22"/>
      <c r="AA50" s="22"/>
      <c r="AB50" s="22"/>
      <c r="AC50" s="22"/>
      <c r="AD50" s="22"/>
      <c r="AE50" s="22"/>
      <c r="AF50" s="22"/>
      <c r="AG50" s="22"/>
      <c r="AH50" s="22"/>
    </row>
    <row r="51" spans="1:34" ht="16" x14ac:dyDescent="0.2">
      <c r="A51" s="4">
        <v>45833</v>
      </c>
      <c r="B51" s="4">
        <v>45833</v>
      </c>
      <c r="C51" s="4"/>
      <c r="D51" s="12" t="s">
        <v>24</v>
      </c>
      <c r="E51" s="5">
        <v>6</v>
      </c>
      <c r="F51" s="5" t="s">
        <v>2</v>
      </c>
      <c r="G51" s="5" t="s">
        <v>3</v>
      </c>
      <c r="H51" s="5">
        <v>0.85</v>
      </c>
      <c r="I51" s="5">
        <v>36.75</v>
      </c>
      <c r="J51" s="22">
        <v>1</v>
      </c>
      <c r="K51" s="22"/>
      <c r="L51" s="22"/>
      <c r="M51" s="22"/>
      <c r="N51" s="22"/>
      <c r="O51" s="22">
        <v>1</v>
      </c>
      <c r="P51" s="22"/>
      <c r="Q51" s="22"/>
      <c r="R51" s="22"/>
      <c r="S51" s="22"/>
      <c r="T51" s="22">
        <v>3</v>
      </c>
      <c r="U51" s="22">
        <v>1</v>
      </c>
      <c r="V51" s="22"/>
      <c r="W51" s="22"/>
      <c r="X51" s="22"/>
      <c r="Y51" s="22"/>
      <c r="Z51" s="22"/>
      <c r="AA51" s="22"/>
      <c r="AB51" s="22"/>
      <c r="AC51" s="22"/>
      <c r="AD51" s="22"/>
      <c r="AE51" s="22"/>
      <c r="AF51" s="22"/>
      <c r="AG51" s="22">
        <v>1</v>
      </c>
      <c r="AH51" s="36" t="s">
        <v>589</v>
      </c>
    </row>
    <row r="52" spans="1:34" ht="16" x14ac:dyDescent="0.2">
      <c r="A52" s="4">
        <v>45833</v>
      </c>
      <c r="B52" s="4">
        <v>45833</v>
      </c>
      <c r="C52" s="4"/>
      <c r="D52" s="12" t="s">
        <v>24</v>
      </c>
      <c r="E52" s="5">
        <v>18</v>
      </c>
      <c r="F52" s="5" t="s">
        <v>2</v>
      </c>
      <c r="G52" s="5" t="s">
        <v>3</v>
      </c>
      <c r="H52" s="5">
        <v>0.8</v>
      </c>
      <c r="I52" s="5">
        <v>36.5</v>
      </c>
      <c r="J52" s="22"/>
      <c r="K52" s="22"/>
      <c r="L52" s="22"/>
      <c r="M52" s="22"/>
      <c r="N52" s="22">
        <v>4</v>
      </c>
      <c r="O52" s="22"/>
      <c r="P52" s="22"/>
      <c r="Q52" s="22"/>
      <c r="R52" s="22"/>
      <c r="S52" s="22"/>
      <c r="T52" s="22"/>
      <c r="U52" s="22"/>
      <c r="V52" s="22"/>
      <c r="W52" s="22"/>
      <c r="X52" s="22">
        <v>2</v>
      </c>
      <c r="Y52" s="22"/>
      <c r="Z52" s="22"/>
      <c r="AA52" s="22"/>
      <c r="AB52" s="22"/>
      <c r="AC52" s="22"/>
      <c r="AD52" s="22"/>
      <c r="AE52" s="22"/>
      <c r="AF52" s="22"/>
      <c r="AG52" s="22"/>
      <c r="AH52" s="36" t="s">
        <v>456</v>
      </c>
    </row>
    <row r="53" spans="1:34" ht="16" x14ac:dyDescent="0.2">
      <c r="A53" s="4">
        <v>45833</v>
      </c>
      <c r="B53" s="4">
        <v>45833</v>
      </c>
      <c r="C53" s="4"/>
      <c r="D53" s="12" t="s">
        <v>24</v>
      </c>
      <c r="E53" s="5">
        <v>22</v>
      </c>
      <c r="F53" s="5" t="s">
        <v>2</v>
      </c>
      <c r="G53" s="5" t="s">
        <v>3</v>
      </c>
      <c r="H53" s="5">
        <v>0.85</v>
      </c>
      <c r="I53" s="5">
        <v>35.4</v>
      </c>
      <c r="J53" s="22"/>
      <c r="K53" s="22"/>
      <c r="L53" s="22"/>
      <c r="M53" s="22"/>
      <c r="N53" s="22"/>
      <c r="O53" s="22">
        <v>2</v>
      </c>
      <c r="P53" s="22"/>
      <c r="Q53" s="22">
        <v>2</v>
      </c>
      <c r="R53" s="22"/>
      <c r="S53" s="22"/>
      <c r="T53" s="22">
        <v>1</v>
      </c>
      <c r="U53" s="22"/>
      <c r="V53" s="22"/>
      <c r="W53" s="22"/>
      <c r="X53" s="22"/>
      <c r="Y53" s="22"/>
      <c r="Z53" s="22"/>
      <c r="AA53" s="22"/>
      <c r="AB53" s="22"/>
      <c r="AC53" s="22"/>
      <c r="AD53" s="22"/>
      <c r="AE53" s="22"/>
      <c r="AF53" s="22"/>
      <c r="AG53" s="22">
        <v>1</v>
      </c>
      <c r="AH53" s="36" t="s">
        <v>588</v>
      </c>
    </row>
    <row r="54" spans="1:34" ht="16" x14ac:dyDescent="0.2">
      <c r="A54" s="4">
        <v>45833</v>
      </c>
      <c r="B54" s="4">
        <v>45833</v>
      </c>
      <c r="C54" s="4"/>
      <c r="D54" s="12" t="s">
        <v>24</v>
      </c>
      <c r="E54" s="5">
        <v>23</v>
      </c>
      <c r="F54" s="5" t="s">
        <v>2</v>
      </c>
      <c r="G54" s="5" t="s">
        <v>5</v>
      </c>
      <c r="H54" s="5">
        <v>1.3</v>
      </c>
      <c r="I54" s="5">
        <v>41.95</v>
      </c>
      <c r="J54" s="22"/>
      <c r="K54" s="22"/>
      <c r="L54" s="22"/>
      <c r="M54" s="22"/>
      <c r="N54" s="22"/>
      <c r="O54" s="22">
        <v>3</v>
      </c>
      <c r="P54" s="22"/>
      <c r="Q54" s="22"/>
      <c r="R54" s="22"/>
      <c r="S54" s="22"/>
      <c r="T54" s="22"/>
      <c r="U54" s="22"/>
      <c r="V54" s="22"/>
      <c r="W54" s="22"/>
      <c r="X54" s="22"/>
      <c r="Y54" s="22"/>
      <c r="Z54" s="22"/>
      <c r="AA54" s="22"/>
      <c r="AB54" s="22"/>
      <c r="AC54" s="22"/>
      <c r="AD54" s="22"/>
      <c r="AE54" s="22"/>
      <c r="AF54" s="22"/>
      <c r="AG54" s="22"/>
      <c r="AH54" s="22"/>
    </row>
    <row r="55" spans="1:34" ht="16" x14ac:dyDescent="0.2">
      <c r="A55" s="4">
        <v>45838</v>
      </c>
      <c r="B55" s="4">
        <v>45838</v>
      </c>
      <c r="C55" s="4"/>
      <c r="D55" s="5" t="s">
        <v>269</v>
      </c>
      <c r="E55" s="5">
        <v>5</v>
      </c>
      <c r="F55" s="5" t="s">
        <v>2</v>
      </c>
      <c r="G55" s="5" t="s">
        <v>3</v>
      </c>
      <c r="H55" s="5">
        <v>0.7</v>
      </c>
      <c r="I55" s="5">
        <v>37.4</v>
      </c>
      <c r="J55" s="22"/>
      <c r="K55" s="22"/>
      <c r="L55" s="22"/>
      <c r="M55" s="22">
        <v>1</v>
      </c>
      <c r="N55" s="22"/>
      <c r="O55" s="22"/>
      <c r="P55" s="22"/>
      <c r="Q55" s="22"/>
      <c r="R55" s="22"/>
      <c r="S55" s="22"/>
      <c r="T55" s="22"/>
      <c r="U55" s="22"/>
      <c r="V55" s="22"/>
      <c r="W55" s="22"/>
      <c r="X55" s="22"/>
      <c r="Y55" s="22"/>
      <c r="Z55" s="22"/>
      <c r="AA55" s="22"/>
      <c r="AB55" s="22"/>
      <c r="AC55" s="22"/>
      <c r="AD55" s="22"/>
      <c r="AE55" s="22"/>
      <c r="AF55" s="22"/>
      <c r="AG55" s="22"/>
      <c r="AH55" s="22"/>
    </row>
    <row r="56" spans="1:34" ht="16" x14ac:dyDescent="0.2">
      <c r="A56" s="4">
        <v>45838</v>
      </c>
      <c r="B56" s="4">
        <v>45838</v>
      </c>
      <c r="C56" s="4"/>
      <c r="D56" s="5" t="s">
        <v>269</v>
      </c>
      <c r="E56" s="5">
        <v>12</v>
      </c>
      <c r="F56" s="5" t="s">
        <v>2</v>
      </c>
      <c r="G56" s="5" t="s">
        <v>3</v>
      </c>
      <c r="H56" s="5">
        <v>0.8</v>
      </c>
      <c r="I56" s="5">
        <v>36.049999999999997</v>
      </c>
      <c r="J56" s="22">
        <v>2</v>
      </c>
      <c r="K56" s="22"/>
      <c r="L56" s="22"/>
      <c r="M56" s="22">
        <v>2</v>
      </c>
      <c r="N56" s="22"/>
      <c r="O56" s="22"/>
      <c r="P56" s="22"/>
      <c r="Q56" s="22"/>
      <c r="R56" s="22"/>
      <c r="S56" s="22"/>
      <c r="T56" s="22">
        <v>1</v>
      </c>
      <c r="U56" s="22"/>
      <c r="V56" s="22"/>
      <c r="W56" s="22"/>
      <c r="X56" s="22"/>
      <c r="Y56" s="22"/>
      <c r="Z56" s="22"/>
      <c r="AA56" s="22"/>
      <c r="AB56" s="22"/>
      <c r="AC56" s="22"/>
      <c r="AD56" s="22"/>
      <c r="AE56" s="22"/>
      <c r="AF56" s="22"/>
      <c r="AG56" s="22"/>
      <c r="AH56" s="22"/>
    </row>
    <row r="57" spans="1:34" ht="16" x14ac:dyDescent="0.2">
      <c r="A57" s="4">
        <v>45838</v>
      </c>
      <c r="B57" s="4">
        <v>45838</v>
      </c>
      <c r="C57" s="4"/>
      <c r="D57" s="5" t="s">
        <v>269</v>
      </c>
      <c r="E57" s="5">
        <v>16</v>
      </c>
      <c r="F57" s="5" t="s">
        <v>2</v>
      </c>
      <c r="G57" s="5" t="s">
        <v>5</v>
      </c>
      <c r="H57" s="5">
        <v>0.65</v>
      </c>
      <c r="I57" s="5">
        <v>35.85</v>
      </c>
      <c r="J57" s="22">
        <v>3</v>
      </c>
      <c r="K57" s="22"/>
      <c r="L57" s="22"/>
      <c r="M57" s="22">
        <v>1</v>
      </c>
      <c r="N57" s="22"/>
      <c r="O57" s="22"/>
      <c r="P57" s="22"/>
      <c r="Q57" s="22"/>
      <c r="R57" s="22"/>
      <c r="S57" s="22"/>
      <c r="T57" s="22">
        <v>3</v>
      </c>
      <c r="U57" s="22"/>
      <c r="V57" s="22"/>
      <c r="W57" s="22"/>
      <c r="X57" s="22"/>
      <c r="Y57" s="22"/>
      <c r="Z57" s="22"/>
      <c r="AA57" s="22"/>
      <c r="AB57" s="22"/>
      <c r="AC57" s="22"/>
      <c r="AD57" s="22"/>
      <c r="AE57" s="22"/>
      <c r="AF57" s="22"/>
      <c r="AG57" s="22"/>
      <c r="AH57" s="22"/>
    </row>
    <row r="58" spans="1:34" ht="16" x14ac:dyDescent="0.2">
      <c r="A58" s="4">
        <v>45838</v>
      </c>
      <c r="B58" s="4">
        <v>45838</v>
      </c>
      <c r="C58" s="4"/>
      <c r="D58" s="5" t="s">
        <v>269</v>
      </c>
      <c r="E58" s="5">
        <v>19</v>
      </c>
      <c r="F58" s="5" t="s">
        <v>2</v>
      </c>
      <c r="G58" s="5" t="s">
        <v>5</v>
      </c>
      <c r="H58" s="5">
        <v>0.75</v>
      </c>
      <c r="I58" s="5">
        <v>35.450000000000003</v>
      </c>
      <c r="J58" s="22">
        <v>1</v>
      </c>
      <c r="K58" s="22"/>
      <c r="L58" s="22"/>
      <c r="M58" s="22"/>
      <c r="N58" s="22"/>
      <c r="O58" s="22">
        <v>2</v>
      </c>
      <c r="P58" s="22"/>
      <c r="Q58" s="22"/>
      <c r="R58" s="22"/>
      <c r="S58" s="22"/>
      <c r="T58" s="22">
        <v>1</v>
      </c>
      <c r="U58" s="22"/>
      <c r="V58" s="22"/>
      <c r="W58" s="22"/>
      <c r="X58" s="22"/>
      <c r="Y58" s="22"/>
      <c r="Z58" s="22"/>
      <c r="AA58" s="22"/>
      <c r="AB58" s="22"/>
      <c r="AC58" s="22"/>
      <c r="AD58" s="22"/>
      <c r="AE58" s="22"/>
      <c r="AF58" s="22"/>
      <c r="AG58" s="22">
        <v>1</v>
      </c>
      <c r="AH58" s="36" t="s">
        <v>587</v>
      </c>
    </row>
    <row r="59" spans="1:34" ht="16" x14ac:dyDescent="0.2">
      <c r="A59" s="4">
        <v>45838</v>
      </c>
      <c r="B59" s="4">
        <v>45838</v>
      </c>
      <c r="C59" s="4"/>
      <c r="D59" s="5" t="s">
        <v>269</v>
      </c>
      <c r="E59" s="5">
        <v>21</v>
      </c>
      <c r="F59" s="5" t="s">
        <v>2</v>
      </c>
      <c r="G59" s="5" t="s">
        <v>3</v>
      </c>
      <c r="H59" s="5">
        <v>0.5</v>
      </c>
      <c r="I59" s="5">
        <v>33.6</v>
      </c>
      <c r="J59" s="22"/>
      <c r="K59" s="22"/>
      <c r="L59" s="22"/>
      <c r="M59" s="22"/>
      <c r="N59" s="22"/>
      <c r="O59" s="22"/>
      <c r="P59" s="22"/>
      <c r="Q59" s="22"/>
      <c r="R59" s="22"/>
      <c r="S59" s="22"/>
      <c r="T59" s="22">
        <v>5</v>
      </c>
      <c r="U59" s="22"/>
      <c r="V59" s="22"/>
      <c r="W59" s="22"/>
      <c r="X59" s="22"/>
      <c r="Y59" s="22"/>
      <c r="Z59" s="22"/>
      <c r="AA59" s="22"/>
      <c r="AB59" s="22"/>
      <c r="AC59" s="22"/>
      <c r="AD59" s="22"/>
      <c r="AE59" s="22"/>
      <c r="AF59" s="22"/>
      <c r="AG59" s="22"/>
      <c r="AH59" s="22"/>
    </row>
    <row r="60" spans="1:34" ht="16" x14ac:dyDescent="0.2">
      <c r="A60" s="4">
        <v>45838</v>
      </c>
      <c r="B60" s="4">
        <v>45838</v>
      </c>
      <c r="C60" s="4"/>
      <c r="D60" s="5" t="s">
        <v>269</v>
      </c>
      <c r="E60" s="5">
        <v>22</v>
      </c>
      <c r="F60" s="5" t="s">
        <v>2</v>
      </c>
      <c r="G60" s="5" t="s">
        <v>5</v>
      </c>
      <c r="H60" s="5">
        <v>0.95</v>
      </c>
      <c r="I60" s="5">
        <v>39.799999999999997</v>
      </c>
      <c r="J60" s="22">
        <v>3</v>
      </c>
      <c r="K60" s="22"/>
      <c r="L60" s="22"/>
      <c r="M60" s="22"/>
      <c r="N60" s="22">
        <v>1</v>
      </c>
      <c r="O60" s="22">
        <v>1</v>
      </c>
      <c r="P60" s="22"/>
      <c r="Q60" s="22"/>
      <c r="R60" s="22"/>
      <c r="S60" s="22"/>
      <c r="T60" s="22"/>
      <c r="U60" s="22"/>
      <c r="V60" s="22"/>
      <c r="W60" s="22"/>
      <c r="X60" s="22"/>
      <c r="Y60" s="22"/>
      <c r="Z60" s="22"/>
      <c r="AA60" s="22"/>
      <c r="AB60" s="22"/>
      <c r="AC60" s="22"/>
      <c r="AD60" s="22"/>
      <c r="AE60" s="22"/>
      <c r="AF60" s="22"/>
      <c r="AG60" s="22">
        <v>1</v>
      </c>
      <c r="AH60" s="36" t="s">
        <v>586</v>
      </c>
    </row>
    <row r="61" spans="1:34" ht="16" x14ac:dyDescent="0.2">
      <c r="A61" s="4">
        <v>45838</v>
      </c>
      <c r="B61" s="4">
        <v>45838</v>
      </c>
      <c r="C61" s="4"/>
      <c r="D61" s="5" t="s">
        <v>269</v>
      </c>
      <c r="E61" s="5">
        <v>24</v>
      </c>
      <c r="F61" s="5" t="s">
        <v>2</v>
      </c>
      <c r="G61" s="5" t="s">
        <v>3</v>
      </c>
      <c r="H61" s="5">
        <v>0.5</v>
      </c>
      <c r="I61" s="5">
        <v>31.95</v>
      </c>
      <c r="J61" s="22">
        <v>1</v>
      </c>
      <c r="K61" s="22"/>
      <c r="L61" s="22"/>
      <c r="M61" s="22">
        <v>1</v>
      </c>
      <c r="N61" s="22"/>
      <c r="O61" s="22"/>
      <c r="P61" s="22"/>
      <c r="Q61" s="22"/>
      <c r="R61" s="22"/>
      <c r="S61" s="22"/>
      <c r="T61" s="22"/>
      <c r="U61" s="22"/>
      <c r="V61" s="22"/>
      <c r="W61" s="22"/>
      <c r="X61" s="22"/>
      <c r="Y61" s="22"/>
      <c r="Z61" s="22"/>
      <c r="AA61" s="22"/>
      <c r="AB61" s="22"/>
      <c r="AC61" s="22"/>
      <c r="AD61" s="22"/>
      <c r="AE61" s="22"/>
      <c r="AF61" s="22"/>
      <c r="AG61" s="22">
        <v>1</v>
      </c>
      <c r="AH61" s="36" t="s">
        <v>585</v>
      </c>
    </row>
    <row r="62" spans="1:34" ht="16" x14ac:dyDescent="0.2">
      <c r="A62" s="4">
        <v>45839</v>
      </c>
      <c r="B62" s="4">
        <v>45839</v>
      </c>
      <c r="C62" s="4"/>
      <c r="D62" s="5" t="s">
        <v>46</v>
      </c>
      <c r="E62" s="5">
        <v>1</v>
      </c>
      <c r="F62" s="5" t="s">
        <v>2</v>
      </c>
      <c r="G62" s="5" t="s">
        <v>3</v>
      </c>
      <c r="H62" s="5">
        <v>1.1499999999999999</v>
      </c>
      <c r="I62" s="5">
        <v>38.15</v>
      </c>
      <c r="J62" s="22">
        <v>2</v>
      </c>
      <c r="K62" s="22"/>
      <c r="L62" s="22"/>
      <c r="M62" s="22">
        <v>3</v>
      </c>
      <c r="N62" s="22"/>
      <c r="O62" s="22"/>
      <c r="P62" s="22"/>
      <c r="Q62" s="22"/>
      <c r="R62" s="22"/>
      <c r="S62" s="22"/>
      <c r="T62" s="22">
        <v>8</v>
      </c>
      <c r="U62" s="22"/>
      <c r="V62" s="22"/>
      <c r="W62" s="22"/>
      <c r="X62" s="22"/>
      <c r="Y62" s="22"/>
      <c r="Z62" s="22"/>
      <c r="AA62" s="22"/>
      <c r="AB62" s="22"/>
      <c r="AC62" s="22"/>
      <c r="AD62" s="22"/>
      <c r="AE62" s="22"/>
      <c r="AF62" s="22"/>
      <c r="AG62" s="22"/>
      <c r="AH62" s="22"/>
    </row>
    <row r="63" spans="1:34" ht="16" x14ac:dyDescent="0.2">
      <c r="A63" s="4">
        <v>45840</v>
      </c>
      <c r="B63" s="4">
        <v>45840</v>
      </c>
      <c r="C63" s="4"/>
      <c r="D63" s="5" t="s">
        <v>49</v>
      </c>
      <c r="E63" s="5">
        <v>20</v>
      </c>
      <c r="F63" s="5" t="s">
        <v>12</v>
      </c>
      <c r="G63" s="5" t="s">
        <v>5</v>
      </c>
      <c r="H63" s="5">
        <v>0.75</v>
      </c>
      <c r="I63" s="5">
        <v>35.1</v>
      </c>
      <c r="J63" s="22">
        <v>1</v>
      </c>
      <c r="K63" s="22">
        <v>1</v>
      </c>
      <c r="L63" s="22"/>
      <c r="M63" s="22"/>
      <c r="N63" s="22"/>
      <c r="O63" s="22">
        <v>1</v>
      </c>
      <c r="P63" s="22"/>
      <c r="Q63" s="22"/>
      <c r="R63" s="22"/>
      <c r="S63" s="22"/>
      <c r="T63" s="22"/>
      <c r="U63" s="22"/>
      <c r="V63" s="22"/>
      <c r="W63" s="22"/>
      <c r="X63" s="22"/>
      <c r="Y63" s="22"/>
      <c r="Z63" s="22"/>
      <c r="AA63" s="22"/>
      <c r="AB63" s="22"/>
      <c r="AC63" s="22"/>
      <c r="AD63" s="22"/>
      <c r="AE63" s="22"/>
      <c r="AF63" s="22"/>
      <c r="AG63" s="22">
        <v>1</v>
      </c>
      <c r="AH63" s="36" t="s">
        <v>578</v>
      </c>
    </row>
    <row r="64" spans="1:34" ht="16" x14ac:dyDescent="0.2">
      <c r="A64" s="4">
        <v>45840</v>
      </c>
      <c r="B64" s="4">
        <v>45840</v>
      </c>
      <c r="C64" s="4"/>
      <c r="D64" s="5" t="s">
        <v>49</v>
      </c>
      <c r="E64" s="5">
        <v>21</v>
      </c>
      <c r="F64" s="5" t="s">
        <v>2</v>
      </c>
      <c r="G64" s="5" t="s">
        <v>5</v>
      </c>
      <c r="H64" s="5">
        <v>0.55000000000000004</v>
      </c>
      <c r="I64" s="5">
        <v>32.15</v>
      </c>
      <c r="J64" s="22">
        <v>11</v>
      </c>
      <c r="K64" s="22">
        <v>1</v>
      </c>
      <c r="L64" s="22"/>
      <c r="M64" s="22"/>
      <c r="N64" s="22"/>
      <c r="O64" s="22"/>
      <c r="P64" s="22"/>
      <c r="Q64" s="22"/>
      <c r="R64" s="22">
        <v>1</v>
      </c>
      <c r="S64" s="22"/>
      <c r="T64" s="22"/>
      <c r="U64" s="22"/>
      <c r="V64" s="22"/>
      <c r="W64" s="22"/>
      <c r="X64" s="22"/>
      <c r="Y64" s="22"/>
      <c r="Z64" s="22"/>
      <c r="AA64" s="22"/>
      <c r="AB64" s="22"/>
      <c r="AC64" s="22"/>
      <c r="AD64" s="22"/>
      <c r="AE64" s="22">
        <v>1</v>
      </c>
      <c r="AF64" s="22"/>
      <c r="AG64" s="22">
        <v>2</v>
      </c>
      <c r="AH64" s="36" t="s">
        <v>577</v>
      </c>
    </row>
    <row r="65" spans="1:34" ht="16" x14ac:dyDescent="0.2">
      <c r="A65" s="4">
        <v>45840</v>
      </c>
      <c r="B65" s="4">
        <v>45840</v>
      </c>
      <c r="C65" s="4"/>
      <c r="D65" s="5" t="s">
        <v>49</v>
      </c>
      <c r="E65" s="5">
        <v>22</v>
      </c>
      <c r="F65" s="5" t="s">
        <v>2</v>
      </c>
      <c r="G65" s="5" t="s">
        <v>5</v>
      </c>
      <c r="H65" s="5">
        <v>1.35</v>
      </c>
      <c r="I65" s="5">
        <v>43.2</v>
      </c>
      <c r="J65" s="22">
        <v>1</v>
      </c>
      <c r="K65" s="22"/>
      <c r="L65" s="22"/>
      <c r="M65" s="22">
        <v>2</v>
      </c>
      <c r="N65" s="22"/>
      <c r="O65" s="22"/>
      <c r="P65" s="22"/>
      <c r="Q65" s="22"/>
      <c r="R65" s="22"/>
      <c r="S65" s="22"/>
      <c r="T65" s="22">
        <v>19</v>
      </c>
      <c r="U65" s="22">
        <v>1</v>
      </c>
      <c r="V65" s="22"/>
      <c r="W65" s="22"/>
      <c r="X65" s="22"/>
      <c r="Y65" s="22"/>
      <c r="Z65" s="22"/>
      <c r="AA65" s="22"/>
      <c r="AB65" s="22"/>
      <c r="AC65" s="22"/>
      <c r="AD65" s="22"/>
      <c r="AE65" s="22"/>
      <c r="AF65" s="22"/>
      <c r="AG65" s="22">
        <v>1</v>
      </c>
      <c r="AH65" s="36" t="s">
        <v>576</v>
      </c>
    </row>
    <row r="66" spans="1:34" ht="16" x14ac:dyDescent="0.2">
      <c r="A66" s="4">
        <v>45840</v>
      </c>
      <c r="B66" s="4">
        <v>45840</v>
      </c>
      <c r="C66" s="4"/>
      <c r="D66" s="5" t="s">
        <v>49</v>
      </c>
      <c r="E66" s="5">
        <v>23</v>
      </c>
      <c r="F66" s="5" t="s">
        <v>2</v>
      </c>
      <c r="G66" s="5" t="s">
        <v>5</v>
      </c>
      <c r="H66" s="5">
        <v>0.8</v>
      </c>
      <c r="I66" s="5">
        <v>37.799999999999997</v>
      </c>
      <c r="J66" s="22">
        <v>1</v>
      </c>
      <c r="K66" s="22"/>
      <c r="L66" s="22"/>
      <c r="M66" s="22"/>
      <c r="N66" s="22"/>
      <c r="O66" s="22">
        <v>1</v>
      </c>
      <c r="P66" s="22"/>
      <c r="Q66" s="22"/>
      <c r="R66" s="22"/>
      <c r="S66" s="22"/>
      <c r="T66" s="22"/>
      <c r="U66" s="22"/>
      <c r="V66" s="22"/>
      <c r="W66" s="22"/>
      <c r="X66" s="22"/>
      <c r="Y66" s="22"/>
      <c r="Z66" s="22"/>
      <c r="AA66" s="22">
        <v>1</v>
      </c>
      <c r="AB66" s="22"/>
      <c r="AC66" s="22"/>
      <c r="AD66" s="22"/>
      <c r="AE66" s="22"/>
      <c r="AF66" s="22"/>
      <c r="AG66" s="22">
        <v>2</v>
      </c>
      <c r="AH66" s="36" t="s">
        <v>575</v>
      </c>
    </row>
    <row r="67" spans="1:34" ht="16" x14ac:dyDescent="0.2">
      <c r="A67" s="4">
        <v>45840</v>
      </c>
      <c r="B67" s="4">
        <v>45840</v>
      </c>
      <c r="C67" s="4"/>
      <c r="D67" s="5" t="s">
        <v>49</v>
      </c>
      <c r="E67" s="5">
        <v>24</v>
      </c>
      <c r="F67" s="5" t="s">
        <v>2</v>
      </c>
      <c r="G67" s="5" t="s">
        <v>5</v>
      </c>
      <c r="H67" s="5">
        <v>1.1499999999999999</v>
      </c>
      <c r="I67" s="5">
        <v>40.9</v>
      </c>
      <c r="J67" s="22"/>
      <c r="K67" s="22"/>
      <c r="L67" s="22"/>
      <c r="M67" s="22"/>
      <c r="N67" s="22"/>
      <c r="O67" s="22">
        <v>1</v>
      </c>
      <c r="P67" s="22"/>
      <c r="Q67" s="22"/>
      <c r="R67" s="22"/>
      <c r="S67" s="22"/>
      <c r="T67" s="22"/>
      <c r="U67" s="22"/>
      <c r="V67" s="22"/>
      <c r="W67" s="22"/>
      <c r="X67" s="22"/>
      <c r="Y67" s="22"/>
      <c r="Z67" s="22"/>
      <c r="AA67" s="22"/>
      <c r="AB67" s="22"/>
      <c r="AC67" s="22"/>
      <c r="AD67" s="22"/>
      <c r="AE67" s="22"/>
      <c r="AF67" s="22"/>
      <c r="AG67" s="22"/>
      <c r="AH67" s="22"/>
    </row>
    <row r="68" spans="1:34" ht="16" x14ac:dyDescent="0.2">
      <c r="A68" s="4">
        <v>45840</v>
      </c>
      <c r="B68" s="4">
        <v>45840</v>
      </c>
      <c r="C68" s="4"/>
      <c r="D68" s="5" t="s">
        <v>49</v>
      </c>
      <c r="E68" s="5">
        <v>25</v>
      </c>
      <c r="F68" s="5" t="s">
        <v>2</v>
      </c>
      <c r="G68" s="5" t="s">
        <v>5</v>
      </c>
      <c r="H68" s="5">
        <v>0.8</v>
      </c>
      <c r="I68" s="5">
        <v>37.9</v>
      </c>
      <c r="J68" s="22">
        <v>2</v>
      </c>
      <c r="K68" s="22">
        <v>2</v>
      </c>
      <c r="L68" s="22"/>
      <c r="M68" s="22"/>
      <c r="N68" s="22"/>
      <c r="O68" s="22">
        <v>1</v>
      </c>
      <c r="P68" s="22"/>
      <c r="Q68" s="22"/>
      <c r="R68" s="22"/>
      <c r="S68" s="22"/>
      <c r="T68" s="22"/>
      <c r="U68" s="22">
        <v>1</v>
      </c>
      <c r="V68" s="22"/>
      <c r="W68" s="22"/>
      <c r="X68" s="22"/>
      <c r="Y68" s="22"/>
      <c r="Z68" s="22"/>
      <c r="AA68" s="22"/>
      <c r="AB68" s="22"/>
      <c r="AC68" s="22"/>
      <c r="AD68" s="22"/>
      <c r="AE68" s="22"/>
      <c r="AF68" s="22"/>
      <c r="AG68" s="22"/>
      <c r="AH68" s="22"/>
    </row>
    <row r="69" spans="1:34" ht="16" x14ac:dyDescent="0.2">
      <c r="A69" s="4">
        <v>45840</v>
      </c>
      <c r="B69" s="4">
        <v>45840</v>
      </c>
      <c r="C69" s="4"/>
      <c r="D69" s="5" t="s">
        <v>49</v>
      </c>
      <c r="E69" s="5">
        <v>26</v>
      </c>
      <c r="F69" s="5" t="s">
        <v>12</v>
      </c>
      <c r="G69" s="5" t="s">
        <v>5</v>
      </c>
      <c r="H69" s="5">
        <v>1.1000000000000001</v>
      </c>
      <c r="I69" s="5">
        <v>44.4</v>
      </c>
      <c r="J69" s="22"/>
      <c r="K69" s="22"/>
      <c r="L69" s="22"/>
      <c r="M69" s="22"/>
      <c r="N69" s="22"/>
      <c r="O69" s="22"/>
      <c r="P69" s="22"/>
      <c r="Q69" s="22"/>
      <c r="R69" s="22"/>
      <c r="S69" s="22"/>
      <c r="T69" s="22"/>
      <c r="U69" s="22"/>
      <c r="V69" s="22"/>
      <c r="W69" s="22"/>
      <c r="X69" s="22"/>
      <c r="Y69" s="22"/>
      <c r="Z69" s="22"/>
      <c r="AA69" s="22"/>
      <c r="AB69" s="22"/>
      <c r="AC69" s="22"/>
      <c r="AD69" s="22"/>
      <c r="AE69" s="22"/>
      <c r="AF69" s="22"/>
      <c r="AG69" s="22">
        <v>1</v>
      </c>
      <c r="AH69" s="36" t="s">
        <v>574</v>
      </c>
    </row>
    <row r="70" spans="1:34" ht="16" x14ac:dyDescent="0.2">
      <c r="A70" s="4">
        <v>45840</v>
      </c>
      <c r="B70" s="4">
        <v>45840</v>
      </c>
      <c r="C70" s="4"/>
      <c r="D70" s="5" t="s">
        <v>49</v>
      </c>
      <c r="E70" s="5">
        <v>27</v>
      </c>
      <c r="F70" s="5" t="s">
        <v>2</v>
      </c>
      <c r="G70" s="5" t="s">
        <v>5</v>
      </c>
      <c r="H70" s="5">
        <v>0.65</v>
      </c>
      <c r="I70" s="5">
        <v>37.049999999999997</v>
      </c>
      <c r="J70" s="22">
        <v>4</v>
      </c>
      <c r="K70" s="22"/>
      <c r="L70" s="22"/>
      <c r="M70" s="22"/>
      <c r="N70" s="22"/>
      <c r="O70" s="22">
        <v>1</v>
      </c>
      <c r="P70" s="22"/>
      <c r="Q70" s="22"/>
      <c r="R70" s="22"/>
      <c r="S70" s="22"/>
      <c r="T70" s="22"/>
      <c r="U70" s="22">
        <v>2</v>
      </c>
      <c r="V70" s="22">
        <v>2</v>
      </c>
      <c r="W70" s="22"/>
      <c r="X70" s="22"/>
      <c r="Y70" s="22"/>
      <c r="Z70" s="22"/>
      <c r="AA70" s="22"/>
      <c r="AB70" s="22"/>
      <c r="AC70" s="22">
        <v>1</v>
      </c>
      <c r="AD70" s="22"/>
      <c r="AE70" s="22"/>
      <c r="AF70" s="22"/>
      <c r="AG70" s="22"/>
      <c r="AH70" s="36" t="s">
        <v>458</v>
      </c>
    </row>
    <row r="71" spans="1:34" ht="16" x14ac:dyDescent="0.2">
      <c r="A71" s="4">
        <v>45840</v>
      </c>
      <c r="B71" s="4">
        <v>45840</v>
      </c>
      <c r="C71" s="4"/>
      <c r="D71" s="5" t="s">
        <v>49</v>
      </c>
      <c r="E71" s="5">
        <v>28</v>
      </c>
      <c r="F71" s="5" t="s">
        <v>2</v>
      </c>
      <c r="G71" s="5" t="s">
        <v>3</v>
      </c>
      <c r="H71" s="5">
        <v>0.4</v>
      </c>
      <c r="I71" s="5">
        <v>32.35</v>
      </c>
      <c r="J71" s="22">
        <v>8</v>
      </c>
      <c r="K71" s="22">
        <v>1</v>
      </c>
      <c r="L71" s="22"/>
      <c r="M71" s="22">
        <v>2</v>
      </c>
      <c r="N71" s="22"/>
      <c r="O71" s="22"/>
      <c r="P71" s="22"/>
      <c r="Q71" s="22"/>
      <c r="R71" s="22"/>
      <c r="S71" s="22"/>
      <c r="T71" s="22"/>
      <c r="U71" s="22">
        <v>1</v>
      </c>
      <c r="V71" s="22"/>
      <c r="W71" s="22"/>
      <c r="X71" s="22"/>
      <c r="Y71" s="22"/>
      <c r="Z71" s="22"/>
      <c r="AA71" s="22"/>
      <c r="AB71" s="22"/>
      <c r="AC71" s="22"/>
      <c r="AD71" s="22"/>
      <c r="AE71" s="22"/>
      <c r="AF71" s="22"/>
      <c r="AG71" s="22"/>
      <c r="AH71" s="36"/>
    </row>
    <row r="72" spans="1:34" ht="16" x14ac:dyDescent="0.2">
      <c r="A72" s="4">
        <v>45840</v>
      </c>
      <c r="B72" s="4">
        <v>45840</v>
      </c>
      <c r="C72" s="4"/>
      <c r="D72" s="5" t="s">
        <v>49</v>
      </c>
      <c r="E72" s="5">
        <v>29</v>
      </c>
      <c r="F72" s="5" t="s">
        <v>2</v>
      </c>
      <c r="G72" s="5" t="s">
        <v>3</v>
      </c>
      <c r="H72" s="5">
        <v>1.25</v>
      </c>
      <c r="I72" s="5">
        <v>45.9</v>
      </c>
      <c r="J72" s="22">
        <v>1</v>
      </c>
      <c r="K72" s="22"/>
      <c r="L72" s="22"/>
      <c r="M72" s="22"/>
      <c r="N72" s="22">
        <v>1</v>
      </c>
      <c r="O72" s="22">
        <v>1</v>
      </c>
      <c r="P72" s="22"/>
      <c r="Q72" s="22"/>
      <c r="R72" s="22"/>
      <c r="S72" s="22"/>
      <c r="T72" s="22"/>
      <c r="U72" s="22"/>
      <c r="V72" s="22"/>
      <c r="W72" s="22"/>
      <c r="X72" s="22"/>
      <c r="Y72" s="22"/>
      <c r="Z72" s="22"/>
      <c r="AA72" s="22"/>
      <c r="AB72" s="22"/>
      <c r="AC72" s="22"/>
      <c r="AD72" s="22"/>
      <c r="AE72" s="22"/>
      <c r="AF72" s="22"/>
      <c r="AG72" s="22"/>
      <c r="AH72" s="36" t="s">
        <v>573</v>
      </c>
    </row>
    <row r="73" spans="1:34" ht="16" x14ac:dyDescent="0.2">
      <c r="A73" s="4">
        <v>45840</v>
      </c>
      <c r="B73" s="4">
        <v>45840</v>
      </c>
      <c r="C73" s="4"/>
      <c r="D73" s="5" t="s">
        <v>49</v>
      </c>
      <c r="E73" s="5">
        <v>30</v>
      </c>
      <c r="F73" s="5" t="s">
        <v>2</v>
      </c>
      <c r="G73" s="5" t="s">
        <v>5</v>
      </c>
      <c r="H73" s="5">
        <v>1</v>
      </c>
      <c r="I73" s="5">
        <v>38.200000000000003</v>
      </c>
      <c r="J73" s="22">
        <v>2</v>
      </c>
      <c r="K73" s="22"/>
      <c r="L73" s="22"/>
      <c r="M73" s="22">
        <v>2</v>
      </c>
      <c r="N73" s="22">
        <v>1</v>
      </c>
      <c r="O73" s="22"/>
      <c r="P73" s="22"/>
      <c r="Q73" s="22"/>
      <c r="R73" s="22"/>
      <c r="S73" s="22"/>
      <c r="T73" s="22"/>
      <c r="U73" s="22">
        <v>1</v>
      </c>
      <c r="V73" s="22"/>
      <c r="W73" s="22"/>
      <c r="X73" s="22"/>
      <c r="Y73" s="22">
        <v>1</v>
      </c>
      <c r="Z73" s="22"/>
      <c r="AA73" s="22"/>
      <c r="AB73" s="22"/>
      <c r="AC73" s="22"/>
      <c r="AD73" s="22"/>
      <c r="AE73" s="22"/>
      <c r="AF73" s="22"/>
      <c r="AG73" s="22"/>
      <c r="AH73" s="22"/>
    </row>
    <row r="74" spans="1:34" ht="16" x14ac:dyDescent="0.2">
      <c r="A74" s="4">
        <v>45840</v>
      </c>
      <c r="B74" s="4">
        <v>45840</v>
      </c>
      <c r="C74" s="4"/>
      <c r="D74" s="5" t="s">
        <v>49</v>
      </c>
      <c r="E74" s="5">
        <v>31</v>
      </c>
      <c r="F74" s="5" t="s">
        <v>2</v>
      </c>
      <c r="G74" s="5" t="s">
        <v>5</v>
      </c>
      <c r="H74" s="5">
        <v>0.55000000000000004</v>
      </c>
      <c r="I74" s="5">
        <v>33.6</v>
      </c>
      <c r="J74" s="22">
        <v>1</v>
      </c>
      <c r="K74" s="22"/>
      <c r="L74" s="22"/>
      <c r="M74" s="22">
        <v>3</v>
      </c>
      <c r="N74" s="22"/>
      <c r="O74" s="22"/>
      <c r="P74" s="22"/>
      <c r="Q74" s="22"/>
      <c r="R74" s="22"/>
      <c r="S74" s="22"/>
      <c r="T74" s="22"/>
      <c r="U74" s="22"/>
      <c r="V74" s="22"/>
      <c r="W74" s="22"/>
      <c r="X74" s="22"/>
      <c r="Y74" s="22"/>
      <c r="Z74" s="22"/>
      <c r="AA74" s="22"/>
      <c r="AB74" s="22"/>
      <c r="AC74" s="22"/>
      <c r="AD74" s="22"/>
      <c r="AE74" s="22"/>
      <c r="AF74" s="22"/>
      <c r="AG74" s="22"/>
      <c r="AH74" s="36" t="s">
        <v>572</v>
      </c>
    </row>
    <row r="75" spans="1:34" ht="16" x14ac:dyDescent="0.2">
      <c r="A75" s="4">
        <v>45840</v>
      </c>
      <c r="B75" s="4">
        <v>45840</v>
      </c>
      <c r="C75" s="4"/>
      <c r="D75" s="5" t="s">
        <v>49</v>
      </c>
      <c r="E75" s="5">
        <v>32</v>
      </c>
      <c r="F75" s="5" t="s">
        <v>12</v>
      </c>
      <c r="G75" s="5" t="s">
        <v>5</v>
      </c>
      <c r="H75" s="5">
        <v>0.85</v>
      </c>
      <c r="I75" s="5">
        <v>40.5</v>
      </c>
      <c r="J75" s="22">
        <v>1</v>
      </c>
      <c r="K75" s="22"/>
      <c r="L75" s="22"/>
      <c r="M75" s="22"/>
      <c r="N75" s="22"/>
      <c r="O75" s="22"/>
      <c r="P75" s="22"/>
      <c r="Q75" s="22"/>
      <c r="R75" s="22"/>
      <c r="S75" s="22"/>
      <c r="T75" s="22"/>
      <c r="U75" s="22"/>
      <c r="V75" s="22"/>
      <c r="W75" s="22"/>
      <c r="X75" s="22"/>
      <c r="Y75" s="22"/>
      <c r="Z75" s="22"/>
      <c r="AA75" s="22"/>
      <c r="AB75" s="22"/>
      <c r="AC75" s="22"/>
      <c r="AD75" s="22"/>
      <c r="AE75" s="22"/>
      <c r="AF75" s="22"/>
      <c r="AG75" s="22">
        <v>1</v>
      </c>
      <c r="AH75" s="36" t="s">
        <v>571</v>
      </c>
    </row>
    <row r="76" spans="1:34" ht="16" x14ac:dyDescent="0.2">
      <c r="A76" s="4">
        <v>45840</v>
      </c>
      <c r="B76" s="4">
        <v>45840</v>
      </c>
      <c r="C76" s="4"/>
      <c r="D76" s="5" t="s">
        <v>49</v>
      </c>
      <c r="E76" s="5">
        <v>33</v>
      </c>
      <c r="F76" s="5" t="s">
        <v>2</v>
      </c>
      <c r="G76" s="5" t="s">
        <v>3</v>
      </c>
      <c r="H76" s="5">
        <v>0.6</v>
      </c>
      <c r="I76" s="5">
        <v>33.9</v>
      </c>
      <c r="J76" s="22">
        <v>2</v>
      </c>
      <c r="K76" s="22"/>
      <c r="L76" s="22"/>
      <c r="M76" s="22"/>
      <c r="N76" s="22"/>
      <c r="O76" s="22">
        <v>1</v>
      </c>
      <c r="P76" s="22"/>
      <c r="Q76" s="22"/>
      <c r="R76" s="22"/>
      <c r="S76" s="22"/>
      <c r="T76" s="22"/>
      <c r="U76" s="22"/>
      <c r="V76" s="22"/>
      <c r="W76" s="22"/>
      <c r="X76" s="22"/>
      <c r="Y76" s="22"/>
      <c r="Z76" s="22"/>
      <c r="AA76" s="22"/>
      <c r="AB76" s="22"/>
      <c r="AC76" s="22"/>
      <c r="AD76" s="22"/>
      <c r="AE76" s="22"/>
      <c r="AF76" s="22"/>
      <c r="AG76" s="22"/>
      <c r="AH76" s="22"/>
    </row>
    <row r="77" spans="1:34" ht="16" x14ac:dyDescent="0.2">
      <c r="A77" s="4">
        <v>45840</v>
      </c>
      <c r="B77" s="4">
        <v>45840</v>
      </c>
      <c r="C77" s="4"/>
      <c r="D77" s="5" t="s">
        <v>49</v>
      </c>
      <c r="E77" s="5">
        <v>38</v>
      </c>
      <c r="F77" s="5" t="s">
        <v>2</v>
      </c>
      <c r="G77" s="5" t="s">
        <v>3</v>
      </c>
      <c r="H77" s="5">
        <v>1</v>
      </c>
      <c r="I77" s="5">
        <v>42.9</v>
      </c>
      <c r="J77" s="22">
        <v>5</v>
      </c>
      <c r="K77" s="22">
        <v>1</v>
      </c>
      <c r="L77" s="22"/>
      <c r="M77" s="22">
        <v>2</v>
      </c>
      <c r="N77" s="22"/>
      <c r="O77" s="22"/>
      <c r="P77" s="22"/>
      <c r="Q77" s="22"/>
      <c r="R77" s="22">
        <v>4</v>
      </c>
      <c r="S77" s="22"/>
      <c r="T77" s="22"/>
      <c r="U77" s="22"/>
      <c r="V77" s="22"/>
      <c r="W77" s="22"/>
      <c r="X77" s="22"/>
      <c r="Y77" s="22">
        <v>1</v>
      </c>
      <c r="Z77" s="22"/>
      <c r="AA77" s="22"/>
      <c r="AB77" s="22"/>
      <c r="AC77" s="22"/>
      <c r="AD77" s="22"/>
      <c r="AE77" s="22"/>
      <c r="AF77" s="22"/>
      <c r="AG77" s="22">
        <v>2</v>
      </c>
      <c r="AH77" s="36" t="s">
        <v>570</v>
      </c>
    </row>
    <row r="78" spans="1:34" ht="16" x14ac:dyDescent="0.2">
      <c r="A78" s="4">
        <v>45840</v>
      </c>
      <c r="B78" s="4">
        <v>45840</v>
      </c>
      <c r="C78" s="4"/>
      <c r="D78" s="5" t="s">
        <v>49</v>
      </c>
      <c r="E78" s="5">
        <v>39</v>
      </c>
      <c r="F78" s="5" t="s">
        <v>2</v>
      </c>
      <c r="G78" s="5" t="s">
        <v>3</v>
      </c>
      <c r="H78" s="5">
        <v>0.95</v>
      </c>
      <c r="I78" s="5">
        <v>42.6</v>
      </c>
      <c r="J78" s="22"/>
      <c r="K78" s="22">
        <v>1</v>
      </c>
      <c r="L78" s="22"/>
      <c r="M78" s="22"/>
      <c r="N78" s="22"/>
      <c r="O78" s="22"/>
      <c r="P78" s="22"/>
      <c r="Q78" s="22"/>
      <c r="R78" s="22"/>
      <c r="S78" s="22"/>
      <c r="T78" s="22"/>
      <c r="U78" s="22"/>
      <c r="V78" s="22"/>
      <c r="W78" s="22"/>
      <c r="X78" s="22"/>
      <c r="Y78" s="22"/>
      <c r="Z78" s="22"/>
      <c r="AA78" s="22"/>
      <c r="AB78" s="22"/>
      <c r="AC78" s="22"/>
      <c r="AD78" s="22"/>
      <c r="AE78" s="22"/>
      <c r="AF78" s="22"/>
      <c r="AG78" s="22"/>
      <c r="AH78" s="22"/>
    </row>
    <row r="79" spans="1:34" ht="16" x14ac:dyDescent="0.2">
      <c r="A79" s="4">
        <v>45840</v>
      </c>
      <c r="B79" s="4">
        <v>45840</v>
      </c>
      <c r="C79" s="4"/>
      <c r="D79" s="5" t="s">
        <v>49</v>
      </c>
      <c r="E79" s="5">
        <v>40</v>
      </c>
      <c r="F79" s="5" t="s">
        <v>2</v>
      </c>
      <c r="G79" s="5" t="s">
        <v>3</v>
      </c>
      <c r="H79" s="5">
        <v>0.5</v>
      </c>
      <c r="I79" s="5">
        <v>32.35</v>
      </c>
      <c r="J79" s="22">
        <v>6</v>
      </c>
      <c r="K79" s="22">
        <v>1</v>
      </c>
      <c r="L79" s="22"/>
      <c r="M79" s="22">
        <v>7</v>
      </c>
      <c r="N79" s="22"/>
      <c r="O79" s="22"/>
      <c r="P79" s="22"/>
      <c r="Q79" s="22"/>
      <c r="R79" s="22"/>
      <c r="S79" s="22"/>
      <c r="T79" s="22">
        <v>1</v>
      </c>
      <c r="U79" s="22">
        <v>1</v>
      </c>
      <c r="V79" s="22"/>
      <c r="W79" s="22"/>
      <c r="X79" s="22"/>
      <c r="Y79" s="22"/>
      <c r="Z79" s="22"/>
      <c r="AA79" s="22"/>
      <c r="AB79" s="22"/>
      <c r="AC79" s="22"/>
      <c r="AD79" s="22"/>
      <c r="AE79" s="22"/>
      <c r="AF79" s="22"/>
      <c r="AG79" s="22"/>
      <c r="AH79" s="22"/>
    </row>
    <row r="80" spans="1:34" ht="16" x14ac:dyDescent="0.2">
      <c r="A80" s="4">
        <v>45842</v>
      </c>
      <c r="B80" s="4">
        <v>45842</v>
      </c>
      <c r="C80" s="4"/>
      <c r="D80" s="5" t="s">
        <v>52</v>
      </c>
      <c r="E80" s="5">
        <v>10</v>
      </c>
      <c r="F80" s="5" t="s">
        <v>2</v>
      </c>
      <c r="G80" s="5" t="s">
        <v>3</v>
      </c>
      <c r="H80" s="5">
        <v>1.25</v>
      </c>
      <c r="I80" s="5">
        <v>42.9</v>
      </c>
      <c r="J80" s="22">
        <v>1</v>
      </c>
      <c r="K80" s="22"/>
      <c r="L80" s="22"/>
      <c r="M80" s="22">
        <v>3</v>
      </c>
      <c r="N80" s="22"/>
      <c r="O80" s="22"/>
      <c r="P80" s="22"/>
      <c r="Q80" s="22"/>
      <c r="R80" s="22"/>
      <c r="S80" s="22"/>
      <c r="T80" s="22">
        <v>1</v>
      </c>
      <c r="U80" s="22"/>
      <c r="V80" s="22"/>
      <c r="W80" s="22">
        <v>1</v>
      </c>
      <c r="X80" s="22"/>
      <c r="Y80" s="22"/>
      <c r="Z80" s="22"/>
      <c r="AA80" s="22"/>
      <c r="AB80" s="22"/>
      <c r="AC80" s="22"/>
      <c r="AD80" s="22"/>
      <c r="AE80" s="22"/>
      <c r="AF80" s="22"/>
      <c r="AG80" s="22">
        <v>2</v>
      </c>
      <c r="AH80" s="36" t="s">
        <v>569</v>
      </c>
    </row>
    <row r="81" spans="1:34" ht="16" x14ac:dyDescent="0.2">
      <c r="A81" s="4">
        <v>45842</v>
      </c>
      <c r="B81" s="4">
        <v>45842</v>
      </c>
      <c r="C81" s="4"/>
      <c r="D81" s="5" t="s">
        <v>52</v>
      </c>
      <c r="E81" s="5">
        <v>11</v>
      </c>
      <c r="F81" s="5" t="s">
        <v>2</v>
      </c>
      <c r="G81" s="5" t="s">
        <v>3</v>
      </c>
      <c r="H81" s="5">
        <v>1.3</v>
      </c>
      <c r="I81" s="5">
        <v>41.3</v>
      </c>
      <c r="J81" s="22">
        <v>1</v>
      </c>
      <c r="K81" s="22"/>
      <c r="L81" s="22">
        <v>1</v>
      </c>
      <c r="M81" s="22">
        <v>2</v>
      </c>
      <c r="N81" s="22"/>
      <c r="O81" s="22"/>
      <c r="P81" s="22"/>
      <c r="Q81" s="22"/>
      <c r="R81" s="22"/>
      <c r="S81" s="22"/>
      <c r="T81" s="22">
        <v>3</v>
      </c>
      <c r="U81" s="22"/>
      <c r="V81" s="22"/>
      <c r="W81" s="22"/>
      <c r="X81" s="22"/>
      <c r="Y81" s="22"/>
      <c r="Z81" s="22"/>
      <c r="AA81" s="22"/>
      <c r="AB81" s="22"/>
      <c r="AC81" s="22"/>
      <c r="AD81" s="22"/>
      <c r="AE81" s="22"/>
      <c r="AF81" s="22"/>
      <c r="AG81" s="22">
        <v>1</v>
      </c>
      <c r="AH81" s="36" t="s">
        <v>568</v>
      </c>
    </row>
    <row r="82" spans="1:34" ht="16" x14ac:dyDescent="0.2">
      <c r="A82" s="4">
        <v>45842</v>
      </c>
      <c r="B82" s="4">
        <v>45842</v>
      </c>
      <c r="C82" s="4"/>
      <c r="D82" s="5" t="s">
        <v>52</v>
      </c>
      <c r="E82" s="5">
        <v>12</v>
      </c>
      <c r="F82" s="5" t="s">
        <v>2</v>
      </c>
      <c r="G82" s="5" t="s">
        <v>3</v>
      </c>
      <c r="H82" s="5">
        <v>0.95</v>
      </c>
      <c r="I82" s="5">
        <v>36.9</v>
      </c>
      <c r="J82" s="22">
        <v>4</v>
      </c>
      <c r="K82" s="22"/>
      <c r="L82" s="22"/>
      <c r="M82" s="22">
        <v>1</v>
      </c>
      <c r="N82" s="22"/>
      <c r="O82" s="22">
        <v>2</v>
      </c>
      <c r="P82" s="22"/>
      <c r="Q82" s="22"/>
      <c r="R82" s="22">
        <v>1</v>
      </c>
      <c r="S82" s="22">
        <v>1</v>
      </c>
      <c r="T82" s="22">
        <v>2</v>
      </c>
      <c r="U82" s="22">
        <v>1</v>
      </c>
      <c r="V82" s="22"/>
      <c r="W82" s="22"/>
      <c r="X82" s="22"/>
      <c r="Y82" s="22"/>
      <c r="Z82" s="22"/>
      <c r="AA82" s="22"/>
      <c r="AB82" s="22"/>
      <c r="AC82" s="22"/>
      <c r="AD82" s="22"/>
      <c r="AE82" s="22">
        <v>1</v>
      </c>
      <c r="AF82" s="22"/>
      <c r="AG82" s="22">
        <v>1</v>
      </c>
      <c r="AH82" s="36" t="s">
        <v>567</v>
      </c>
    </row>
    <row r="83" spans="1:34" ht="16" x14ac:dyDescent="0.2">
      <c r="A83" s="4">
        <v>45842</v>
      </c>
      <c r="B83" s="4">
        <v>45842</v>
      </c>
      <c r="C83" s="4"/>
      <c r="D83" s="5" t="s">
        <v>52</v>
      </c>
      <c r="E83" s="5">
        <v>13</v>
      </c>
      <c r="F83" s="5" t="s">
        <v>2</v>
      </c>
      <c r="G83" s="5" t="s">
        <v>5</v>
      </c>
      <c r="H83" s="5">
        <v>0.7</v>
      </c>
      <c r="I83" s="5">
        <v>36.9</v>
      </c>
      <c r="J83" s="22">
        <v>3</v>
      </c>
      <c r="K83" s="22"/>
      <c r="L83" s="22"/>
      <c r="M83" s="22"/>
      <c r="N83" s="22"/>
      <c r="O83" s="22"/>
      <c r="P83" s="22"/>
      <c r="Q83" s="22"/>
      <c r="R83" s="22"/>
      <c r="S83" s="22"/>
      <c r="T83" s="22">
        <v>2</v>
      </c>
      <c r="U83" s="22"/>
      <c r="V83" s="22"/>
      <c r="W83" s="22"/>
      <c r="X83" s="22"/>
      <c r="Y83" s="22"/>
      <c r="Z83" s="22"/>
      <c r="AA83" s="22"/>
      <c r="AB83" s="22"/>
      <c r="AC83" s="22"/>
      <c r="AD83" s="22"/>
      <c r="AE83" s="22"/>
      <c r="AF83" s="22"/>
      <c r="AG83" s="22"/>
      <c r="AH83" s="22"/>
    </row>
    <row r="84" spans="1:34" ht="16" x14ac:dyDescent="0.2">
      <c r="A84" s="4">
        <v>45842</v>
      </c>
      <c r="B84" s="4">
        <v>45842</v>
      </c>
      <c r="C84" s="4"/>
      <c r="D84" s="5" t="s">
        <v>52</v>
      </c>
      <c r="E84" s="5">
        <v>14</v>
      </c>
      <c r="F84" s="5" t="s">
        <v>2</v>
      </c>
      <c r="G84" s="5" t="s">
        <v>3</v>
      </c>
      <c r="H84" s="5">
        <v>0.8</v>
      </c>
      <c r="I84" s="5">
        <v>36.799999999999997</v>
      </c>
      <c r="J84" s="22">
        <v>2</v>
      </c>
      <c r="K84" s="22"/>
      <c r="L84" s="22"/>
      <c r="M84" s="22">
        <v>1</v>
      </c>
      <c r="N84" s="22"/>
      <c r="O84" s="22"/>
      <c r="P84" s="22"/>
      <c r="Q84" s="22"/>
      <c r="R84" s="22">
        <v>1</v>
      </c>
      <c r="S84" s="22"/>
      <c r="T84" s="22">
        <v>1</v>
      </c>
      <c r="U84" s="22">
        <v>1</v>
      </c>
      <c r="V84" s="22"/>
      <c r="W84" s="22"/>
      <c r="X84" s="22"/>
      <c r="Y84" s="22"/>
      <c r="Z84" s="22"/>
      <c r="AA84" s="22"/>
      <c r="AB84" s="22"/>
      <c r="AC84" s="22"/>
      <c r="AD84" s="22"/>
      <c r="AE84" s="22">
        <v>1</v>
      </c>
      <c r="AF84" s="22"/>
      <c r="AG84" s="22"/>
      <c r="AH84" s="22"/>
    </row>
    <row r="85" spans="1:34" ht="16" x14ac:dyDescent="0.2">
      <c r="A85" s="4">
        <v>45842</v>
      </c>
      <c r="B85" s="4">
        <v>45842</v>
      </c>
      <c r="C85" s="4"/>
      <c r="D85" s="5" t="s">
        <v>52</v>
      </c>
      <c r="E85" s="5">
        <v>16</v>
      </c>
      <c r="F85" s="5" t="s">
        <v>2</v>
      </c>
      <c r="G85" s="5" t="s">
        <v>3</v>
      </c>
      <c r="H85" s="5">
        <v>0.75</v>
      </c>
      <c r="I85" s="5">
        <v>33.549999999999997</v>
      </c>
      <c r="J85" s="22">
        <v>3</v>
      </c>
      <c r="K85" s="22"/>
      <c r="L85" s="22"/>
      <c r="M85" s="22"/>
      <c r="N85" s="22"/>
      <c r="O85" s="22">
        <v>1</v>
      </c>
      <c r="P85" s="22"/>
      <c r="Q85" s="22"/>
      <c r="R85" s="22"/>
      <c r="S85" s="22"/>
      <c r="T85" s="22">
        <v>1</v>
      </c>
      <c r="U85" s="22">
        <v>1</v>
      </c>
      <c r="V85" s="22"/>
      <c r="W85" s="22"/>
      <c r="X85" s="22">
        <v>1</v>
      </c>
      <c r="Y85" s="22"/>
      <c r="Z85" s="22"/>
      <c r="AA85" s="22"/>
      <c r="AB85" s="22"/>
      <c r="AC85" s="22"/>
      <c r="AD85" s="22"/>
      <c r="AE85" s="22"/>
      <c r="AF85" s="22"/>
      <c r="AG85" s="22"/>
      <c r="AH85" s="22"/>
    </row>
    <row r="86" spans="1:34" ht="16" x14ac:dyDescent="0.2">
      <c r="A86" s="4">
        <v>45842</v>
      </c>
      <c r="B86" s="4">
        <v>45842</v>
      </c>
      <c r="C86" s="4"/>
      <c r="D86" s="5" t="s">
        <v>52</v>
      </c>
      <c r="E86" s="5">
        <v>17</v>
      </c>
      <c r="F86" s="5" t="s">
        <v>2</v>
      </c>
      <c r="G86" s="5" t="s">
        <v>5</v>
      </c>
      <c r="H86" s="5">
        <v>0.65</v>
      </c>
      <c r="I86" s="5">
        <v>33</v>
      </c>
      <c r="J86" s="22">
        <v>1</v>
      </c>
      <c r="K86" s="22"/>
      <c r="L86" s="22"/>
      <c r="M86" s="22"/>
      <c r="N86" s="22"/>
      <c r="O86" s="22"/>
      <c r="P86" s="22"/>
      <c r="Q86" s="22"/>
      <c r="R86" s="22"/>
      <c r="S86" s="22"/>
      <c r="T86" s="22">
        <v>1</v>
      </c>
      <c r="U86" s="22"/>
      <c r="V86" s="22"/>
      <c r="W86" s="22"/>
      <c r="X86" s="22"/>
      <c r="Y86" s="22"/>
      <c r="Z86" s="22"/>
      <c r="AA86" s="22"/>
      <c r="AB86" s="22"/>
      <c r="AC86" s="22"/>
      <c r="AD86" s="22"/>
      <c r="AE86" s="22"/>
      <c r="AF86" s="22"/>
      <c r="AG86" s="22"/>
      <c r="AH86" s="22"/>
    </row>
    <row r="87" spans="1:34" ht="16" x14ac:dyDescent="0.2">
      <c r="A87" s="4">
        <v>45842</v>
      </c>
      <c r="B87" s="4">
        <v>45842</v>
      </c>
      <c r="C87" s="4"/>
      <c r="D87" s="5" t="s">
        <v>52</v>
      </c>
      <c r="E87" s="5">
        <v>19</v>
      </c>
      <c r="F87" s="5" t="s">
        <v>2</v>
      </c>
      <c r="G87" s="5" t="s">
        <v>3</v>
      </c>
      <c r="H87" s="5">
        <v>0.95</v>
      </c>
      <c r="I87" s="5">
        <v>35.5</v>
      </c>
      <c r="J87" s="22">
        <v>4</v>
      </c>
      <c r="K87" s="22"/>
      <c r="L87" s="22"/>
      <c r="M87" s="22">
        <v>2</v>
      </c>
      <c r="N87" s="22">
        <v>2</v>
      </c>
      <c r="O87" s="22">
        <v>4</v>
      </c>
      <c r="P87" s="22"/>
      <c r="Q87" s="22"/>
      <c r="R87" s="22"/>
      <c r="S87" s="22">
        <v>16</v>
      </c>
      <c r="T87" s="22">
        <v>1</v>
      </c>
      <c r="U87" s="22"/>
      <c r="V87" s="22"/>
      <c r="W87" s="22"/>
      <c r="X87" s="22"/>
      <c r="Y87" s="22"/>
      <c r="Z87" s="22"/>
      <c r="AA87" s="22"/>
      <c r="AB87" s="22"/>
      <c r="AC87" s="22"/>
      <c r="AD87" s="22"/>
      <c r="AE87" s="22"/>
      <c r="AF87" s="22"/>
      <c r="AG87" s="22">
        <v>15</v>
      </c>
      <c r="AH87" s="36" t="s">
        <v>566</v>
      </c>
    </row>
    <row r="88" spans="1:34" ht="16" x14ac:dyDescent="0.2">
      <c r="A88" s="4">
        <v>45842</v>
      </c>
      <c r="B88" s="4">
        <v>45842</v>
      </c>
      <c r="C88" s="4"/>
      <c r="D88" s="5" t="s">
        <v>52</v>
      </c>
      <c r="E88" s="5">
        <v>20</v>
      </c>
      <c r="F88" s="5" t="s">
        <v>2</v>
      </c>
      <c r="G88" s="5" t="s">
        <v>3</v>
      </c>
      <c r="H88" s="5">
        <v>0.45</v>
      </c>
      <c r="I88" s="5">
        <v>32.700000000000003</v>
      </c>
      <c r="J88" s="22">
        <v>1</v>
      </c>
      <c r="K88" s="22">
        <v>1</v>
      </c>
      <c r="L88" s="22"/>
      <c r="M88" s="22">
        <v>1</v>
      </c>
      <c r="N88" s="22"/>
      <c r="O88" s="22"/>
      <c r="P88" s="22"/>
      <c r="Q88" s="22">
        <v>1</v>
      </c>
      <c r="R88" s="22"/>
      <c r="S88" s="22"/>
      <c r="T88" s="22">
        <v>1</v>
      </c>
      <c r="U88" s="22"/>
      <c r="V88" s="22"/>
      <c r="W88" s="22"/>
      <c r="X88" s="22">
        <v>2</v>
      </c>
      <c r="Y88" s="22"/>
      <c r="Z88" s="22"/>
      <c r="AA88" s="22"/>
      <c r="AB88" s="22"/>
      <c r="AC88" s="22"/>
      <c r="AD88" s="22"/>
      <c r="AE88" s="22"/>
      <c r="AF88" s="22"/>
      <c r="AG88" s="22"/>
      <c r="AH88" s="36" t="s">
        <v>457</v>
      </c>
    </row>
    <row r="89" spans="1:34" ht="16" x14ac:dyDescent="0.2">
      <c r="A89" s="4">
        <v>45845</v>
      </c>
      <c r="B89" s="4">
        <v>45845</v>
      </c>
      <c r="C89" s="4"/>
      <c r="D89" s="5" t="s">
        <v>35</v>
      </c>
      <c r="E89" s="5">
        <v>9</v>
      </c>
      <c r="F89" s="5" t="s">
        <v>2</v>
      </c>
      <c r="G89" s="5" t="s">
        <v>5</v>
      </c>
      <c r="H89" s="5">
        <v>1.2</v>
      </c>
      <c r="I89" s="5">
        <v>39</v>
      </c>
      <c r="J89" s="22"/>
      <c r="K89" s="22"/>
      <c r="L89" s="22"/>
      <c r="M89" s="22"/>
      <c r="N89" s="22"/>
      <c r="O89" s="22"/>
      <c r="P89" s="22"/>
      <c r="Q89" s="22"/>
      <c r="R89" s="22"/>
      <c r="S89" s="22"/>
      <c r="T89" s="22"/>
      <c r="U89" s="22"/>
      <c r="V89" s="22"/>
      <c r="W89" s="22"/>
      <c r="X89" s="22"/>
      <c r="Y89" s="22"/>
      <c r="Z89" s="22"/>
      <c r="AA89" s="22"/>
      <c r="AB89" s="22"/>
      <c r="AC89" s="22"/>
      <c r="AD89" s="22"/>
      <c r="AE89" s="22"/>
      <c r="AF89" s="22"/>
      <c r="AG89" s="22">
        <v>2</v>
      </c>
      <c r="AH89" s="36" t="s">
        <v>460</v>
      </c>
    </row>
    <row r="90" spans="1:34" ht="16" x14ac:dyDescent="0.2">
      <c r="A90" s="4">
        <v>45845</v>
      </c>
      <c r="B90" s="4">
        <v>45845</v>
      </c>
      <c r="C90" s="4"/>
      <c r="D90" s="5" t="s">
        <v>35</v>
      </c>
      <c r="E90" s="5">
        <v>10</v>
      </c>
      <c r="F90" s="5" t="s">
        <v>2</v>
      </c>
      <c r="G90" s="5" t="s">
        <v>5</v>
      </c>
      <c r="H90" s="5">
        <v>0.65</v>
      </c>
      <c r="I90" s="5">
        <v>31.8</v>
      </c>
      <c r="J90" s="22">
        <v>1</v>
      </c>
      <c r="K90" s="22"/>
      <c r="L90" s="22"/>
      <c r="M90" s="22">
        <v>2</v>
      </c>
      <c r="N90" s="22"/>
      <c r="O90" s="22"/>
      <c r="P90" s="22"/>
      <c r="Q90" s="22"/>
      <c r="R90" s="22"/>
      <c r="S90" s="22"/>
      <c r="T90" s="22"/>
      <c r="U90" s="22"/>
      <c r="V90" s="22"/>
      <c r="W90" s="22"/>
      <c r="X90" s="22"/>
      <c r="Y90" s="22"/>
      <c r="Z90" s="22"/>
      <c r="AA90" s="22"/>
      <c r="AB90" s="22"/>
      <c r="AC90" s="22"/>
      <c r="AD90" s="22"/>
      <c r="AE90" s="22"/>
      <c r="AF90" s="22"/>
      <c r="AG90" s="22">
        <v>1</v>
      </c>
      <c r="AH90" s="36" t="s">
        <v>565</v>
      </c>
    </row>
    <row r="91" spans="1:34" ht="16" x14ac:dyDescent="0.2">
      <c r="A91" s="4">
        <v>45845</v>
      </c>
      <c r="B91" s="4">
        <v>45845</v>
      </c>
      <c r="C91" s="4"/>
      <c r="D91" s="5" t="s">
        <v>35</v>
      </c>
      <c r="E91" s="5">
        <v>11</v>
      </c>
      <c r="F91" s="5" t="s">
        <v>2</v>
      </c>
      <c r="G91" s="5" t="s">
        <v>3</v>
      </c>
      <c r="H91" s="5">
        <v>0.35</v>
      </c>
      <c r="I91" s="5">
        <v>32.6</v>
      </c>
      <c r="J91" s="22">
        <v>2</v>
      </c>
      <c r="K91" s="22"/>
      <c r="L91" s="22"/>
      <c r="M91" s="22">
        <v>1</v>
      </c>
      <c r="N91" s="22"/>
      <c r="O91" s="22"/>
      <c r="P91" s="22"/>
      <c r="Q91" s="22"/>
      <c r="R91" s="22"/>
      <c r="S91" s="22"/>
      <c r="T91" s="22">
        <v>1</v>
      </c>
      <c r="U91" s="22"/>
      <c r="V91" s="22"/>
      <c r="W91" s="22"/>
      <c r="X91" s="22"/>
      <c r="Y91" s="22"/>
      <c r="Z91" s="22"/>
      <c r="AA91" s="22"/>
      <c r="AB91" s="22"/>
      <c r="AC91" s="22"/>
      <c r="AD91" s="22"/>
      <c r="AE91" s="22"/>
      <c r="AF91" s="22"/>
      <c r="AG91" s="22"/>
      <c r="AH91" s="22"/>
    </row>
    <row r="92" spans="1:34" ht="16" x14ac:dyDescent="0.2">
      <c r="A92" s="4">
        <v>45845</v>
      </c>
      <c r="B92" s="4">
        <v>45845</v>
      </c>
      <c r="C92" s="4"/>
      <c r="D92" s="5" t="s">
        <v>35</v>
      </c>
      <c r="E92" s="5">
        <v>12</v>
      </c>
      <c r="F92" s="5" t="s">
        <v>2</v>
      </c>
      <c r="G92" s="5" t="s">
        <v>3</v>
      </c>
      <c r="H92" s="5">
        <v>1.7</v>
      </c>
      <c r="I92" s="5">
        <v>46.25</v>
      </c>
      <c r="J92" s="22">
        <v>1</v>
      </c>
      <c r="K92" s="22"/>
      <c r="L92" s="22"/>
      <c r="M92" s="22"/>
      <c r="N92" s="22"/>
      <c r="O92" s="22"/>
      <c r="P92" s="22"/>
      <c r="Q92" s="22"/>
      <c r="R92" s="22"/>
      <c r="S92" s="22"/>
      <c r="T92" s="22"/>
      <c r="U92" s="22"/>
      <c r="V92" s="22"/>
      <c r="W92" s="22"/>
      <c r="X92" s="22"/>
      <c r="Y92" s="22"/>
      <c r="Z92" s="22"/>
      <c r="AA92" s="22"/>
      <c r="AB92" s="22"/>
      <c r="AC92" s="22"/>
      <c r="AD92" s="22"/>
      <c r="AE92" s="22"/>
      <c r="AF92" s="22"/>
      <c r="AG92" s="22"/>
      <c r="AH92" s="22"/>
    </row>
    <row r="93" spans="1:34" ht="16" x14ac:dyDescent="0.2">
      <c r="A93" s="4">
        <v>45845</v>
      </c>
      <c r="B93" s="4">
        <v>45845</v>
      </c>
      <c r="C93" s="4"/>
      <c r="D93" s="5" t="s">
        <v>35</v>
      </c>
      <c r="E93" s="5">
        <v>15</v>
      </c>
      <c r="F93" s="5" t="s">
        <v>2</v>
      </c>
      <c r="G93" s="5" t="s">
        <v>3</v>
      </c>
      <c r="H93" s="5">
        <v>0.95</v>
      </c>
      <c r="I93" s="5">
        <v>39.6</v>
      </c>
      <c r="J93" s="22">
        <v>1</v>
      </c>
      <c r="K93" s="22"/>
      <c r="L93" s="22"/>
      <c r="M93" s="22"/>
      <c r="N93" s="22"/>
      <c r="O93" s="22">
        <v>1</v>
      </c>
      <c r="P93" s="22"/>
      <c r="Q93" s="22"/>
      <c r="R93" s="22"/>
      <c r="S93" s="22"/>
      <c r="T93" s="22"/>
      <c r="U93" s="22"/>
      <c r="V93" s="22"/>
      <c r="W93" s="22"/>
      <c r="X93" s="22"/>
      <c r="Y93" s="22"/>
      <c r="Z93" s="22"/>
      <c r="AA93" s="22"/>
      <c r="AB93" s="22"/>
      <c r="AC93" s="22"/>
      <c r="AD93" s="22"/>
      <c r="AE93" s="22"/>
      <c r="AF93" s="22"/>
      <c r="AG93" s="22"/>
      <c r="AH93" s="22"/>
    </row>
    <row r="94" spans="1:34" ht="16" x14ac:dyDescent="0.2">
      <c r="A94" s="4">
        <v>45845</v>
      </c>
      <c r="B94" s="4">
        <v>45845</v>
      </c>
      <c r="C94" s="4"/>
      <c r="D94" s="5" t="s">
        <v>35</v>
      </c>
      <c r="E94" s="5">
        <v>16</v>
      </c>
      <c r="F94" s="5" t="s">
        <v>2</v>
      </c>
      <c r="G94" s="5" t="s">
        <v>3</v>
      </c>
      <c r="H94" s="5">
        <v>0.8</v>
      </c>
      <c r="I94" s="5">
        <v>35.65</v>
      </c>
      <c r="J94" s="22">
        <v>7</v>
      </c>
      <c r="K94" s="22"/>
      <c r="L94" s="22"/>
      <c r="M94" s="22">
        <v>3</v>
      </c>
      <c r="N94" s="22"/>
      <c r="O94" s="22">
        <v>1</v>
      </c>
      <c r="P94" s="22"/>
      <c r="Q94" s="22"/>
      <c r="R94" s="22"/>
      <c r="S94" s="22"/>
      <c r="T94" s="22"/>
      <c r="U94" s="22">
        <v>1</v>
      </c>
      <c r="V94" s="22"/>
      <c r="W94" s="22"/>
      <c r="X94" s="22"/>
      <c r="Y94" s="22"/>
      <c r="Z94" s="22"/>
      <c r="AA94" s="22"/>
      <c r="AB94" s="22"/>
      <c r="AC94" s="22"/>
      <c r="AD94" s="22"/>
      <c r="AE94" s="22"/>
      <c r="AF94" s="22"/>
      <c r="AG94" s="22"/>
      <c r="AH94" s="22"/>
    </row>
    <row r="95" spans="1:34" ht="16" x14ac:dyDescent="0.2">
      <c r="A95" s="4">
        <v>45845</v>
      </c>
      <c r="B95" s="4">
        <v>45845</v>
      </c>
      <c r="C95" s="4"/>
      <c r="D95" s="5" t="s">
        <v>35</v>
      </c>
      <c r="E95" s="5">
        <v>17</v>
      </c>
      <c r="F95" s="5" t="s">
        <v>2</v>
      </c>
      <c r="G95" s="5" t="s">
        <v>3</v>
      </c>
      <c r="H95" s="5">
        <v>0.65</v>
      </c>
      <c r="I95" s="5">
        <v>34.049999999999997</v>
      </c>
      <c r="J95" s="22"/>
      <c r="K95" s="22"/>
      <c r="L95" s="22"/>
      <c r="M95" s="22">
        <v>2</v>
      </c>
      <c r="N95" s="22">
        <v>1</v>
      </c>
      <c r="O95" s="22">
        <v>2</v>
      </c>
      <c r="P95" s="22"/>
      <c r="Q95" s="22"/>
      <c r="R95" s="22"/>
      <c r="S95" s="22"/>
      <c r="T95" s="22"/>
      <c r="U95" s="22"/>
      <c r="V95" s="22"/>
      <c r="W95" s="22"/>
      <c r="X95" s="22"/>
      <c r="Y95" s="22"/>
      <c r="Z95" s="22"/>
      <c r="AA95" s="22"/>
      <c r="AB95" s="22"/>
      <c r="AC95" s="22"/>
      <c r="AD95" s="22"/>
      <c r="AE95" s="22"/>
      <c r="AF95" s="22"/>
      <c r="AG95" s="22">
        <v>3</v>
      </c>
      <c r="AH95" s="36" t="s">
        <v>552</v>
      </c>
    </row>
    <row r="96" spans="1:34" ht="16" x14ac:dyDescent="0.2">
      <c r="A96" s="4">
        <v>45845</v>
      </c>
      <c r="B96" s="4">
        <v>45845</v>
      </c>
      <c r="C96" s="4"/>
      <c r="D96" s="5" t="s">
        <v>35</v>
      </c>
      <c r="E96" s="5">
        <v>18</v>
      </c>
      <c r="F96" s="5" t="s">
        <v>2</v>
      </c>
      <c r="G96" s="5" t="s">
        <v>3</v>
      </c>
      <c r="H96" s="5">
        <v>0.65</v>
      </c>
      <c r="I96" s="5">
        <v>32.6</v>
      </c>
      <c r="J96" s="22">
        <v>3</v>
      </c>
      <c r="K96" s="22"/>
      <c r="L96" s="22"/>
      <c r="M96" s="22"/>
      <c r="N96" s="22"/>
      <c r="O96" s="22">
        <v>1</v>
      </c>
      <c r="P96" s="22"/>
      <c r="Q96" s="22"/>
      <c r="R96" s="22"/>
      <c r="S96" s="22"/>
      <c r="T96" s="22">
        <v>1</v>
      </c>
      <c r="U96" s="22"/>
      <c r="V96" s="22"/>
      <c r="W96" s="22"/>
      <c r="X96" s="22"/>
      <c r="Y96" s="22"/>
      <c r="Z96" s="22"/>
      <c r="AA96" s="22"/>
      <c r="AB96" s="22"/>
      <c r="AC96" s="22"/>
      <c r="AD96" s="22"/>
      <c r="AE96" s="22"/>
      <c r="AF96" s="22"/>
      <c r="AG96" s="22"/>
      <c r="AH96" s="22"/>
    </row>
    <row r="97" spans="1:34" ht="16" x14ac:dyDescent="0.2">
      <c r="A97" s="4">
        <v>45845</v>
      </c>
      <c r="B97" s="4">
        <v>45845</v>
      </c>
      <c r="C97" s="4"/>
      <c r="D97" s="5" t="s">
        <v>35</v>
      </c>
      <c r="E97" s="5">
        <v>20</v>
      </c>
      <c r="F97" s="5" t="s">
        <v>2</v>
      </c>
      <c r="G97" s="5" t="s">
        <v>3</v>
      </c>
      <c r="H97" s="5">
        <v>0.65</v>
      </c>
      <c r="I97" s="5">
        <v>32.6</v>
      </c>
      <c r="J97" s="22">
        <v>3</v>
      </c>
      <c r="K97" s="22"/>
      <c r="L97" s="22"/>
      <c r="M97" s="22">
        <v>3</v>
      </c>
      <c r="N97" s="22"/>
      <c r="O97" s="22">
        <v>1</v>
      </c>
      <c r="P97" s="22"/>
      <c r="Q97" s="22"/>
      <c r="R97" s="22">
        <v>1</v>
      </c>
      <c r="S97" s="22"/>
      <c r="T97" s="22"/>
      <c r="U97" s="22"/>
      <c r="V97" s="22"/>
      <c r="W97" s="22"/>
      <c r="X97" s="22"/>
      <c r="Y97" s="22"/>
      <c r="Z97" s="22"/>
      <c r="AA97" s="22"/>
      <c r="AB97" s="22"/>
      <c r="AC97" s="22"/>
      <c r="AD97" s="22"/>
      <c r="AE97" s="22"/>
      <c r="AF97" s="22"/>
      <c r="AG97" s="22"/>
      <c r="AH97" s="22"/>
    </row>
    <row r="98" spans="1:34" ht="16" x14ac:dyDescent="0.2">
      <c r="A98" s="4">
        <v>45845</v>
      </c>
      <c r="B98" s="4">
        <v>45845</v>
      </c>
      <c r="C98" s="4"/>
      <c r="D98" s="5" t="s">
        <v>35</v>
      </c>
      <c r="E98" s="5">
        <v>21</v>
      </c>
      <c r="F98" s="5" t="s">
        <v>2</v>
      </c>
      <c r="G98" s="5" t="s">
        <v>3</v>
      </c>
      <c r="H98" s="5">
        <v>0.7</v>
      </c>
      <c r="I98" s="5">
        <v>35.5</v>
      </c>
      <c r="J98" s="22">
        <v>3</v>
      </c>
      <c r="K98" s="22"/>
      <c r="L98" s="22"/>
      <c r="M98" s="22"/>
      <c r="N98" s="22"/>
      <c r="O98" s="22"/>
      <c r="P98" s="22"/>
      <c r="Q98" s="22"/>
      <c r="R98" s="22">
        <v>1</v>
      </c>
      <c r="S98" s="22"/>
      <c r="T98" s="22"/>
      <c r="U98" s="22"/>
      <c r="V98" s="22"/>
      <c r="W98" s="22"/>
      <c r="X98" s="22"/>
      <c r="Y98" s="22"/>
      <c r="Z98" s="22"/>
      <c r="AA98" s="22"/>
      <c r="AB98" s="22"/>
      <c r="AC98" s="22"/>
      <c r="AD98" s="22"/>
      <c r="AE98" s="22"/>
      <c r="AF98" s="22"/>
      <c r="AG98" s="22">
        <v>1</v>
      </c>
      <c r="AH98" s="22"/>
    </row>
    <row r="99" spans="1:34" ht="16" x14ac:dyDescent="0.2">
      <c r="A99" s="4">
        <v>45845</v>
      </c>
      <c r="B99" s="4">
        <v>45845</v>
      </c>
      <c r="C99" s="4"/>
      <c r="D99" s="5" t="s">
        <v>35</v>
      </c>
      <c r="E99" s="5">
        <v>22</v>
      </c>
      <c r="F99" s="5" t="s">
        <v>2</v>
      </c>
      <c r="G99" s="5" t="s">
        <v>3</v>
      </c>
      <c r="H99" s="5">
        <v>1.1499999999999999</v>
      </c>
      <c r="I99" s="5">
        <v>36.799999999999997</v>
      </c>
      <c r="J99" s="22"/>
      <c r="K99" s="22"/>
      <c r="L99" s="22"/>
      <c r="M99" s="22"/>
      <c r="N99" s="22"/>
      <c r="O99" s="22"/>
      <c r="P99" s="22"/>
      <c r="Q99" s="22">
        <v>1</v>
      </c>
      <c r="R99" s="22"/>
      <c r="S99" s="22"/>
      <c r="T99" s="22"/>
      <c r="U99" s="22"/>
      <c r="V99" s="22"/>
      <c r="W99" s="22"/>
      <c r="X99" s="22"/>
      <c r="Y99" s="22"/>
      <c r="Z99" s="22"/>
      <c r="AA99" s="22"/>
      <c r="AB99" s="22"/>
      <c r="AC99" s="22"/>
      <c r="AD99" s="22"/>
      <c r="AE99" s="22"/>
      <c r="AF99" s="22"/>
      <c r="AG99" s="22"/>
      <c r="AH99" s="22"/>
    </row>
    <row r="100" spans="1:34" ht="16" x14ac:dyDescent="0.2">
      <c r="A100" s="4">
        <v>45845</v>
      </c>
      <c r="B100" s="4">
        <v>45845</v>
      </c>
      <c r="C100" s="4"/>
      <c r="D100" s="5" t="s">
        <v>35</v>
      </c>
      <c r="E100" s="5">
        <v>23</v>
      </c>
      <c r="F100" s="5" t="s">
        <v>2</v>
      </c>
      <c r="G100" s="5" t="s">
        <v>3</v>
      </c>
      <c r="H100" s="5">
        <v>0.65</v>
      </c>
      <c r="I100" s="5">
        <v>31.8</v>
      </c>
      <c r="J100" s="22"/>
      <c r="K100" s="22"/>
      <c r="L100" s="22"/>
      <c r="M100" s="22"/>
      <c r="N100" s="22"/>
      <c r="O100" s="22">
        <v>2</v>
      </c>
      <c r="P100" s="22"/>
      <c r="Q100" s="22"/>
      <c r="R100" s="22"/>
      <c r="S100" s="22"/>
      <c r="T100" s="22"/>
      <c r="U100" s="22"/>
      <c r="V100" s="22"/>
      <c r="W100" s="22"/>
      <c r="X100" s="22"/>
      <c r="Y100" s="22"/>
      <c r="Z100" s="22"/>
      <c r="AA100" s="22"/>
      <c r="AB100" s="22"/>
      <c r="AC100" s="22"/>
      <c r="AD100" s="22"/>
      <c r="AE100" s="22"/>
      <c r="AF100" s="22"/>
      <c r="AG100" s="22"/>
      <c r="AH100" s="22"/>
    </row>
    <row r="101" spans="1:34" ht="16" x14ac:dyDescent="0.2">
      <c r="A101" s="4">
        <v>45846</v>
      </c>
      <c r="B101" s="4">
        <v>45846</v>
      </c>
      <c r="C101" s="4"/>
      <c r="D101" s="5" t="s">
        <v>240</v>
      </c>
      <c r="E101" s="5">
        <v>1</v>
      </c>
      <c r="F101" s="5" t="s">
        <v>2</v>
      </c>
      <c r="G101" s="5" t="s">
        <v>3</v>
      </c>
      <c r="H101" s="5">
        <v>0.95</v>
      </c>
      <c r="I101" s="5">
        <v>35.6</v>
      </c>
      <c r="J101" s="22"/>
      <c r="K101" s="22"/>
      <c r="L101" s="22"/>
      <c r="M101" s="22">
        <v>2</v>
      </c>
      <c r="N101" s="22">
        <v>2</v>
      </c>
      <c r="O101" s="22">
        <v>1</v>
      </c>
      <c r="P101" s="22"/>
      <c r="Q101" s="22"/>
      <c r="R101" s="22"/>
      <c r="S101" s="22"/>
      <c r="T101" s="22"/>
      <c r="U101" s="22"/>
      <c r="V101" s="22"/>
      <c r="W101" s="22"/>
      <c r="X101" s="22"/>
      <c r="Y101" s="22"/>
      <c r="Z101" s="22"/>
      <c r="AA101" s="22"/>
      <c r="AB101" s="22"/>
      <c r="AC101" s="22"/>
      <c r="AD101" s="22"/>
      <c r="AE101" s="22"/>
      <c r="AF101" s="22"/>
      <c r="AG101" s="22"/>
      <c r="AH101" s="22"/>
    </row>
    <row r="102" spans="1:34" ht="16" x14ac:dyDescent="0.2">
      <c r="A102" s="4">
        <v>45846</v>
      </c>
      <c r="B102" s="4">
        <v>45846</v>
      </c>
      <c r="C102" s="4"/>
      <c r="D102" s="5" t="s">
        <v>240</v>
      </c>
      <c r="E102" s="5">
        <v>2</v>
      </c>
      <c r="F102" s="5" t="s">
        <v>2</v>
      </c>
      <c r="G102" s="5" t="s">
        <v>3</v>
      </c>
      <c r="H102" s="5">
        <v>0.8</v>
      </c>
      <c r="I102" s="5">
        <v>33.299999999999997</v>
      </c>
      <c r="J102" s="22">
        <v>18</v>
      </c>
      <c r="K102" s="22"/>
      <c r="L102" s="22"/>
      <c r="M102" s="22"/>
      <c r="N102" s="22"/>
      <c r="O102" s="22"/>
      <c r="P102" s="22"/>
      <c r="Q102" s="22"/>
      <c r="R102" s="22"/>
      <c r="S102" s="22"/>
      <c r="T102" s="22">
        <v>1</v>
      </c>
      <c r="U102" s="22">
        <v>1</v>
      </c>
      <c r="V102" s="22"/>
      <c r="W102" s="22"/>
      <c r="X102" s="22"/>
      <c r="Y102" s="22"/>
      <c r="Z102" s="22"/>
      <c r="AA102" s="22"/>
      <c r="AB102" s="22"/>
      <c r="AC102" s="22"/>
      <c r="AD102" s="22"/>
      <c r="AE102" s="22"/>
      <c r="AF102" s="22"/>
      <c r="AG102" s="22"/>
      <c r="AH102" s="22"/>
    </row>
    <row r="103" spans="1:34" ht="16" x14ac:dyDescent="0.2">
      <c r="A103" s="4">
        <v>45846</v>
      </c>
      <c r="B103" s="4">
        <v>45846</v>
      </c>
      <c r="C103" s="4"/>
      <c r="D103" s="5" t="s">
        <v>240</v>
      </c>
      <c r="E103" s="5">
        <v>3</v>
      </c>
      <c r="F103" s="5" t="s">
        <v>2</v>
      </c>
      <c r="G103" s="5" t="s">
        <v>5</v>
      </c>
      <c r="H103" s="5">
        <v>0.65</v>
      </c>
      <c r="I103" s="5">
        <v>34.799999999999997</v>
      </c>
      <c r="J103" s="22"/>
      <c r="K103" s="22"/>
      <c r="L103" s="22"/>
      <c r="M103" s="22">
        <v>2</v>
      </c>
      <c r="N103" s="22"/>
      <c r="O103" s="22">
        <v>1</v>
      </c>
      <c r="P103" s="22"/>
      <c r="Q103" s="22"/>
      <c r="R103" s="22"/>
      <c r="S103" s="22"/>
      <c r="T103" s="22">
        <v>1</v>
      </c>
      <c r="U103" s="22"/>
      <c r="V103" s="22"/>
      <c r="W103" s="22"/>
      <c r="X103" s="22"/>
      <c r="Y103" s="22"/>
      <c r="Z103" s="22"/>
      <c r="AA103" s="22"/>
      <c r="AB103" s="22"/>
      <c r="AC103" s="22"/>
      <c r="AD103" s="22"/>
      <c r="AE103" s="22">
        <v>1</v>
      </c>
      <c r="AF103" s="22"/>
      <c r="AG103" s="22"/>
      <c r="AH103" s="36" t="s">
        <v>515</v>
      </c>
    </row>
    <row r="104" spans="1:34" ht="16" x14ac:dyDescent="0.2">
      <c r="A104" s="4">
        <v>45846</v>
      </c>
      <c r="B104" s="4">
        <v>45846</v>
      </c>
      <c r="C104" s="4"/>
      <c r="D104" s="5" t="s">
        <v>240</v>
      </c>
      <c r="E104" s="5">
        <v>4</v>
      </c>
      <c r="F104" s="5" t="s">
        <v>2</v>
      </c>
      <c r="G104" s="5" t="s">
        <v>3</v>
      </c>
      <c r="H104" s="5">
        <v>0.7</v>
      </c>
      <c r="I104" s="5">
        <v>35.799999999999997</v>
      </c>
      <c r="J104" s="22">
        <v>8</v>
      </c>
      <c r="K104" s="22"/>
      <c r="L104" s="22"/>
      <c r="M104" s="22">
        <v>5</v>
      </c>
      <c r="N104" s="22"/>
      <c r="O104" s="22"/>
      <c r="P104" s="22"/>
      <c r="Q104" s="22">
        <v>1</v>
      </c>
      <c r="R104" s="22"/>
      <c r="S104" s="22"/>
      <c r="T104" s="22"/>
      <c r="U104" s="22"/>
      <c r="V104" s="22"/>
      <c r="W104" s="22"/>
      <c r="X104" s="22"/>
      <c r="Y104" s="22"/>
      <c r="Z104" s="22"/>
      <c r="AA104" s="22"/>
      <c r="AB104" s="22"/>
      <c r="AC104" s="22"/>
      <c r="AD104" s="22"/>
      <c r="AE104" s="22">
        <v>2</v>
      </c>
      <c r="AF104" s="22"/>
      <c r="AG104" s="22">
        <v>1</v>
      </c>
      <c r="AH104" s="36" t="s">
        <v>547</v>
      </c>
    </row>
    <row r="105" spans="1:34" ht="16" x14ac:dyDescent="0.2">
      <c r="A105" s="4">
        <v>45846</v>
      </c>
      <c r="B105" s="4">
        <v>45846</v>
      </c>
      <c r="C105" s="4"/>
      <c r="D105" s="5" t="s">
        <v>240</v>
      </c>
      <c r="E105" s="5">
        <v>5</v>
      </c>
      <c r="F105" s="5" t="s">
        <v>2</v>
      </c>
      <c r="G105" s="5" t="s">
        <v>3</v>
      </c>
      <c r="H105" s="5">
        <v>0.7</v>
      </c>
      <c r="I105" s="5">
        <v>32.5</v>
      </c>
      <c r="J105" s="22">
        <v>7</v>
      </c>
      <c r="K105" s="22"/>
      <c r="L105" s="22"/>
      <c r="M105" s="22"/>
      <c r="N105" s="22"/>
      <c r="O105" s="22"/>
      <c r="P105" s="22"/>
      <c r="Q105" s="22"/>
      <c r="R105" s="22"/>
      <c r="S105" s="22"/>
      <c r="T105" s="22"/>
      <c r="U105" s="22">
        <v>1</v>
      </c>
      <c r="V105" s="22"/>
      <c r="W105" s="22"/>
      <c r="X105" s="22"/>
      <c r="Y105" s="22">
        <v>1</v>
      </c>
      <c r="Z105" s="22"/>
      <c r="AA105" s="22"/>
      <c r="AB105" s="22"/>
      <c r="AC105" s="22"/>
      <c r="AD105" s="22"/>
      <c r="AE105" s="22"/>
      <c r="AF105" s="22"/>
      <c r="AG105" s="22">
        <v>7</v>
      </c>
      <c r="AH105" s="36" t="s">
        <v>546</v>
      </c>
    </row>
    <row r="106" spans="1:34" ht="16" x14ac:dyDescent="0.2">
      <c r="A106" s="4"/>
      <c r="B106" s="4">
        <v>45846</v>
      </c>
      <c r="C106" s="4"/>
      <c r="D106" s="5" t="s">
        <v>240</v>
      </c>
      <c r="E106" s="5">
        <v>9</v>
      </c>
      <c r="F106" s="5" t="s">
        <v>2</v>
      </c>
      <c r="G106" s="5" t="s">
        <v>3</v>
      </c>
      <c r="H106" s="5">
        <v>1.1000000000000001</v>
      </c>
      <c r="I106" s="5">
        <v>36.700000000000003</v>
      </c>
      <c r="J106" s="22">
        <v>3</v>
      </c>
      <c r="K106" s="22">
        <v>1</v>
      </c>
      <c r="L106" s="22"/>
      <c r="M106" s="22"/>
      <c r="N106" s="22">
        <v>1</v>
      </c>
      <c r="O106" s="22">
        <v>2</v>
      </c>
      <c r="P106" s="22"/>
      <c r="Q106" s="22"/>
      <c r="R106" s="22"/>
      <c r="S106" s="22"/>
      <c r="T106" s="22"/>
      <c r="U106" s="22"/>
      <c r="V106" s="22"/>
      <c r="W106" s="22"/>
      <c r="X106" s="22"/>
      <c r="Y106" s="22"/>
      <c r="Z106" s="22"/>
      <c r="AA106" s="22"/>
      <c r="AB106" s="22"/>
      <c r="AC106" s="22"/>
      <c r="AD106" s="22"/>
      <c r="AE106" s="22"/>
      <c r="AF106" s="22"/>
      <c r="AG106" s="22"/>
      <c r="AH106" s="22"/>
    </row>
    <row r="107" spans="1:34" ht="16" x14ac:dyDescent="0.2">
      <c r="A107" s="4"/>
      <c r="B107" s="4">
        <v>45846</v>
      </c>
      <c r="C107" s="4"/>
      <c r="D107" s="5" t="s">
        <v>240</v>
      </c>
      <c r="E107" s="5">
        <v>10</v>
      </c>
      <c r="F107" s="5" t="s">
        <v>2</v>
      </c>
      <c r="G107" s="5" t="s">
        <v>3</v>
      </c>
      <c r="H107" s="5">
        <v>1</v>
      </c>
      <c r="I107" s="5">
        <v>36.1</v>
      </c>
      <c r="J107" s="22">
        <v>6</v>
      </c>
      <c r="K107" s="22"/>
      <c r="L107" s="22"/>
      <c r="M107" s="22">
        <f>11+5+14+7+1+1+2+4</f>
        <v>45</v>
      </c>
      <c r="N107" s="22"/>
      <c r="O107" s="22"/>
      <c r="P107" s="22"/>
      <c r="Q107" s="22"/>
      <c r="R107" s="22"/>
      <c r="S107" s="22"/>
      <c r="T107" s="22">
        <v>1</v>
      </c>
      <c r="U107" s="22"/>
      <c r="V107" s="22"/>
      <c r="W107" s="22"/>
      <c r="X107" s="22"/>
      <c r="Y107" s="22">
        <v>3</v>
      </c>
      <c r="Z107" s="22"/>
      <c r="AA107" s="22"/>
      <c r="AB107" s="22"/>
      <c r="AC107" s="22"/>
      <c r="AD107" s="22"/>
      <c r="AE107" s="22"/>
      <c r="AF107" s="22"/>
      <c r="AG107" s="22">
        <v>2</v>
      </c>
      <c r="AH107" s="22"/>
    </row>
    <row r="108" spans="1:34" ht="16" x14ac:dyDescent="0.2">
      <c r="A108" s="4">
        <v>45847</v>
      </c>
      <c r="B108" s="4">
        <v>45847</v>
      </c>
      <c r="C108" s="4"/>
      <c r="D108" s="5" t="s">
        <v>242</v>
      </c>
      <c r="E108" s="5">
        <v>4</v>
      </c>
      <c r="F108" s="5" t="s">
        <v>2</v>
      </c>
      <c r="G108" s="5" t="s">
        <v>3</v>
      </c>
      <c r="H108" s="5">
        <v>1.05</v>
      </c>
      <c r="I108" s="5">
        <v>37.4</v>
      </c>
      <c r="J108" s="22">
        <v>6</v>
      </c>
      <c r="K108" s="22"/>
      <c r="L108" s="22"/>
      <c r="M108" s="22">
        <v>2</v>
      </c>
      <c r="N108" s="22"/>
      <c r="O108" s="22"/>
      <c r="P108" s="22"/>
      <c r="Q108" s="22"/>
      <c r="R108" s="22"/>
      <c r="S108" s="22"/>
      <c r="T108" s="22"/>
      <c r="U108" s="22"/>
      <c r="V108" s="22"/>
      <c r="W108" s="22"/>
      <c r="X108" s="22"/>
      <c r="Y108" s="22">
        <v>13</v>
      </c>
      <c r="Z108" s="22"/>
      <c r="AA108" s="22"/>
      <c r="AB108" s="22"/>
      <c r="AC108" s="22"/>
      <c r="AD108" s="22"/>
      <c r="AE108" s="22"/>
      <c r="AF108" s="22"/>
      <c r="AG108" s="22">
        <v>1</v>
      </c>
      <c r="AH108" s="36" t="s">
        <v>543</v>
      </c>
    </row>
    <row r="109" spans="1:34" ht="16" x14ac:dyDescent="0.2">
      <c r="A109" s="4">
        <v>45847</v>
      </c>
      <c r="B109" s="4">
        <v>45847</v>
      </c>
      <c r="C109" s="4"/>
      <c r="D109" s="5" t="s">
        <v>242</v>
      </c>
      <c r="E109" s="5">
        <v>7</v>
      </c>
      <c r="F109" s="5" t="s">
        <v>2</v>
      </c>
      <c r="G109" s="5" t="s">
        <v>3</v>
      </c>
      <c r="H109" s="5">
        <v>0.75</v>
      </c>
      <c r="I109" s="5">
        <v>36.25</v>
      </c>
      <c r="J109" s="22">
        <v>2</v>
      </c>
      <c r="K109" s="22"/>
      <c r="L109" s="22"/>
      <c r="M109" s="22">
        <v>1</v>
      </c>
      <c r="N109" s="22"/>
      <c r="O109" s="22"/>
      <c r="P109" s="22"/>
      <c r="Q109" s="22"/>
      <c r="R109" s="22"/>
      <c r="S109" s="22"/>
      <c r="T109" s="22">
        <v>1</v>
      </c>
      <c r="U109" s="22"/>
      <c r="V109" s="22"/>
      <c r="W109" s="22"/>
      <c r="X109" s="22"/>
      <c r="Y109" s="22">
        <v>10</v>
      </c>
      <c r="Z109" s="22"/>
      <c r="AA109" s="22"/>
      <c r="AB109" s="22"/>
      <c r="AC109" s="22"/>
      <c r="AD109" s="22"/>
      <c r="AE109" s="22"/>
      <c r="AF109" s="22"/>
      <c r="AG109" s="22"/>
      <c r="AH109" s="36" t="s">
        <v>524</v>
      </c>
    </row>
    <row r="110" spans="1:34" ht="16" x14ac:dyDescent="0.2">
      <c r="A110" s="4">
        <v>45847</v>
      </c>
      <c r="B110" s="4">
        <v>45847</v>
      </c>
      <c r="C110" s="4"/>
      <c r="D110" s="5" t="s">
        <v>242</v>
      </c>
      <c r="E110" s="5">
        <v>8</v>
      </c>
      <c r="F110" s="5" t="s">
        <v>2</v>
      </c>
      <c r="G110" s="5" t="s">
        <v>3</v>
      </c>
      <c r="H110" s="5">
        <v>0.7</v>
      </c>
      <c r="I110" s="5">
        <v>34.5</v>
      </c>
      <c r="J110" s="22">
        <v>6</v>
      </c>
      <c r="K110" s="22"/>
      <c r="L110" s="22"/>
      <c r="M110" s="22"/>
      <c r="N110" s="22"/>
      <c r="O110" s="22">
        <v>1</v>
      </c>
      <c r="P110" s="22"/>
      <c r="Q110" s="22"/>
      <c r="R110" s="22">
        <v>2</v>
      </c>
      <c r="S110" s="22"/>
      <c r="T110" s="22"/>
      <c r="U110" s="22"/>
      <c r="V110" s="22"/>
      <c r="W110" s="22"/>
      <c r="X110" s="22">
        <v>1</v>
      </c>
      <c r="Y110" s="22">
        <v>1</v>
      </c>
      <c r="Z110" s="22"/>
      <c r="AA110" s="22"/>
      <c r="AB110" s="22"/>
      <c r="AC110" s="22"/>
      <c r="AD110" s="22"/>
      <c r="AE110" s="22">
        <v>1</v>
      </c>
      <c r="AF110" s="22"/>
      <c r="AG110" s="22">
        <v>1</v>
      </c>
      <c r="AH110" s="22"/>
    </row>
    <row r="111" spans="1:34" ht="16" x14ac:dyDescent="0.2">
      <c r="A111" s="4">
        <v>45847</v>
      </c>
      <c r="B111" s="4">
        <v>45847</v>
      </c>
      <c r="C111" s="4"/>
      <c r="D111" s="5" t="s">
        <v>242</v>
      </c>
      <c r="E111" s="5">
        <v>10</v>
      </c>
      <c r="F111" s="5" t="s">
        <v>2</v>
      </c>
      <c r="G111" s="5" t="s">
        <v>5</v>
      </c>
      <c r="H111" s="5">
        <v>1.05</v>
      </c>
      <c r="I111" s="5">
        <v>34.9</v>
      </c>
      <c r="J111" s="22">
        <v>3</v>
      </c>
      <c r="K111" s="22">
        <v>1</v>
      </c>
      <c r="L111" s="22"/>
      <c r="M111" s="22">
        <v>3</v>
      </c>
      <c r="N111" s="22"/>
      <c r="O111" s="22"/>
      <c r="P111" s="22"/>
      <c r="Q111" s="22">
        <v>1</v>
      </c>
      <c r="R111" s="22"/>
      <c r="S111" s="22"/>
      <c r="T111" s="22"/>
      <c r="U111" s="22">
        <v>2</v>
      </c>
      <c r="V111" s="22"/>
      <c r="W111" s="22"/>
      <c r="X111" s="22">
        <v>1</v>
      </c>
      <c r="Y111" s="22">
        <v>2</v>
      </c>
      <c r="Z111" s="22"/>
      <c r="AA111" s="22"/>
      <c r="AB111" s="22"/>
      <c r="AC111" s="22"/>
      <c r="AD111" s="22"/>
      <c r="AE111" s="22">
        <v>1</v>
      </c>
      <c r="AF111" s="22"/>
      <c r="AG111" s="22"/>
      <c r="AH111" s="22"/>
    </row>
    <row r="112" spans="1:34" ht="16" x14ac:dyDescent="0.2">
      <c r="A112" s="4">
        <v>45847</v>
      </c>
      <c r="B112" s="4">
        <v>45847</v>
      </c>
      <c r="C112" s="4"/>
      <c r="D112" s="5" t="s">
        <v>242</v>
      </c>
      <c r="E112" s="5">
        <v>11</v>
      </c>
      <c r="F112" s="5" t="s">
        <v>2</v>
      </c>
      <c r="G112" s="5" t="s">
        <v>5</v>
      </c>
      <c r="H112" s="5">
        <v>1.05</v>
      </c>
      <c r="I112" s="5">
        <v>37.75</v>
      </c>
      <c r="J112" s="22"/>
      <c r="K112" s="22"/>
      <c r="L112" s="22"/>
      <c r="M112" s="22"/>
      <c r="N112" s="22"/>
      <c r="O112" s="22"/>
      <c r="P112" s="22"/>
      <c r="Q112" s="22"/>
      <c r="R112" s="22"/>
      <c r="S112" s="22"/>
      <c r="T112" s="22"/>
      <c r="U112" s="22">
        <v>2</v>
      </c>
      <c r="V112" s="22"/>
      <c r="W112" s="22"/>
      <c r="X112" s="22"/>
      <c r="Y112" s="22">
        <v>2</v>
      </c>
      <c r="Z112" s="22"/>
      <c r="AA112" s="22"/>
      <c r="AB112" s="22"/>
      <c r="AC112" s="22"/>
      <c r="AD112" s="22"/>
      <c r="AE112" s="22"/>
      <c r="AF112" s="22"/>
      <c r="AG112" s="22">
        <v>1</v>
      </c>
      <c r="AH112" s="36" t="s">
        <v>538</v>
      </c>
    </row>
    <row r="113" spans="1:34" ht="16" x14ac:dyDescent="0.2">
      <c r="A113" s="4">
        <v>45847</v>
      </c>
      <c r="B113" s="4">
        <v>45847</v>
      </c>
      <c r="C113" s="4"/>
      <c r="D113" s="5" t="s">
        <v>242</v>
      </c>
      <c r="E113" s="5">
        <v>15</v>
      </c>
      <c r="F113" s="5" t="s">
        <v>2</v>
      </c>
      <c r="G113" s="5" t="s">
        <v>3</v>
      </c>
      <c r="H113" s="5">
        <v>0.7</v>
      </c>
      <c r="I113" s="5">
        <v>32.9</v>
      </c>
      <c r="J113" s="22">
        <v>5</v>
      </c>
      <c r="K113" s="22"/>
      <c r="L113" s="22"/>
      <c r="M113" s="22">
        <v>1</v>
      </c>
      <c r="N113" s="22"/>
      <c r="O113" s="22"/>
      <c r="P113" s="22"/>
      <c r="Q113" s="22"/>
      <c r="R113" s="22">
        <v>1</v>
      </c>
      <c r="S113" s="22"/>
      <c r="T113" s="22"/>
      <c r="U113" s="22"/>
      <c r="V113" s="22"/>
      <c r="W113" s="22"/>
      <c r="X113" s="22"/>
      <c r="Y113" s="22">
        <v>8</v>
      </c>
      <c r="Z113" s="22"/>
      <c r="AA113" s="22"/>
      <c r="AB113" s="22"/>
      <c r="AC113" s="22"/>
      <c r="AD113" s="22"/>
      <c r="AE113" s="22"/>
      <c r="AF113" s="22"/>
      <c r="AG113" s="22">
        <v>3</v>
      </c>
      <c r="AH113" s="36" t="s">
        <v>537</v>
      </c>
    </row>
    <row r="114" spans="1:34" ht="16" x14ac:dyDescent="0.2">
      <c r="A114" s="4">
        <v>45847</v>
      </c>
      <c r="B114" s="4">
        <v>45847</v>
      </c>
      <c r="C114" s="4"/>
      <c r="D114" s="5" t="s">
        <v>242</v>
      </c>
      <c r="E114" s="5">
        <v>18</v>
      </c>
      <c r="F114" s="5" t="s">
        <v>2</v>
      </c>
      <c r="G114" s="5" t="s">
        <v>5</v>
      </c>
      <c r="H114" s="5">
        <v>1.45</v>
      </c>
      <c r="I114" s="5">
        <v>45.6</v>
      </c>
      <c r="J114" s="22">
        <v>4</v>
      </c>
      <c r="K114" s="22"/>
      <c r="L114" s="22"/>
      <c r="M114" s="22">
        <v>1</v>
      </c>
      <c r="N114" s="22"/>
      <c r="O114" s="22"/>
      <c r="P114" s="22"/>
      <c r="Q114" s="22"/>
      <c r="R114" s="22"/>
      <c r="S114" s="22"/>
      <c r="T114" s="22"/>
      <c r="U114" s="22"/>
      <c r="V114" s="22"/>
      <c r="W114" s="22"/>
      <c r="X114" s="22"/>
      <c r="Y114" s="22">
        <v>1</v>
      </c>
      <c r="Z114" s="22"/>
      <c r="AA114" s="22"/>
      <c r="AB114" s="22"/>
      <c r="AC114" s="22"/>
      <c r="AD114" s="22"/>
      <c r="AE114" s="22"/>
      <c r="AF114" s="22"/>
      <c r="AG114" s="22">
        <v>1</v>
      </c>
      <c r="AH114" s="36" t="s">
        <v>536</v>
      </c>
    </row>
    <row r="115" spans="1:34" ht="16" x14ac:dyDescent="0.2">
      <c r="A115" s="4">
        <v>45847</v>
      </c>
      <c r="B115" s="4">
        <v>45847</v>
      </c>
      <c r="C115" s="4"/>
      <c r="D115" s="5" t="s">
        <v>242</v>
      </c>
      <c r="E115" s="5">
        <v>19</v>
      </c>
      <c r="F115" s="5" t="s">
        <v>2</v>
      </c>
      <c r="G115" s="5" t="s">
        <v>5</v>
      </c>
      <c r="H115" s="5">
        <v>0.85</v>
      </c>
      <c r="I115" s="5">
        <v>36.6</v>
      </c>
      <c r="J115" s="22">
        <v>7</v>
      </c>
      <c r="K115" s="22"/>
      <c r="L115" s="22"/>
      <c r="M115" s="22"/>
      <c r="N115" s="22"/>
      <c r="O115" s="22">
        <v>1</v>
      </c>
      <c r="P115" s="22"/>
      <c r="Q115" s="22"/>
      <c r="R115" s="22"/>
      <c r="S115" s="22"/>
      <c r="T115" s="22"/>
      <c r="U115" s="22">
        <v>2</v>
      </c>
      <c r="V115" s="22"/>
      <c r="W115" s="22"/>
      <c r="X115" s="22">
        <v>1</v>
      </c>
      <c r="Y115" s="22">
        <v>2</v>
      </c>
      <c r="Z115" s="22"/>
      <c r="AA115" s="22"/>
      <c r="AB115" s="22"/>
      <c r="AC115" s="22"/>
      <c r="AD115" s="22"/>
      <c r="AE115" s="22"/>
      <c r="AF115" s="22"/>
      <c r="AG115" s="22"/>
      <c r="AH115" s="22"/>
    </row>
    <row r="116" spans="1:34" ht="16" x14ac:dyDescent="0.2">
      <c r="A116" s="4">
        <v>45848</v>
      </c>
      <c r="B116" s="4">
        <v>45848</v>
      </c>
      <c r="C116" s="4"/>
      <c r="D116" s="5" t="s">
        <v>38</v>
      </c>
      <c r="E116" s="5">
        <v>3</v>
      </c>
      <c r="F116" s="5" t="s">
        <v>2</v>
      </c>
      <c r="G116" s="5" t="s">
        <v>3</v>
      </c>
      <c r="H116" s="5">
        <v>0.85</v>
      </c>
      <c r="I116" s="5">
        <v>33.6</v>
      </c>
      <c r="J116" s="22"/>
      <c r="K116" s="22"/>
      <c r="L116" s="22"/>
      <c r="M116" s="22">
        <v>1</v>
      </c>
      <c r="N116" s="22"/>
      <c r="O116" s="22">
        <v>1</v>
      </c>
      <c r="P116" s="22"/>
      <c r="Q116" s="22"/>
      <c r="R116" s="22"/>
      <c r="S116" s="22"/>
      <c r="T116" s="22"/>
      <c r="U116" s="22"/>
      <c r="V116" s="22"/>
      <c r="W116" s="22"/>
      <c r="X116" s="22"/>
      <c r="Y116" s="22"/>
      <c r="Z116" s="22"/>
      <c r="AA116" s="22"/>
      <c r="AB116" s="22"/>
      <c r="AC116" s="22"/>
      <c r="AD116" s="22"/>
      <c r="AE116" s="22"/>
      <c r="AF116" s="22"/>
      <c r="AG116" s="22">
        <v>1</v>
      </c>
      <c r="AH116" s="36" t="s">
        <v>529</v>
      </c>
    </row>
    <row r="117" spans="1:34" ht="16" x14ac:dyDescent="0.2">
      <c r="A117" s="4">
        <v>45848</v>
      </c>
      <c r="B117" s="4">
        <v>45848</v>
      </c>
      <c r="C117" s="4"/>
      <c r="D117" s="5" t="s">
        <v>38</v>
      </c>
      <c r="E117" s="5">
        <v>5</v>
      </c>
      <c r="F117" s="5" t="s">
        <v>2</v>
      </c>
      <c r="G117" s="5" t="s">
        <v>5</v>
      </c>
      <c r="H117" s="5">
        <v>1</v>
      </c>
      <c r="I117" s="5">
        <v>36.65</v>
      </c>
      <c r="J117" s="22"/>
      <c r="K117" s="22"/>
      <c r="L117" s="22"/>
      <c r="M117" s="22">
        <v>1</v>
      </c>
      <c r="N117" s="22"/>
      <c r="O117" s="22">
        <v>2</v>
      </c>
      <c r="P117" s="22"/>
      <c r="Q117" s="22"/>
      <c r="R117" s="22"/>
      <c r="S117" s="22"/>
      <c r="T117" s="22">
        <v>2</v>
      </c>
      <c r="U117" s="22">
        <v>2</v>
      </c>
      <c r="V117" s="22"/>
      <c r="W117" s="22"/>
      <c r="X117" s="22"/>
      <c r="Y117" s="22"/>
      <c r="Z117" s="22"/>
      <c r="AA117" s="22"/>
      <c r="AB117" s="22"/>
      <c r="AC117" s="22"/>
      <c r="AD117" s="22"/>
      <c r="AE117" s="22"/>
      <c r="AF117" s="22"/>
      <c r="AG117" s="22"/>
      <c r="AH117" s="36" t="s">
        <v>528</v>
      </c>
    </row>
    <row r="118" spans="1:34" ht="16" x14ac:dyDescent="0.2">
      <c r="A118" s="4">
        <v>45848</v>
      </c>
      <c r="B118" s="4">
        <v>45848</v>
      </c>
      <c r="C118" s="4"/>
      <c r="D118" s="5" t="s">
        <v>38</v>
      </c>
      <c r="E118" s="5">
        <v>8</v>
      </c>
      <c r="F118" s="5" t="s">
        <v>2</v>
      </c>
      <c r="G118" s="5" t="s">
        <v>5</v>
      </c>
      <c r="H118" s="5">
        <v>0.7</v>
      </c>
      <c r="I118" s="5">
        <v>35.85</v>
      </c>
      <c r="J118" s="22"/>
      <c r="K118" s="22"/>
      <c r="L118" s="22"/>
      <c r="M118" s="22"/>
      <c r="N118" s="22"/>
      <c r="O118" s="22"/>
      <c r="P118" s="22"/>
      <c r="Q118" s="22"/>
      <c r="R118" s="22"/>
      <c r="S118" s="22"/>
      <c r="T118" s="22">
        <v>1</v>
      </c>
      <c r="U118" s="22"/>
      <c r="V118" s="22"/>
      <c r="W118" s="22"/>
      <c r="X118" s="22"/>
      <c r="Y118" s="22"/>
      <c r="Z118" s="22"/>
      <c r="AA118" s="22"/>
      <c r="AB118" s="22"/>
      <c r="AC118" s="22"/>
      <c r="AD118" s="22"/>
      <c r="AE118" s="22"/>
      <c r="AF118" s="22"/>
      <c r="AG118" s="22"/>
      <c r="AH118" s="36" t="s">
        <v>527</v>
      </c>
    </row>
    <row r="119" spans="1:34" ht="16" x14ac:dyDescent="0.2">
      <c r="A119" s="4">
        <v>45848</v>
      </c>
      <c r="B119" s="4">
        <v>45848</v>
      </c>
      <c r="C119" s="4"/>
      <c r="D119" s="5" t="s">
        <v>38</v>
      </c>
      <c r="E119" s="5">
        <v>9</v>
      </c>
      <c r="F119" s="5" t="s">
        <v>2</v>
      </c>
      <c r="G119" s="5" t="s">
        <v>3</v>
      </c>
      <c r="H119" s="5">
        <v>0.85</v>
      </c>
      <c r="I119" s="5">
        <v>38.700000000000003</v>
      </c>
      <c r="J119" s="22">
        <v>3</v>
      </c>
      <c r="K119" s="22"/>
      <c r="L119" s="22"/>
      <c r="M119" s="22">
        <v>2</v>
      </c>
      <c r="N119" s="22">
        <v>2</v>
      </c>
      <c r="O119" s="22">
        <v>1</v>
      </c>
      <c r="P119" s="22"/>
      <c r="Q119" s="22">
        <v>1</v>
      </c>
      <c r="R119" s="22"/>
      <c r="S119" s="22"/>
      <c r="T119" s="22"/>
      <c r="U119" s="22"/>
      <c r="V119" s="22"/>
      <c r="W119" s="22"/>
      <c r="X119" s="22"/>
      <c r="Y119" s="22"/>
      <c r="Z119" s="22"/>
      <c r="AA119" s="22"/>
      <c r="AB119" s="22"/>
      <c r="AC119" s="22"/>
      <c r="AD119" s="22"/>
      <c r="AE119" s="22"/>
      <c r="AF119" s="22"/>
      <c r="AG119" s="22"/>
      <c r="AH119" s="22"/>
    </row>
    <row r="120" spans="1:34" ht="16" x14ac:dyDescent="0.2">
      <c r="A120" s="4">
        <v>45848</v>
      </c>
      <c r="B120" s="4">
        <v>45848</v>
      </c>
      <c r="C120" s="4"/>
      <c r="D120" s="5" t="s">
        <v>38</v>
      </c>
      <c r="E120" s="5">
        <v>10</v>
      </c>
      <c r="F120" s="5" t="s">
        <v>2</v>
      </c>
      <c r="G120" s="5" t="s">
        <v>3</v>
      </c>
      <c r="H120" s="5">
        <v>1.3</v>
      </c>
      <c r="I120" s="5">
        <v>37.950000000000003</v>
      </c>
      <c r="J120" s="22"/>
      <c r="K120" s="22"/>
      <c r="L120" s="22"/>
      <c r="M120" s="22"/>
      <c r="N120" s="22">
        <v>1</v>
      </c>
      <c r="O120" s="22">
        <v>3</v>
      </c>
      <c r="P120" s="22"/>
      <c r="Q120" s="22"/>
      <c r="R120" s="22"/>
      <c r="S120" s="22"/>
      <c r="T120" s="22"/>
      <c r="U120" s="22">
        <v>2</v>
      </c>
      <c r="V120" s="22"/>
      <c r="W120" s="22"/>
      <c r="X120" s="22"/>
      <c r="Y120" s="22"/>
      <c r="Z120" s="22"/>
      <c r="AA120" s="22"/>
      <c r="AB120" s="22"/>
      <c r="AC120" s="22"/>
      <c r="AD120" s="22"/>
      <c r="AE120" s="22"/>
      <c r="AF120" s="22"/>
      <c r="AG120" s="36">
        <v>2</v>
      </c>
      <c r="AH120" s="36" t="s">
        <v>526</v>
      </c>
    </row>
    <row r="121" spans="1:34" ht="16" x14ac:dyDescent="0.2">
      <c r="A121" s="4">
        <v>45848</v>
      </c>
      <c r="B121" s="4">
        <v>45848</v>
      </c>
      <c r="C121" s="4"/>
      <c r="D121" s="5" t="s">
        <v>38</v>
      </c>
      <c r="E121" s="5">
        <v>12</v>
      </c>
      <c r="F121" s="5" t="s">
        <v>2</v>
      </c>
      <c r="G121" s="5" t="s">
        <v>3</v>
      </c>
      <c r="H121" s="5">
        <v>0.5</v>
      </c>
      <c r="I121" s="5">
        <v>32.75</v>
      </c>
      <c r="J121" s="22"/>
      <c r="K121" s="22"/>
      <c r="L121" s="22"/>
      <c r="M121" s="22"/>
      <c r="N121" s="22">
        <v>1</v>
      </c>
      <c r="O121" s="22"/>
      <c r="P121" s="22"/>
      <c r="Q121" s="22"/>
      <c r="R121" s="22"/>
      <c r="S121" s="22"/>
      <c r="T121" s="22"/>
      <c r="U121" s="22"/>
      <c r="V121" s="22"/>
      <c r="W121" s="22"/>
      <c r="X121" s="22"/>
      <c r="Y121" s="22"/>
      <c r="Z121" s="22"/>
      <c r="AA121" s="22"/>
      <c r="AB121" s="22"/>
      <c r="AC121" s="22"/>
      <c r="AD121" s="22"/>
      <c r="AE121" s="22"/>
      <c r="AF121" s="22"/>
      <c r="AG121" s="22"/>
      <c r="AH121" s="22"/>
    </row>
    <row r="122" spans="1:34" ht="16" x14ac:dyDescent="0.2">
      <c r="A122" s="4">
        <v>45848</v>
      </c>
      <c r="B122" s="4">
        <v>45848</v>
      </c>
      <c r="C122" s="4"/>
      <c r="D122" s="5" t="s">
        <v>38</v>
      </c>
      <c r="E122" s="5">
        <v>15</v>
      </c>
      <c r="F122" s="5" t="s">
        <v>2</v>
      </c>
      <c r="G122" s="5" t="s">
        <v>3</v>
      </c>
      <c r="H122" s="5">
        <v>0.65</v>
      </c>
      <c r="I122" s="5">
        <v>32.1</v>
      </c>
      <c r="J122" s="22">
        <v>2</v>
      </c>
      <c r="K122" s="22"/>
      <c r="L122" s="22"/>
      <c r="M122" s="22">
        <v>1</v>
      </c>
      <c r="N122" s="22"/>
      <c r="O122" s="22"/>
      <c r="P122" s="22"/>
      <c r="Q122" s="22"/>
      <c r="R122" s="22"/>
      <c r="S122" s="22"/>
      <c r="T122" s="22">
        <v>2</v>
      </c>
      <c r="U122" s="22"/>
      <c r="V122" s="22"/>
      <c r="W122" s="22"/>
      <c r="X122" s="22">
        <v>1</v>
      </c>
      <c r="Y122" s="22"/>
      <c r="Z122" s="22"/>
      <c r="AA122" s="22"/>
      <c r="AB122" s="22"/>
      <c r="AC122" s="22"/>
      <c r="AD122" s="22"/>
      <c r="AE122" s="22"/>
      <c r="AF122" s="22"/>
      <c r="AG122" s="36">
        <v>1</v>
      </c>
      <c r="AH122" s="36" t="s">
        <v>525</v>
      </c>
    </row>
    <row r="125" spans="1:34" ht="16" x14ac:dyDescent="0.2">
      <c r="B125" s="18">
        <v>45821</v>
      </c>
      <c r="D125" s="5" t="s">
        <v>1</v>
      </c>
      <c r="E125" s="9" t="s">
        <v>344</v>
      </c>
      <c r="F125" s="5" t="s">
        <v>345</v>
      </c>
      <c r="T125">
        <v>1</v>
      </c>
      <c r="AH125" s="9" t="s">
        <v>346</v>
      </c>
    </row>
    <row r="126" spans="1:34" ht="16" x14ac:dyDescent="0.2">
      <c r="B126" s="18">
        <v>45821</v>
      </c>
      <c r="D126" s="5" t="s">
        <v>1</v>
      </c>
      <c r="E126" s="9" t="s">
        <v>344</v>
      </c>
      <c r="N126">
        <v>1</v>
      </c>
      <c r="AH126" s="9" t="s">
        <v>350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B4680-21C1-7848-B46A-114D177D8334}">
  <dimension ref="A1:BD120"/>
  <sheetViews>
    <sheetView workbookViewId="0">
      <pane xSplit="4" ySplit="1" topLeftCell="E2" activePane="bottomRight" state="frozen"/>
      <selection pane="topRight" activeCell="E1" sqref="E1"/>
      <selection pane="bottomLeft" activeCell="A2" sqref="A2"/>
      <selection pane="bottomRight" activeCell="C11" sqref="C11:C18"/>
    </sheetView>
  </sheetViews>
  <sheetFormatPr baseColWidth="10" defaultRowHeight="13" x14ac:dyDescent="0.15"/>
  <cols>
    <col min="12" max="12" width="14" customWidth="1"/>
    <col min="15" max="15" width="14.1640625" customWidth="1"/>
    <col min="18" max="18" width="15.33203125" customWidth="1"/>
    <col min="19" max="19" width="13" customWidth="1"/>
    <col min="20" max="20" width="14.6640625" customWidth="1"/>
    <col min="22" max="22" width="14.83203125" customWidth="1"/>
    <col min="23" max="23" width="14.33203125" customWidth="1"/>
    <col min="26" max="26" width="12.1640625" customWidth="1"/>
    <col min="27" max="27" width="12.83203125" customWidth="1"/>
    <col min="29" max="29" width="12.6640625" customWidth="1"/>
    <col min="30" max="30" width="17.83203125" customWidth="1"/>
    <col min="31" max="31" width="14.83203125" customWidth="1"/>
    <col min="32" max="32" width="16.6640625" customWidth="1"/>
  </cols>
  <sheetData>
    <row r="1" spans="1:56" ht="36" x14ac:dyDescent="0.2">
      <c r="A1" s="1" t="s">
        <v>298</v>
      </c>
      <c r="B1" s="1" t="s">
        <v>341</v>
      </c>
      <c r="C1" s="3" t="s">
        <v>299</v>
      </c>
      <c r="D1" s="1" t="s">
        <v>300</v>
      </c>
      <c r="E1" s="1" t="s">
        <v>301</v>
      </c>
      <c r="F1" s="1" t="s">
        <v>304</v>
      </c>
      <c r="G1" s="1" t="s">
        <v>305</v>
      </c>
      <c r="H1" s="16" t="s">
        <v>306</v>
      </c>
      <c r="I1" s="3" t="s">
        <v>681</v>
      </c>
      <c r="J1" s="3" t="s">
        <v>682</v>
      </c>
      <c r="K1" s="3" t="s">
        <v>683</v>
      </c>
      <c r="L1" s="3" t="s">
        <v>684</v>
      </c>
      <c r="M1" s="3" t="s">
        <v>685</v>
      </c>
      <c r="N1" s="3" t="s">
        <v>686</v>
      </c>
      <c r="O1" s="3" t="s">
        <v>687</v>
      </c>
      <c r="P1" s="3" t="s">
        <v>688</v>
      </c>
      <c r="Q1" s="3" t="s">
        <v>689</v>
      </c>
      <c r="R1" s="3" t="s">
        <v>690</v>
      </c>
      <c r="S1" s="3" t="s">
        <v>691</v>
      </c>
      <c r="T1" s="3" t="s">
        <v>692</v>
      </c>
      <c r="U1" s="3" t="s">
        <v>693</v>
      </c>
      <c r="V1" s="3" t="s">
        <v>694</v>
      </c>
      <c r="W1" s="3" t="s">
        <v>695</v>
      </c>
      <c r="X1" s="3" t="s">
        <v>696</v>
      </c>
      <c r="Y1" s="3" t="s">
        <v>697</v>
      </c>
      <c r="Z1" s="3" t="s">
        <v>698</v>
      </c>
      <c r="AA1" s="3" t="s">
        <v>699</v>
      </c>
      <c r="AB1" s="3" t="s">
        <v>700</v>
      </c>
      <c r="AC1" s="3" t="s">
        <v>701</v>
      </c>
      <c r="AD1" s="3" t="s">
        <v>702</v>
      </c>
      <c r="AE1" s="3" t="s">
        <v>703</v>
      </c>
      <c r="AF1" s="3" t="s">
        <v>459</v>
      </c>
      <c r="AG1" s="31" t="s">
        <v>359</v>
      </c>
      <c r="AH1" s="31" t="s">
        <v>360</v>
      </c>
      <c r="AI1" s="31" t="s">
        <v>361</v>
      </c>
      <c r="AJ1" s="31" t="s">
        <v>362</v>
      </c>
      <c r="AK1" s="31" t="s">
        <v>363</v>
      </c>
      <c r="AL1" s="31" t="s">
        <v>364</v>
      </c>
      <c r="AM1" s="31" t="s">
        <v>365</v>
      </c>
      <c r="AN1" s="31" t="s">
        <v>366</v>
      </c>
      <c r="AO1" s="31" t="s">
        <v>367</v>
      </c>
      <c r="AP1" s="31" t="s">
        <v>368</v>
      </c>
      <c r="AQ1" s="31" t="s">
        <v>369</v>
      </c>
      <c r="AR1" s="31" t="s">
        <v>370</v>
      </c>
      <c r="AS1" s="31" t="s">
        <v>371</v>
      </c>
      <c r="AT1" s="31" t="s">
        <v>372</v>
      </c>
      <c r="AU1" s="31" t="s">
        <v>373</v>
      </c>
      <c r="AV1" s="31" t="s">
        <v>374</v>
      </c>
      <c r="AW1" s="31" t="s">
        <v>375</v>
      </c>
      <c r="AX1" s="31" t="s">
        <v>376</v>
      </c>
      <c r="AY1" s="31" t="s">
        <v>465</v>
      </c>
      <c r="AZ1" s="31" t="s">
        <v>466</v>
      </c>
      <c r="BA1" s="31" t="s">
        <v>467</v>
      </c>
      <c r="BB1" s="31" t="s">
        <v>468</v>
      </c>
      <c r="BC1" s="31" t="s">
        <v>379</v>
      </c>
      <c r="BD1" s="31" t="s">
        <v>469</v>
      </c>
    </row>
    <row r="2" spans="1:56" ht="16" x14ac:dyDescent="0.2">
      <c r="A2" s="4">
        <v>45824</v>
      </c>
      <c r="B2" s="4"/>
      <c r="C2" s="5" t="s">
        <v>1</v>
      </c>
      <c r="D2" s="5">
        <v>15</v>
      </c>
      <c r="E2" s="5" t="s">
        <v>2</v>
      </c>
      <c r="F2" s="5" t="s">
        <v>3</v>
      </c>
      <c r="G2" s="5">
        <v>0.9</v>
      </c>
      <c r="H2" s="5">
        <v>36.549999999999997</v>
      </c>
      <c r="I2" s="21"/>
      <c r="J2" s="21"/>
      <c r="K2" s="21"/>
      <c r="L2" s="21"/>
      <c r="M2" s="21"/>
      <c r="N2" s="21"/>
      <c r="O2" s="21"/>
      <c r="P2" s="21"/>
      <c r="Q2" s="21"/>
      <c r="R2" s="21"/>
      <c r="S2" s="21"/>
      <c r="T2" s="21"/>
      <c r="U2" s="21"/>
      <c r="V2" s="21"/>
      <c r="W2" s="21"/>
      <c r="X2" s="21"/>
      <c r="Y2" s="21"/>
      <c r="Z2" s="21"/>
      <c r="AA2" s="21"/>
      <c r="AB2" s="21"/>
      <c r="AC2" s="21"/>
      <c r="AD2" s="21"/>
      <c r="AE2" s="21"/>
      <c r="AF2" s="21">
        <v>1</v>
      </c>
      <c r="AG2" s="9" t="s">
        <v>516</v>
      </c>
      <c r="AH2" s="6">
        <v>0.10343590900000001</v>
      </c>
      <c r="AI2" s="6">
        <v>2.0593949E-2</v>
      </c>
      <c r="AJ2" s="6">
        <v>769</v>
      </c>
      <c r="AK2" s="6">
        <v>2.191288E-3</v>
      </c>
      <c r="AL2" s="6">
        <v>3.9999999979999998</v>
      </c>
      <c r="AM2" s="6">
        <v>0.10885740300000001</v>
      </c>
      <c r="AN2" s="6">
        <v>2.0129897000000001E-2</v>
      </c>
      <c r="AO2" s="6">
        <v>1.118328E-3</v>
      </c>
      <c r="AP2" s="6">
        <v>7.3260600000000001E-4</v>
      </c>
      <c r="AQ2" s="6">
        <v>0.146030991</v>
      </c>
      <c r="AR2" s="6">
        <v>3.0881991000000001E-2</v>
      </c>
      <c r="AS2" s="6">
        <v>9.4770180999999995E-2</v>
      </c>
      <c r="AT2" s="6">
        <v>1.8418087E-2</v>
      </c>
      <c r="AU2" s="6">
        <v>6.6712682999999995E-2</v>
      </c>
      <c r="AV2" s="6">
        <v>1.2260701000000001E-2</v>
      </c>
      <c r="AW2" s="6">
        <v>0.10343590900000001</v>
      </c>
      <c r="AX2" s="6">
        <v>2.0593949E-2</v>
      </c>
      <c r="AY2" s="6">
        <v>6.0519270199999999</v>
      </c>
      <c r="AZ2" s="6">
        <v>0.46180787600000001</v>
      </c>
      <c r="BA2" s="6">
        <v>-9.1785037440000004</v>
      </c>
      <c r="BB2" s="6">
        <v>0.76791698100000005</v>
      </c>
      <c r="BC2" s="6">
        <v>10.995062406000001</v>
      </c>
      <c r="BD2" s="6">
        <v>0.88447167999999998</v>
      </c>
    </row>
    <row r="3" spans="1:56" ht="16" x14ac:dyDescent="0.2">
      <c r="A3" s="33">
        <v>45824</v>
      </c>
      <c r="B3" s="33"/>
      <c r="C3" s="34" t="s">
        <v>1</v>
      </c>
      <c r="D3" s="34">
        <v>17</v>
      </c>
      <c r="E3" s="34" t="s">
        <v>2</v>
      </c>
      <c r="F3" s="34" t="s">
        <v>5</v>
      </c>
      <c r="G3" s="34">
        <v>1.45</v>
      </c>
      <c r="H3" s="34">
        <v>43.05</v>
      </c>
      <c r="I3" s="22">
        <v>1</v>
      </c>
      <c r="J3" s="22"/>
      <c r="K3" s="22"/>
      <c r="L3" s="22"/>
      <c r="M3" s="22"/>
      <c r="N3" s="22"/>
      <c r="O3" s="22"/>
      <c r="P3" s="22"/>
      <c r="Q3" s="22"/>
      <c r="R3" s="22"/>
      <c r="S3" s="22"/>
      <c r="T3" s="22"/>
      <c r="U3" s="22"/>
      <c r="V3" s="22"/>
      <c r="W3" s="22">
        <v>1</v>
      </c>
      <c r="X3" s="22"/>
      <c r="Y3" s="22"/>
      <c r="Z3" s="22"/>
      <c r="AA3" s="22">
        <v>1</v>
      </c>
      <c r="AB3" s="22"/>
      <c r="AC3" s="22"/>
      <c r="AD3" s="22"/>
      <c r="AE3" s="22"/>
      <c r="AF3" s="22"/>
      <c r="AG3" s="6" t="s">
        <v>384</v>
      </c>
      <c r="AH3" s="6">
        <v>8.5690239000000001E-2</v>
      </c>
      <c r="AI3" s="6">
        <v>2.0438227E-2</v>
      </c>
      <c r="AJ3" s="6">
        <v>1205</v>
      </c>
      <c r="AK3" s="6">
        <v>2.5217199999999999E-3</v>
      </c>
      <c r="AL3" s="6">
        <v>3.9999999979999998</v>
      </c>
      <c r="AM3" s="6">
        <v>0.13908308</v>
      </c>
      <c r="AN3" s="6">
        <v>1.8131036E-2</v>
      </c>
      <c r="AO3" s="6">
        <v>1.0072799999999999E-3</v>
      </c>
      <c r="AP3" s="6">
        <v>8.8294800000000004E-4</v>
      </c>
      <c r="AQ3" s="6">
        <v>0.13432977700000001</v>
      </c>
      <c r="AR3" s="6">
        <v>3.8180942000000002E-2</v>
      </c>
      <c r="AS3" s="6">
        <v>7.3637171000000001E-2</v>
      </c>
      <c r="AT3" s="6">
        <v>1.6094051000000002E-2</v>
      </c>
      <c r="AU3" s="6">
        <v>5.0559737E-2</v>
      </c>
      <c r="AV3" s="6">
        <v>1.0470238E-2</v>
      </c>
      <c r="AW3" s="6">
        <v>8.5690239000000001E-2</v>
      </c>
      <c r="AX3" s="6">
        <v>2.0438227E-2</v>
      </c>
      <c r="AY3" s="6">
        <v>8.1975494250000001</v>
      </c>
      <c r="AZ3" s="6">
        <v>1.667334603</v>
      </c>
      <c r="BA3" s="6">
        <v>-10.797128466</v>
      </c>
      <c r="BB3" s="6">
        <v>2.3589215229999998</v>
      </c>
      <c r="BC3" s="6">
        <v>13.566277466000001</v>
      </c>
      <c r="BD3" s="6">
        <v>2.842219235</v>
      </c>
    </row>
    <row r="4" spans="1:56" ht="16" x14ac:dyDescent="0.2">
      <c r="A4" s="33">
        <v>45824</v>
      </c>
      <c r="B4" s="33"/>
      <c r="C4" s="34" t="s">
        <v>1</v>
      </c>
      <c r="D4" s="34">
        <v>18</v>
      </c>
      <c r="E4" s="34" t="s">
        <v>2</v>
      </c>
      <c r="F4" s="34" t="s">
        <v>5</v>
      </c>
      <c r="G4" s="34">
        <v>0.8</v>
      </c>
      <c r="H4" s="34">
        <v>34</v>
      </c>
      <c r="I4" s="22"/>
      <c r="J4" s="22"/>
      <c r="K4" s="22"/>
      <c r="L4" s="22"/>
      <c r="M4" s="22"/>
      <c r="N4" s="22">
        <v>1</v>
      </c>
      <c r="O4" s="22"/>
      <c r="P4" s="22"/>
      <c r="Q4" s="22"/>
      <c r="R4" s="22"/>
      <c r="S4" s="22"/>
      <c r="T4" s="22"/>
      <c r="U4" s="22"/>
      <c r="V4" s="22"/>
      <c r="W4" s="22"/>
      <c r="X4" s="22"/>
      <c r="Y4" s="22"/>
      <c r="Z4" s="22"/>
      <c r="AA4" s="22"/>
      <c r="AB4" s="22"/>
      <c r="AC4" s="22"/>
      <c r="AD4" s="22"/>
      <c r="AE4" s="22"/>
      <c r="AF4" s="22"/>
      <c r="AG4" s="6" t="s">
        <v>380</v>
      </c>
      <c r="AH4" s="6">
        <v>0.108079894</v>
      </c>
      <c r="AI4" s="6">
        <v>2.0310207E-2</v>
      </c>
      <c r="AJ4" s="6">
        <v>2515</v>
      </c>
      <c r="AK4" s="6">
        <v>2.1396589999999999E-3</v>
      </c>
      <c r="AL4" s="6">
        <v>7.9999999920000002</v>
      </c>
      <c r="AM4" s="6">
        <v>9.9639117999999999E-2</v>
      </c>
      <c r="AN4" s="6">
        <v>2.1474086E-2</v>
      </c>
      <c r="AO4" s="6">
        <v>1.193005E-3</v>
      </c>
      <c r="AP4" s="6">
        <v>6.0052599999999999E-4</v>
      </c>
      <c r="AQ4" s="6">
        <v>0.144484842</v>
      </c>
      <c r="AR4" s="6">
        <v>3.3677413000000003E-2</v>
      </c>
      <c r="AS4" s="6">
        <v>0.102102864</v>
      </c>
      <c r="AT4" s="6">
        <v>1.8023034E-2</v>
      </c>
      <c r="AU4" s="6">
        <v>7.376742E-2</v>
      </c>
      <c r="AV4" s="6">
        <v>8.3118170000000009E-3</v>
      </c>
      <c r="AW4" s="6">
        <v>0.108079894</v>
      </c>
      <c r="AX4" s="6">
        <v>2.0310207E-2</v>
      </c>
      <c r="AY4" s="6">
        <v>4.7532957380000003</v>
      </c>
      <c r="AZ4" s="6">
        <v>0.87517651100000005</v>
      </c>
      <c r="BA4" s="6">
        <v>-7.9098900719999996</v>
      </c>
      <c r="BB4" s="6">
        <v>2.334519926</v>
      </c>
      <c r="BC4" s="6">
        <v>9.2450551769999993</v>
      </c>
      <c r="BD4" s="6">
        <v>2.4300060819999998</v>
      </c>
    </row>
    <row r="5" spans="1:56" ht="16" x14ac:dyDescent="0.2">
      <c r="A5" s="4">
        <v>45824</v>
      </c>
      <c r="B5" s="4"/>
      <c r="C5" s="5" t="s">
        <v>1</v>
      </c>
      <c r="D5" s="5">
        <v>20</v>
      </c>
      <c r="E5" s="5" t="s">
        <v>2</v>
      </c>
      <c r="F5" s="5" t="s">
        <v>3</v>
      </c>
      <c r="G5" s="5">
        <v>1.1499999999999999</v>
      </c>
      <c r="H5" s="5">
        <v>39</v>
      </c>
      <c r="I5" s="22">
        <v>1</v>
      </c>
      <c r="J5" s="22"/>
      <c r="K5" s="22"/>
      <c r="L5" s="22"/>
      <c r="M5" s="22"/>
      <c r="N5" s="22"/>
      <c r="O5" s="22"/>
      <c r="P5" s="22"/>
      <c r="Q5" s="22"/>
      <c r="R5" s="22"/>
      <c r="S5" s="22"/>
      <c r="T5" s="22"/>
      <c r="U5" s="22"/>
      <c r="V5" s="22"/>
      <c r="W5" s="22">
        <v>1</v>
      </c>
      <c r="X5" s="22"/>
      <c r="Y5" s="22"/>
      <c r="Z5" s="22"/>
      <c r="AA5" s="22"/>
      <c r="AB5" s="22"/>
      <c r="AC5" s="22"/>
      <c r="AD5" s="22"/>
      <c r="AE5" s="22"/>
      <c r="AF5" s="22">
        <v>2</v>
      </c>
      <c r="AG5" t="s">
        <v>517</v>
      </c>
      <c r="AH5" s="6">
        <v>8.4789683000000005E-2</v>
      </c>
      <c r="AI5" s="6">
        <v>7.6639189999999999E-3</v>
      </c>
      <c r="AJ5" s="6">
        <v>1537</v>
      </c>
      <c r="AK5" s="6">
        <v>8.7672100000000001E-4</v>
      </c>
      <c r="AL5" s="6">
        <v>5.6568542449999999</v>
      </c>
      <c r="AM5" s="6">
        <v>0.11954582599999999</v>
      </c>
      <c r="AN5" s="6">
        <v>7.3337640000000004E-3</v>
      </c>
      <c r="AO5" s="6">
        <v>4.0743099999999998E-4</v>
      </c>
      <c r="AP5" s="6">
        <v>3.27373E-4</v>
      </c>
      <c r="AQ5" s="6">
        <v>0.119752388</v>
      </c>
      <c r="AR5" s="6">
        <v>1.4431039999999999E-2</v>
      </c>
      <c r="AS5" s="6">
        <v>7.6472341999999999E-2</v>
      </c>
      <c r="AT5" s="6">
        <v>6.4632600000000002E-3</v>
      </c>
      <c r="AU5" s="6">
        <v>6.1162872E-2</v>
      </c>
      <c r="AV5" s="6">
        <v>6.9373799999999999E-3</v>
      </c>
      <c r="AW5" s="6">
        <v>8.4789683000000005E-2</v>
      </c>
      <c r="AX5" s="6">
        <v>7.6639189999999999E-3</v>
      </c>
      <c r="AY5" s="6">
        <v>6.2871500899999999</v>
      </c>
      <c r="AZ5" s="6">
        <v>0.94074745500000001</v>
      </c>
      <c r="BA5" s="6">
        <v>-7.3266004899999997</v>
      </c>
      <c r="BB5" s="6">
        <v>2.19320592</v>
      </c>
      <c r="BC5" s="6">
        <v>9.6832931080000009</v>
      </c>
      <c r="BD5" s="6">
        <v>2.2662656179999998</v>
      </c>
    </row>
    <row r="6" spans="1:56" ht="16" x14ac:dyDescent="0.2">
      <c r="A6" s="4">
        <v>45824</v>
      </c>
      <c r="B6" s="4"/>
      <c r="C6" s="5" t="s">
        <v>1</v>
      </c>
      <c r="D6" s="5">
        <v>22</v>
      </c>
      <c r="E6" s="5" t="s">
        <v>2</v>
      </c>
      <c r="F6" s="5" t="s">
        <v>3</v>
      </c>
      <c r="G6" s="5">
        <v>1</v>
      </c>
      <c r="H6" s="5">
        <v>36.799999999999997</v>
      </c>
      <c r="I6" s="22">
        <v>1</v>
      </c>
      <c r="J6" s="22"/>
      <c r="K6" s="22"/>
      <c r="L6" s="22">
        <v>4</v>
      </c>
      <c r="M6" s="22"/>
      <c r="N6" s="22">
        <v>1</v>
      </c>
      <c r="O6" s="22"/>
      <c r="P6" s="22">
        <v>1</v>
      </c>
      <c r="Q6" s="22"/>
      <c r="R6" s="22"/>
      <c r="S6" s="22">
        <v>1</v>
      </c>
      <c r="T6" s="22">
        <v>1</v>
      </c>
      <c r="U6" s="22"/>
      <c r="V6" s="22"/>
      <c r="W6" s="22"/>
      <c r="X6" s="22">
        <v>1</v>
      </c>
      <c r="Y6" s="22"/>
      <c r="Z6" s="22"/>
      <c r="AA6" s="22"/>
      <c r="AB6" s="22"/>
      <c r="AC6" s="22"/>
      <c r="AD6" s="22"/>
      <c r="AE6" s="22"/>
      <c r="AF6" s="22">
        <v>2</v>
      </c>
      <c r="AG6" t="s">
        <v>519</v>
      </c>
      <c r="AH6" s="6">
        <v>7.9078973999999996E-2</v>
      </c>
      <c r="AI6" s="6">
        <v>7.8835429999999998E-3</v>
      </c>
      <c r="AJ6" s="6">
        <v>2049</v>
      </c>
      <c r="AK6" s="6">
        <v>8.7382300000000003E-4</v>
      </c>
      <c r="AL6" s="6">
        <v>5.6568542449999999</v>
      </c>
      <c r="AM6" s="6">
        <v>0.112010083</v>
      </c>
      <c r="AN6" s="6">
        <v>7.8012869999999996E-3</v>
      </c>
      <c r="AO6" s="6">
        <v>4.3340499999999999E-4</v>
      </c>
      <c r="AP6" s="6">
        <v>3.3318300000000003E-4</v>
      </c>
      <c r="AQ6" s="6">
        <v>0.12517736099999999</v>
      </c>
      <c r="AR6" s="6">
        <v>2.0341588000000001E-2</v>
      </c>
      <c r="AS6" s="6">
        <v>6.7643119000000002E-2</v>
      </c>
      <c r="AT6" s="6">
        <v>6.0749269999999999E-3</v>
      </c>
      <c r="AU6" s="6">
        <v>4.6860148999999997E-2</v>
      </c>
      <c r="AV6" s="6">
        <v>4.0503930000000002E-3</v>
      </c>
      <c r="AW6" s="6">
        <v>7.9078973999999996E-2</v>
      </c>
      <c r="AX6" s="6">
        <v>7.8835429999999998E-3</v>
      </c>
      <c r="AY6" s="6">
        <v>8.5773142240000002</v>
      </c>
      <c r="AZ6" s="6">
        <v>2.0714670160000002</v>
      </c>
      <c r="BA6" s="6">
        <v>-10.936691089</v>
      </c>
      <c r="BB6" s="6">
        <v>1.8952039140000001</v>
      </c>
      <c r="BC6" s="6">
        <v>13.914429353999999</v>
      </c>
      <c r="BD6" s="6">
        <v>2.729972708</v>
      </c>
    </row>
    <row r="7" spans="1:56" ht="16" x14ac:dyDescent="0.2">
      <c r="A7" s="4">
        <v>45824</v>
      </c>
      <c r="B7" s="4"/>
      <c r="C7" s="5" t="s">
        <v>1</v>
      </c>
      <c r="D7" s="5">
        <v>23</v>
      </c>
      <c r="E7" s="5" t="s">
        <v>2</v>
      </c>
      <c r="F7" s="5" t="s">
        <v>5</v>
      </c>
      <c r="G7" s="5">
        <v>0.75</v>
      </c>
      <c r="H7" s="5">
        <v>38.15</v>
      </c>
      <c r="I7" s="22">
        <v>3</v>
      </c>
      <c r="J7" s="22"/>
      <c r="K7" s="22"/>
      <c r="L7" s="22"/>
      <c r="M7" s="22"/>
      <c r="N7" s="22">
        <v>1</v>
      </c>
      <c r="O7" s="22"/>
      <c r="P7" s="22">
        <v>1</v>
      </c>
      <c r="Q7" s="22"/>
      <c r="R7" s="22"/>
      <c r="S7" s="22">
        <v>1</v>
      </c>
      <c r="T7" s="22"/>
      <c r="U7" s="22"/>
      <c r="V7" s="22"/>
      <c r="W7" s="22"/>
      <c r="X7" s="22"/>
      <c r="Y7" s="22"/>
      <c r="Z7" s="22"/>
      <c r="AA7" s="22"/>
      <c r="AB7" s="22"/>
      <c r="AC7" s="22"/>
      <c r="AD7" s="22"/>
      <c r="AE7" s="22"/>
      <c r="AF7" s="22"/>
      <c r="AG7" t="s">
        <v>520</v>
      </c>
      <c r="AH7" s="6">
        <v>6.0517606000000002E-2</v>
      </c>
      <c r="AI7" s="6">
        <v>1.4050195E-2</v>
      </c>
      <c r="AJ7" s="6">
        <v>1347</v>
      </c>
      <c r="AK7" s="6">
        <v>1.576341E-3</v>
      </c>
      <c r="AL7" s="6">
        <v>5.6568542449999999</v>
      </c>
      <c r="AM7" s="6">
        <v>0.121497596</v>
      </c>
      <c r="AN7" s="6">
        <v>1.2974253E-2</v>
      </c>
      <c r="AO7" s="6">
        <v>7.2079200000000005E-4</v>
      </c>
      <c r="AP7" s="6">
        <v>5.8036800000000005E-4</v>
      </c>
      <c r="AQ7" s="6">
        <v>7.9934043999999996E-2</v>
      </c>
      <c r="AR7" s="6">
        <v>1.6134557000000001E-2</v>
      </c>
      <c r="AS7" s="6">
        <v>5.6813750000000003E-2</v>
      </c>
      <c r="AT7" s="6">
        <v>1.4001955E-2</v>
      </c>
      <c r="AU7" s="6">
        <v>4.6717660000000001E-2</v>
      </c>
      <c r="AV7" s="6">
        <v>1.450503E-2</v>
      </c>
      <c r="AW7" s="6">
        <v>6.0517606000000002E-2</v>
      </c>
      <c r="AX7" s="6">
        <v>1.4050195E-2</v>
      </c>
      <c r="AY7" s="6">
        <v>5.0064382759999999</v>
      </c>
      <c r="AZ7" s="6">
        <v>1.476759001</v>
      </c>
      <c r="BA7" s="6">
        <v>-6.4175462740000002</v>
      </c>
      <c r="BB7" s="6">
        <v>2.3656377590000002</v>
      </c>
      <c r="BC7" s="6">
        <v>8.1525045970000001</v>
      </c>
      <c r="BD7" s="6">
        <v>2.7500715250000001</v>
      </c>
    </row>
    <row r="8" spans="1:56" ht="16" x14ac:dyDescent="0.2">
      <c r="A8" s="4">
        <v>45824</v>
      </c>
      <c r="B8" s="4"/>
      <c r="C8" s="5" t="s">
        <v>1</v>
      </c>
      <c r="D8" s="5">
        <v>24</v>
      </c>
      <c r="E8" s="5" t="s">
        <v>2</v>
      </c>
      <c r="F8" s="5" t="s">
        <v>3</v>
      </c>
      <c r="G8" s="5">
        <v>1</v>
      </c>
      <c r="H8" s="5">
        <v>36.049999999999997</v>
      </c>
      <c r="I8" s="22"/>
      <c r="J8" s="22"/>
      <c r="K8" s="22"/>
      <c r="L8" s="22"/>
      <c r="M8" s="22"/>
      <c r="N8" s="22"/>
      <c r="O8" s="22"/>
      <c r="P8" s="22"/>
      <c r="Q8" s="22"/>
      <c r="R8" s="22"/>
      <c r="S8" s="22"/>
      <c r="T8" s="22"/>
      <c r="U8" s="22"/>
      <c r="V8" s="22"/>
      <c r="W8" s="22"/>
      <c r="X8" s="22"/>
      <c r="Y8" s="22"/>
      <c r="Z8" s="22"/>
      <c r="AA8" s="22">
        <v>1</v>
      </c>
      <c r="AB8" s="22"/>
      <c r="AC8" s="22"/>
      <c r="AD8" s="22"/>
      <c r="AE8" s="22"/>
      <c r="AF8" s="22"/>
      <c r="AG8" t="s">
        <v>521</v>
      </c>
      <c r="AH8" s="6">
        <v>0.110907745</v>
      </c>
      <c r="AI8" s="6">
        <v>1.7899836999999998E-2</v>
      </c>
      <c r="AJ8" s="6">
        <v>1489</v>
      </c>
      <c r="AK8" s="6">
        <v>2.1546529999999999E-3</v>
      </c>
      <c r="AL8" s="6">
        <v>3.9999999979999998</v>
      </c>
      <c r="AM8" s="6">
        <v>0.13883959700000001</v>
      </c>
      <c r="AN8" s="6">
        <v>1.5519010999999999E-2</v>
      </c>
      <c r="AO8" s="6">
        <v>8.6216699999999995E-4</v>
      </c>
      <c r="AP8" s="6">
        <v>8.2706700000000001E-4</v>
      </c>
      <c r="AQ8" s="6">
        <v>0.16413154399999999</v>
      </c>
      <c r="AR8" s="6">
        <v>2.9068822000000001E-2</v>
      </c>
      <c r="AS8" s="6">
        <v>9.9122111999999998E-2</v>
      </c>
      <c r="AT8" s="6">
        <v>1.5747791000000001E-2</v>
      </c>
      <c r="AU8" s="6">
        <v>6.7333388999999993E-2</v>
      </c>
      <c r="AV8" s="6">
        <v>1.3176627999999999E-2</v>
      </c>
      <c r="AW8" s="6">
        <v>0.110907745</v>
      </c>
      <c r="AX8" s="6">
        <v>1.7899836999999998E-2</v>
      </c>
      <c r="AY8" s="6">
        <v>7.093221131</v>
      </c>
      <c r="AZ8" s="6">
        <v>1.0919792230000001</v>
      </c>
      <c r="BA8" s="6">
        <v>-10.533152533000001</v>
      </c>
      <c r="BB8" s="6">
        <v>2.3112488400000002</v>
      </c>
      <c r="BC8" s="6">
        <v>12.709270543000001</v>
      </c>
      <c r="BD8" s="6">
        <v>2.5039253960000001</v>
      </c>
    </row>
    <row r="9" spans="1:56" ht="16" x14ac:dyDescent="0.2">
      <c r="A9" s="4">
        <v>45824</v>
      </c>
      <c r="B9" s="4"/>
      <c r="C9" s="5" t="s">
        <v>1</v>
      </c>
      <c r="D9" s="5">
        <v>25</v>
      </c>
      <c r="E9" s="5" t="s">
        <v>2</v>
      </c>
      <c r="F9" s="5" t="s">
        <v>3</v>
      </c>
      <c r="G9" s="5">
        <v>1.25</v>
      </c>
      <c r="H9" s="5">
        <v>43.9</v>
      </c>
      <c r="I9" s="22"/>
      <c r="J9" s="22"/>
      <c r="K9" s="22"/>
      <c r="L9" s="22"/>
      <c r="M9" s="22"/>
      <c r="N9" s="22"/>
      <c r="O9" s="22"/>
      <c r="P9" s="22"/>
      <c r="Q9" s="22">
        <v>1</v>
      </c>
      <c r="R9" s="22"/>
      <c r="S9" s="22"/>
      <c r="T9" s="22"/>
      <c r="U9" s="22"/>
      <c r="V9" s="22"/>
      <c r="W9" s="22"/>
      <c r="X9" s="22"/>
      <c r="Y9" s="22"/>
      <c r="Z9" s="22"/>
      <c r="AA9" s="22"/>
      <c r="AB9" s="22"/>
      <c r="AC9" s="22"/>
      <c r="AD9" s="22"/>
      <c r="AE9" s="22"/>
      <c r="AF9" s="22"/>
      <c r="AG9" t="s">
        <v>522</v>
      </c>
      <c r="AH9" s="6">
        <v>4.3369376000000001E-2</v>
      </c>
      <c r="AI9" s="6">
        <v>6.8341360000000002E-3</v>
      </c>
      <c r="AJ9" s="6">
        <v>1549</v>
      </c>
      <c r="AK9" s="6">
        <v>6.7976699999999996E-4</v>
      </c>
      <c r="AL9" s="6">
        <v>15.999999975</v>
      </c>
      <c r="AM9" s="6">
        <v>0.100398026</v>
      </c>
      <c r="AN9" s="6">
        <v>6.7707239999999997E-3</v>
      </c>
      <c r="AO9" s="6">
        <v>3.7615100000000002E-4</v>
      </c>
      <c r="AP9" s="6">
        <v>2.4700900000000002E-4</v>
      </c>
      <c r="AQ9" s="6">
        <v>5.5021395000000001E-2</v>
      </c>
      <c r="AR9" s="6">
        <v>8.18873E-3</v>
      </c>
      <c r="AS9" s="6">
        <v>4.2162388000000002E-2</v>
      </c>
      <c r="AT9" s="6">
        <v>7.0803680000000001E-3</v>
      </c>
      <c r="AU9" s="6">
        <v>3.5341762999999998E-2</v>
      </c>
      <c r="AV9" s="6">
        <v>7.4009729999999999E-3</v>
      </c>
      <c r="AW9" s="6">
        <v>4.3369376000000001E-2</v>
      </c>
      <c r="AX9" s="6">
        <v>6.8341360000000002E-3</v>
      </c>
      <c r="AY9" s="6">
        <v>3.809795909</v>
      </c>
      <c r="AZ9" s="6">
        <v>1.291007813</v>
      </c>
      <c r="BA9" s="6">
        <v>-5.20949683</v>
      </c>
      <c r="BB9" s="6">
        <v>1.928055292</v>
      </c>
      <c r="BC9" s="6">
        <v>6.4624588940000001</v>
      </c>
      <c r="BD9" s="6">
        <v>2.2965309669999998</v>
      </c>
    </row>
    <row r="10" spans="1:56" ht="16" x14ac:dyDescent="0.2">
      <c r="A10" s="4">
        <v>45824</v>
      </c>
      <c r="B10" s="4"/>
      <c r="C10" s="5" t="s">
        <v>1</v>
      </c>
      <c r="D10" s="5">
        <v>26</v>
      </c>
      <c r="E10" s="5" t="s">
        <v>2</v>
      </c>
      <c r="F10" s="5" t="s">
        <v>3</v>
      </c>
      <c r="G10" s="5">
        <v>0.85</v>
      </c>
      <c r="H10" s="5">
        <v>35.700000000000003</v>
      </c>
      <c r="I10" s="22"/>
      <c r="J10" s="22"/>
      <c r="K10" s="22"/>
      <c r="L10" s="22"/>
      <c r="M10" s="22"/>
      <c r="N10" s="22"/>
      <c r="O10" s="22"/>
      <c r="P10" s="22"/>
      <c r="Q10" s="22"/>
      <c r="R10" s="22"/>
      <c r="S10" s="22"/>
      <c r="T10" s="22"/>
      <c r="U10" s="22"/>
      <c r="V10" s="22"/>
      <c r="W10" s="22"/>
      <c r="X10" s="22"/>
      <c r="Y10" s="22"/>
      <c r="Z10" s="22"/>
      <c r="AA10" s="22"/>
      <c r="AB10" s="22"/>
      <c r="AC10" s="22"/>
      <c r="AD10" s="22">
        <v>1</v>
      </c>
      <c r="AE10" s="22"/>
      <c r="AF10" s="22">
        <v>1</v>
      </c>
      <c r="AG10" t="s">
        <v>523</v>
      </c>
      <c r="AH10" s="6">
        <v>7.5989372999999999E-2</v>
      </c>
      <c r="AI10" s="6">
        <v>1.0086863999999999E-2</v>
      </c>
      <c r="AJ10" s="6">
        <v>1515</v>
      </c>
      <c r="AK10" s="6">
        <v>1.2187999999999999E-3</v>
      </c>
      <c r="AL10" s="6">
        <v>5.6568542449999999</v>
      </c>
      <c r="AM10" s="6">
        <v>0.12679454100000001</v>
      </c>
      <c r="AN10" s="6">
        <v>9.6124039999999997E-3</v>
      </c>
      <c r="AO10" s="6">
        <v>5.3402199999999999E-4</v>
      </c>
      <c r="AP10" s="6">
        <v>4.3866599999999999E-4</v>
      </c>
      <c r="AQ10" s="6">
        <v>0.102305349</v>
      </c>
      <c r="AR10" s="6">
        <v>1.5200257999999999E-2</v>
      </c>
      <c r="AS10" s="6">
        <v>7.1361921999999994E-2</v>
      </c>
      <c r="AT10" s="6">
        <v>9.4391289999999992E-3</v>
      </c>
      <c r="AU10" s="6">
        <v>5.3749357999999997E-2</v>
      </c>
      <c r="AV10" s="6">
        <v>9.5602970000000006E-3</v>
      </c>
      <c r="AW10" s="6">
        <v>7.5989372999999999E-2</v>
      </c>
      <c r="AX10" s="6">
        <v>1.0086863999999999E-2</v>
      </c>
      <c r="AY10" s="6">
        <v>5.0592939299999999</v>
      </c>
      <c r="AZ10" s="6">
        <v>0.97551251800000005</v>
      </c>
      <c r="BA10" s="6">
        <v>-7.6507019109999996</v>
      </c>
      <c r="BB10" s="6">
        <v>2.390632589</v>
      </c>
      <c r="BC10" s="6">
        <v>9.1974548279999997</v>
      </c>
      <c r="BD10" s="6">
        <v>2.4905747219999999</v>
      </c>
    </row>
    <row r="11" spans="1:56" ht="16" x14ac:dyDescent="0.2">
      <c r="A11" s="4">
        <v>45826</v>
      </c>
      <c r="B11" s="4"/>
      <c r="C11" s="51" t="s">
        <v>13</v>
      </c>
      <c r="D11" s="5">
        <v>3</v>
      </c>
      <c r="E11" s="5" t="s">
        <v>2</v>
      </c>
      <c r="F11" s="5" t="s">
        <v>3</v>
      </c>
      <c r="G11" s="5">
        <v>1.05</v>
      </c>
      <c r="H11" s="5">
        <v>38.1</v>
      </c>
      <c r="I11" s="22">
        <v>3</v>
      </c>
      <c r="J11" s="22"/>
      <c r="K11" s="22">
        <v>2</v>
      </c>
      <c r="L11" s="22"/>
      <c r="M11" s="22"/>
      <c r="N11" s="22">
        <v>1</v>
      </c>
      <c r="O11" s="22"/>
      <c r="P11" s="22"/>
      <c r="Q11" s="22"/>
      <c r="R11" s="22"/>
      <c r="S11" s="22"/>
      <c r="T11" s="22"/>
      <c r="U11" s="22"/>
      <c r="V11" s="22"/>
      <c r="W11" s="22"/>
      <c r="X11" s="22"/>
      <c r="Y11" s="22"/>
      <c r="Z11" s="22"/>
      <c r="AA11" s="22"/>
      <c r="AB11" s="22"/>
      <c r="AC11" s="22"/>
      <c r="AD11" s="22"/>
      <c r="AE11" s="22"/>
      <c r="AF11" s="22"/>
      <c r="AG11" t="s">
        <v>530</v>
      </c>
      <c r="AH11" s="6">
        <v>8.3163124000000005E-2</v>
      </c>
      <c r="AI11" s="6">
        <v>1.326489E-2</v>
      </c>
      <c r="AJ11" s="6">
        <v>1417</v>
      </c>
      <c r="AK11" s="6">
        <v>1.438279E-3</v>
      </c>
      <c r="AL11" s="6">
        <v>5.6568542449999999</v>
      </c>
      <c r="AM11" s="6">
        <v>0.116099127</v>
      </c>
      <c r="AN11" s="6">
        <v>1.2388367000000001E-2</v>
      </c>
      <c r="AO11" s="6">
        <v>6.8824299999999995E-4</v>
      </c>
      <c r="AP11" s="6">
        <v>5.5007000000000005E-4</v>
      </c>
      <c r="AQ11" s="6">
        <v>0.12396231200000001</v>
      </c>
      <c r="AR11" s="6">
        <v>1.9595497E-2</v>
      </c>
      <c r="AS11" s="6">
        <v>7.3758132000000004E-2</v>
      </c>
      <c r="AT11" s="6">
        <v>1.2465419E-2</v>
      </c>
      <c r="AU11" s="6">
        <v>5.1979259999999999E-2</v>
      </c>
      <c r="AV11" s="6">
        <v>1.1640047000000001E-2</v>
      </c>
      <c r="AW11" s="6">
        <v>8.3163124000000005E-2</v>
      </c>
      <c r="AX11" s="6">
        <v>1.326489E-2</v>
      </c>
      <c r="AY11" s="6">
        <v>7.3601115090000002</v>
      </c>
      <c r="AZ11" s="6">
        <v>1.3178535490000001</v>
      </c>
      <c r="BA11" s="6">
        <v>-10.163775994</v>
      </c>
      <c r="BB11" s="6">
        <v>2.545058987</v>
      </c>
      <c r="BC11" s="6">
        <v>12.560266573</v>
      </c>
      <c r="BD11" s="6">
        <v>2.8155190860000001</v>
      </c>
    </row>
    <row r="12" spans="1:56" ht="16" x14ac:dyDescent="0.2">
      <c r="A12" s="4">
        <v>45826</v>
      </c>
      <c r="B12" s="4"/>
      <c r="C12" s="51" t="s">
        <v>13</v>
      </c>
      <c r="D12" s="5">
        <v>4</v>
      </c>
      <c r="E12" s="5" t="s">
        <v>2</v>
      </c>
      <c r="F12" s="5" t="s">
        <v>3</v>
      </c>
      <c r="G12" s="5">
        <v>0.8</v>
      </c>
      <c r="H12" s="5">
        <v>37.549999999999997</v>
      </c>
      <c r="I12" s="22">
        <v>1</v>
      </c>
      <c r="J12" s="22"/>
      <c r="K12" s="22"/>
      <c r="L12" s="22">
        <v>1</v>
      </c>
      <c r="M12" s="22"/>
      <c r="N12" s="22">
        <v>1</v>
      </c>
      <c r="O12" s="22"/>
      <c r="P12" s="22"/>
      <c r="Q12" s="22"/>
      <c r="R12" s="22"/>
      <c r="S12" s="22">
        <v>1</v>
      </c>
      <c r="T12" s="22"/>
      <c r="U12" s="22"/>
      <c r="V12" s="22"/>
      <c r="W12" s="22"/>
      <c r="X12" s="22"/>
      <c r="Y12" s="22"/>
      <c r="Z12" s="22"/>
      <c r="AA12" s="22"/>
      <c r="AB12" s="22"/>
      <c r="AC12" s="22"/>
      <c r="AD12" s="22"/>
      <c r="AE12" s="22"/>
      <c r="AF12" s="22"/>
      <c r="AG12" t="s">
        <v>531</v>
      </c>
      <c r="AH12" s="6">
        <v>9.8642407000000001E-2</v>
      </c>
      <c r="AI12" s="6">
        <v>2.6236443000000002E-2</v>
      </c>
      <c r="AJ12" s="6">
        <v>1138</v>
      </c>
      <c r="AK12" s="6">
        <v>2.8643739999999998E-3</v>
      </c>
      <c r="AL12" s="6">
        <v>2.8284271240000001</v>
      </c>
      <c r="AM12" s="6">
        <v>0.12919465899999999</v>
      </c>
      <c r="AN12" s="6">
        <v>2.2170995999999998E-2</v>
      </c>
      <c r="AO12" s="6">
        <v>1.231722E-3</v>
      </c>
      <c r="AP12" s="6">
        <v>9.4621199999999999E-4</v>
      </c>
      <c r="AQ12" s="6">
        <v>0.149426688</v>
      </c>
      <c r="AR12" s="6">
        <v>4.0209320999999999E-2</v>
      </c>
      <c r="AS12" s="6">
        <v>8.7022390000000005E-2</v>
      </c>
      <c r="AT12" s="6">
        <v>2.3283097999999999E-2</v>
      </c>
      <c r="AU12" s="6">
        <v>5.7928146E-2</v>
      </c>
      <c r="AV12" s="6">
        <v>1.6355765000000001E-2</v>
      </c>
      <c r="AW12" s="6">
        <v>9.8642407000000001E-2</v>
      </c>
      <c r="AX12" s="6">
        <v>2.6236443000000002E-2</v>
      </c>
      <c r="AY12" s="6">
        <v>7.6607477770000001</v>
      </c>
      <c r="AZ12" s="6">
        <v>1.0298891379999999</v>
      </c>
      <c r="BA12" s="6">
        <v>-11.186337625</v>
      </c>
      <c r="BB12" s="6">
        <v>1.7117899560000001</v>
      </c>
      <c r="BC12" s="6">
        <v>13.561553089</v>
      </c>
      <c r="BD12" s="6">
        <v>1.97390406</v>
      </c>
    </row>
    <row r="13" spans="1:56" ht="16" x14ac:dyDescent="0.2">
      <c r="A13" s="4">
        <v>45826</v>
      </c>
      <c r="B13" s="4"/>
      <c r="C13" s="51" t="s">
        <v>13</v>
      </c>
      <c r="D13" s="5">
        <v>5</v>
      </c>
      <c r="E13" s="5" t="s">
        <v>2</v>
      </c>
      <c r="F13" s="5" t="s">
        <v>5</v>
      </c>
      <c r="G13" s="5">
        <v>2.0499999999999998</v>
      </c>
      <c r="H13" s="5">
        <v>49.05</v>
      </c>
      <c r="I13" s="22"/>
      <c r="J13" s="22"/>
      <c r="K13" s="22"/>
      <c r="L13" s="22">
        <v>1</v>
      </c>
      <c r="M13" s="22"/>
      <c r="N13" s="22"/>
      <c r="O13" s="22"/>
      <c r="P13" s="22"/>
      <c r="Q13" s="22"/>
      <c r="R13" s="22"/>
      <c r="S13" s="22"/>
      <c r="T13" s="22"/>
      <c r="U13" s="22"/>
      <c r="V13" s="22"/>
      <c r="W13" s="22">
        <v>1</v>
      </c>
      <c r="X13" s="22"/>
      <c r="Y13" s="22"/>
      <c r="Z13" s="22"/>
      <c r="AA13" s="22">
        <v>1</v>
      </c>
      <c r="AB13" s="22"/>
      <c r="AC13" s="22"/>
      <c r="AD13" s="22"/>
      <c r="AE13" s="22"/>
      <c r="AF13" s="22"/>
      <c r="AG13" s="6" t="s">
        <v>385</v>
      </c>
      <c r="AH13" s="6">
        <v>7.4486738999999996E-2</v>
      </c>
      <c r="AI13" s="6">
        <v>1.1604076E-2</v>
      </c>
      <c r="AJ13" s="6">
        <v>2511</v>
      </c>
      <c r="AK13" s="6">
        <v>1.2668790000000001E-3</v>
      </c>
      <c r="AL13" s="6">
        <v>3.9999999979999998</v>
      </c>
      <c r="AM13" s="6">
        <v>0.11918556399999999</v>
      </c>
      <c r="AN13" s="6">
        <v>1.062947E-2</v>
      </c>
      <c r="AO13" s="6">
        <v>5.9052599999999996E-4</v>
      </c>
      <c r="AP13" s="6">
        <v>4.83714E-4</v>
      </c>
      <c r="AQ13" s="6">
        <v>0.113858748</v>
      </c>
      <c r="AR13" s="6">
        <v>1.8968868999999999E-2</v>
      </c>
      <c r="AS13" s="6">
        <v>6.5276924E-2</v>
      </c>
      <c r="AT13" s="6">
        <v>9.7034489999999994E-3</v>
      </c>
      <c r="AU13" s="6">
        <v>4.6439914999999998E-2</v>
      </c>
      <c r="AV13" s="6">
        <v>7.3886359999999996E-3</v>
      </c>
      <c r="AW13" s="6">
        <v>7.4486738999999996E-2</v>
      </c>
      <c r="AX13" s="6">
        <v>1.1604076E-2</v>
      </c>
      <c r="AY13" s="6">
        <v>7.8314059780000003</v>
      </c>
      <c r="AZ13" s="6">
        <v>0.51219569399999998</v>
      </c>
      <c r="BA13" s="6">
        <v>-10.104998745</v>
      </c>
      <c r="BB13" s="6">
        <v>0.82507059100000002</v>
      </c>
      <c r="BC13" s="6">
        <v>12.794402875999999</v>
      </c>
      <c r="BD13" s="6">
        <v>0.82955319900000002</v>
      </c>
    </row>
    <row r="14" spans="1:56" ht="16" x14ac:dyDescent="0.2">
      <c r="A14" s="4">
        <v>45826</v>
      </c>
      <c r="B14" s="4"/>
      <c r="C14" s="51" t="s">
        <v>13</v>
      </c>
      <c r="D14" s="5">
        <v>6</v>
      </c>
      <c r="E14" s="5" t="s">
        <v>2</v>
      </c>
      <c r="F14" s="5" t="s">
        <v>5</v>
      </c>
      <c r="G14" s="5">
        <v>0.95</v>
      </c>
      <c r="H14" s="5">
        <v>35.369999999999997</v>
      </c>
      <c r="I14" s="22">
        <v>1</v>
      </c>
      <c r="J14" s="22">
        <v>1</v>
      </c>
      <c r="K14" s="22"/>
      <c r="L14" s="22">
        <v>3</v>
      </c>
      <c r="M14" s="22"/>
      <c r="N14" s="22">
        <v>1</v>
      </c>
      <c r="O14" s="22"/>
      <c r="P14" s="22"/>
      <c r="Q14" s="22"/>
      <c r="R14" s="22"/>
      <c r="S14" s="22"/>
      <c r="T14" s="22"/>
      <c r="U14" s="22"/>
      <c r="V14" s="22">
        <v>1</v>
      </c>
      <c r="W14" s="22"/>
      <c r="X14" s="22"/>
      <c r="Y14" s="22"/>
      <c r="Z14" s="22"/>
      <c r="AA14" s="22"/>
      <c r="AB14" s="22"/>
      <c r="AC14" s="22"/>
      <c r="AD14" s="22"/>
      <c r="AE14" s="22"/>
      <c r="AF14" s="22">
        <v>1</v>
      </c>
      <c r="AG14" t="s">
        <v>532</v>
      </c>
      <c r="AH14" s="6">
        <v>7.6348888000000004E-2</v>
      </c>
      <c r="AI14" s="6">
        <v>2.1072537999999998E-2</v>
      </c>
      <c r="AJ14" s="6">
        <v>761</v>
      </c>
      <c r="AK14" s="6">
        <v>2.2062990000000001E-3</v>
      </c>
      <c r="AL14" s="6">
        <v>3.9999999979999998</v>
      </c>
      <c r="AM14" s="6">
        <v>0.106721728</v>
      </c>
      <c r="AN14" s="6">
        <v>2.0673381000000001E-2</v>
      </c>
      <c r="AO14" s="6">
        <v>1.148521E-3</v>
      </c>
      <c r="AP14" s="6">
        <v>8.1234899999999997E-4</v>
      </c>
      <c r="AQ14" s="6">
        <v>9.7284310999999998E-2</v>
      </c>
      <c r="AR14" s="6">
        <v>2.7878433000000001E-2</v>
      </c>
      <c r="AS14" s="6">
        <v>7.3792677000000001E-2</v>
      </c>
      <c r="AT14" s="6">
        <v>2.0225658000000001E-2</v>
      </c>
      <c r="AU14" s="6">
        <v>5.5924385E-2</v>
      </c>
      <c r="AV14" s="6">
        <v>1.4437195E-2</v>
      </c>
      <c r="AW14" s="6">
        <v>7.6348888000000004E-2</v>
      </c>
      <c r="AX14" s="6">
        <v>2.1072537999999998E-2</v>
      </c>
      <c r="AY14" s="6">
        <v>3.8367894470000001</v>
      </c>
      <c r="AZ14" s="6">
        <v>0.41111753299999998</v>
      </c>
      <c r="BA14" s="6">
        <v>-6.670798381</v>
      </c>
      <c r="BB14" s="6">
        <v>0.96264223500000001</v>
      </c>
      <c r="BC14" s="6">
        <v>7.7022195809999996</v>
      </c>
      <c r="BD14" s="6">
        <v>0.99593130200000002</v>
      </c>
    </row>
    <row r="15" spans="1:56" ht="16" x14ac:dyDescent="0.2">
      <c r="A15" s="4">
        <v>45826</v>
      </c>
      <c r="B15" s="4"/>
      <c r="C15" s="51" t="s">
        <v>13</v>
      </c>
      <c r="D15" s="5">
        <v>8</v>
      </c>
      <c r="E15" s="5" t="s">
        <v>2</v>
      </c>
      <c r="F15" s="5" t="s">
        <v>3</v>
      </c>
      <c r="G15" s="5">
        <v>0.95</v>
      </c>
      <c r="H15" s="5">
        <v>39.299999999999997</v>
      </c>
      <c r="I15" s="22">
        <v>1</v>
      </c>
      <c r="J15" s="22"/>
      <c r="K15" s="22"/>
      <c r="L15" s="22">
        <v>1</v>
      </c>
      <c r="M15" s="22"/>
      <c r="N15" s="22"/>
      <c r="O15" s="22"/>
      <c r="P15" s="22"/>
      <c r="Q15" s="22"/>
      <c r="R15" s="22"/>
      <c r="S15" s="22"/>
      <c r="T15" s="22"/>
      <c r="U15" s="22"/>
      <c r="V15" s="22"/>
      <c r="W15" s="22"/>
      <c r="X15" s="22">
        <v>1</v>
      </c>
      <c r="Y15" s="22"/>
      <c r="Z15" s="22"/>
      <c r="AA15" s="22"/>
      <c r="AB15" s="22"/>
      <c r="AC15" s="22"/>
      <c r="AD15" s="22"/>
      <c r="AE15" s="22"/>
      <c r="AF15" s="22">
        <v>1</v>
      </c>
      <c r="AG15" t="s">
        <v>533</v>
      </c>
      <c r="AH15" s="6">
        <v>8.0700135000000006E-2</v>
      </c>
      <c r="AI15" s="6">
        <v>1.6197032E-2</v>
      </c>
      <c r="AJ15" s="6">
        <v>1553</v>
      </c>
      <c r="AK15" s="6">
        <v>1.8161220000000001E-3</v>
      </c>
      <c r="AL15" s="6">
        <v>3.9999999979999998</v>
      </c>
      <c r="AM15" s="6">
        <v>0.118836634</v>
      </c>
      <c r="AN15" s="6">
        <v>1.5282511E-2</v>
      </c>
      <c r="AO15" s="6">
        <v>8.4902800000000004E-4</v>
      </c>
      <c r="AP15" s="6">
        <v>6.0029799999999998E-4</v>
      </c>
      <c r="AQ15" s="6">
        <v>0.118116292</v>
      </c>
      <c r="AR15" s="6">
        <v>2.1565076999999998E-2</v>
      </c>
      <c r="AS15" s="6">
        <v>7.2075849999999997E-2</v>
      </c>
      <c r="AT15" s="6">
        <v>1.5139956E-2</v>
      </c>
      <c r="AU15" s="6">
        <v>5.3004748999999997E-2</v>
      </c>
      <c r="AV15" s="6">
        <v>1.3894922000000001E-2</v>
      </c>
      <c r="AW15" s="6">
        <v>8.0700135000000006E-2</v>
      </c>
      <c r="AX15" s="6">
        <v>1.6197032E-2</v>
      </c>
      <c r="AY15" s="6">
        <v>7.0915790059999999</v>
      </c>
      <c r="AZ15" s="6">
        <v>0.98154660000000005</v>
      </c>
      <c r="BA15" s="6">
        <v>-9.4090872599999997</v>
      </c>
      <c r="BB15" s="6">
        <v>2.0827462620000001</v>
      </c>
      <c r="BC15" s="6">
        <v>11.793203740999999</v>
      </c>
      <c r="BD15" s="6">
        <v>2.2456315349999998</v>
      </c>
    </row>
    <row r="16" spans="1:56" ht="16" x14ac:dyDescent="0.2">
      <c r="A16" s="4">
        <v>45826</v>
      </c>
      <c r="B16" s="4"/>
      <c r="C16" s="51" t="s">
        <v>13</v>
      </c>
      <c r="D16" s="5">
        <v>10</v>
      </c>
      <c r="E16" s="5" t="s">
        <v>2</v>
      </c>
      <c r="F16" s="5" t="s">
        <v>5</v>
      </c>
      <c r="G16" s="5">
        <v>0.95</v>
      </c>
      <c r="H16" s="5">
        <v>38.85</v>
      </c>
      <c r="I16" s="22">
        <v>2</v>
      </c>
      <c r="J16" s="22">
        <v>1</v>
      </c>
      <c r="K16" s="22"/>
      <c r="L16" s="22">
        <v>3</v>
      </c>
      <c r="M16" s="22">
        <v>3</v>
      </c>
      <c r="N16" s="22"/>
      <c r="O16" s="22"/>
      <c r="P16" s="22"/>
      <c r="Q16" s="22"/>
      <c r="R16" s="22"/>
      <c r="S16" s="22">
        <v>1</v>
      </c>
      <c r="T16" s="22">
        <v>1</v>
      </c>
      <c r="U16" s="22"/>
      <c r="V16" s="22"/>
      <c r="W16" s="22"/>
      <c r="X16" s="22">
        <v>2</v>
      </c>
      <c r="Y16" s="22"/>
      <c r="Z16" s="22"/>
      <c r="AA16" s="22">
        <v>1</v>
      </c>
      <c r="AB16" s="22"/>
      <c r="AC16" s="22"/>
      <c r="AD16" s="22"/>
      <c r="AE16" s="22"/>
      <c r="AF16" s="22">
        <v>1</v>
      </c>
      <c r="AG16" s="6" t="s">
        <v>386</v>
      </c>
      <c r="AH16" s="6">
        <v>8.5842856999999995E-2</v>
      </c>
      <c r="AI16" s="6">
        <v>2.4583099000000001E-2</v>
      </c>
      <c r="AJ16" s="6">
        <v>1502</v>
      </c>
      <c r="AK16" s="6">
        <v>2.6538239999999999E-3</v>
      </c>
      <c r="AL16" s="6">
        <v>3.9999999979999998</v>
      </c>
      <c r="AM16" s="6">
        <v>0.12818420699999999</v>
      </c>
      <c r="AN16" s="6">
        <v>2.0703203E-2</v>
      </c>
      <c r="AO16" s="6">
        <v>1.150178E-3</v>
      </c>
      <c r="AP16" s="6">
        <v>1.0048870000000001E-3</v>
      </c>
      <c r="AQ16" s="6">
        <v>0.123471461</v>
      </c>
      <c r="AR16" s="6">
        <v>3.4682167999999999E-2</v>
      </c>
      <c r="AS16" s="6">
        <v>7.7663477999999994E-2</v>
      </c>
      <c r="AT16" s="6">
        <v>2.2439616999999999E-2</v>
      </c>
      <c r="AU16" s="6">
        <v>5.6193265999999999E-2</v>
      </c>
      <c r="AV16" s="6">
        <v>1.7616164E-2</v>
      </c>
      <c r="AW16" s="6">
        <v>8.5842856999999995E-2</v>
      </c>
      <c r="AX16" s="6">
        <v>2.4583099000000001E-2</v>
      </c>
      <c r="AY16" s="6">
        <v>6.5258571700000001</v>
      </c>
      <c r="AZ16" s="6">
        <v>0.87773701400000004</v>
      </c>
      <c r="BA16" s="6">
        <v>-9.1886184620000009</v>
      </c>
      <c r="BB16" s="6">
        <v>1.5287302819999999</v>
      </c>
      <c r="BC16" s="6">
        <v>11.277324951000001</v>
      </c>
      <c r="BD16" s="6">
        <v>1.7166231949999999</v>
      </c>
    </row>
    <row r="17" spans="1:56" ht="16" x14ac:dyDescent="0.2">
      <c r="A17" s="4">
        <v>45826</v>
      </c>
      <c r="B17" s="4"/>
      <c r="C17" s="51" t="s">
        <v>13</v>
      </c>
      <c r="D17" s="5">
        <v>11</v>
      </c>
      <c r="E17" s="5" t="s">
        <v>2</v>
      </c>
      <c r="F17" s="5" t="s">
        <v>3</v>
      </c>
      <c r="G17" s="5">
        <v>0.9</v>
      </c>
      <c r="H17" s="5">
        <v>36.65</v>
      </c>
      <c r="I17" s="22">
        <v>12</v>
      </c>
      <c r="J17" s="22"/>
      <c r="K17" s="22"/>
      <c r="L17" s="22">
        <v>2</v>
      </c>
      <c r="M17" s="22">
        <v>1</v>
      </c>
      <c r="N17" s="22"/>
      <c r="O17" s="22"/>
      <c r="P17" s="22"/>
      <c r="Q17" s="22"/>
      <c r="R17" s="22"/>
      <c r="S17" s="22"/>
      <c r="T17" s="22">
        <v>1</v>
      </c>
      <c r="U17" s="22"/>
      <c r="V17" s="22"/>
      <c r="W17" s="22"/>
      <c r="X17" s="22">
        <v>2</v>
      </c>
      <c r="Y17" s="22"/>
      <c r="Z17" s="22">
        <v>1</v>
      </c>
      <c r="AA17" s="22"/>
      <c r="AB17" s="22"/>
      <c r="AC17" s="22"/>
      <c r="AD17" s="22"/>
      <c r="AE17" s="22">
        <v>1</v>
      </c>
      <c r="AF17" s="22">
        <v>1</v>
      </c>
      <c r="AG17" t="s">
        <v>534</v>
      </c>
      <c r="AH17" s="6">
        <v>8.9507611000000001E-2</v>
      </c>
      <c r="AI17" s="6">
        <v>1.9070081999999999E-2</v>
      </c>
      <c r="AJ17" s="6">
        <v>1423</v>
      </c>
      <c r="AK17" s="6">
        <v>2.158615E-3</v>
      </c>
      <c r="AL17" s="6">
        <v>2.8284271240000001</v>
      </c>
      <c r="AM17" s="6">
        <v>0.13343596099999999</v>
      </c>
      <c r="AN17" s="6">
        <v>1.6177159E-2</v>
      </c>
      <c r="AO17" s="6">
        <v>8.9873100000000005E-4</v>
      </c>
      <c r="AP17" s="6">
        <v>7.7302299999999996E-4</v>
      </c>
      <c r="AQ17" s="6">
        <v>0.13807612699999999</v>
      </c>
      <c r="AR17" s="6">
        <v>3.1628268000000001E-2</v>
      </c>
      <c r="AS17" s="6">
        <v>7.7749162999999996E-2</v>
      </c>
      <c r="AT17" s="6">
        <v>1.6209645000000002E-2</v>
      </c>
      <c r="AU17" s="6">
        <v>5.3469331000000002E-2</v>
      </c>
      <c r="AV17" s="6">
        <v>1.2594404E-2</v>
      </c>
      <c r="AW17" s="6">
        <v>8.9507611000000001E-2</v>
      </c>
      <c r="AX17" s="6">
        <v>1.9070081999999999E-2</v>
      </c>
      <c r="AY17" s="6">
        <v>7.9815578829999998</v>
      </c>
      <c r="AZ17" s="6">
        <v>1.1478722750000001</v>
      </c>
      <c r="BA17" s="6">
        <v>-10.751821357000001</v>
      </c>
      <c r="BB17" s="6">
        <v>2.4911631230000002</v>
      </c>
      <c r="BC17" s="6">
        <v>13.40770972</v>
      </c>
      <c r="BD17" s="6">
        <v>2.6577113880000001</v>
      </c>
    </row>
    <row r="18" spans="1:56" ht="16" x14ac:dyDescent="0.2">
      <c r="A18" s="4">
        <v>45826</v>
      </c>
      <c r="B18" s="4"/>
      <c r="C18" s="51" t="s">
        <v>13</v>
      </c>
      <c r="D18" s="5">
        <v>12</v>
      </c>
      <c r="E18" s="5" t="s">
        <v>2</v>
      </c>
      <c r="F18" s="5" t="s">
        <v>5</v>
      </c>
      <c r="G18" s="5">
        <v>1.25</v>
      </c>
      <c r="H18" s="5">
        <v>42.4</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t="s">
        <v>535</v>
      </c>
      <c r="AH18" s="6">
        <v>9.4054569000000005E-2</v>
      </c>
      <c r="AI18" s="6">
        <v>2.3546594000000001E-2</v>
      </c>
      <c r="AJ18" s="6">
        <v>1779</v>
      </c>
      <c r="AK18" s="6">
        <v>2.464047E-3</v>
      </c>
      <c r="AL18" s="6">
        <v>5.6568542449999999</v>
      </c>
      <c r="AM18" s="6">
        <v>0.101132842</v>
      </c>
      <c r="AN18" s="6">
        <v>2.4364456E-2</v>
      </c>
      <c r="AO18" s="6">
        <v>1.353581E-3</v>
      </c>
      <c r="AP18" s="6">
        <v>6.8754899999999997E-4</v>
      </c>
      <c r="AQ18" s="6">
        <v>0.13917402300000001</v>
      </c>
      <c r="AR18" s="6">
        <v>4.4267758999999997E-2</v>
      </c>
      <c r="AS18" s="6">
        <v>8.4485816000000005E-2</v>
      </c>
      <c r="AT18" s="6">
        <v>1.8657863E-2</v>
      </c>
      <c r="AU18" s="6">
        <v>5.6877619999999997E-2</v>
      </c>
      <c r="AV18" s="6">
        <v>8.7496190000000001E-3</v>
      </c>
      <c r="AW18" s="6">
        <v>9.4054569000000005E-2</v>
      </c>
      <c r="AX18" s="6">
        <v>2.3546594000000001E-2</v>
      </c>
      <c r="AY18" s="6">
        <v>6.6582875030000004</v>
      </c>
      <c r="AZ18" s="6">
        <v>1.733484791</v>
      </c>
      <c r="BA18" s="6">
        <v>-10.073194329</v>
      </c>
      <c r="BB18" s="6">
        <v>2.903393281</v>
      </c>
      <c r="BC18" s="6">
        <v>12.082183045000001</v>
      </c>
      <c r="BD18" s="6">
        <v>3.355212614</v>
      </c>
    </row>
    <row r="19" spans="1:56" ht="16" x14ac:dyDescent="0.2">
      <c r="A19" s="4">
        <v>45827</v>
      </c>
      <c r="B19" s="4"/>
      <c r="C19" s="5" t="s">
        <v>40</v>
      </c>
      <c r="D19" s="5">
        <v>9</v>
      </c>
      <c r="E19" s="5" t="s">
        <v>2</v>
      </c>
      <c r="F19" s="5" t="s">
        <v>3</v>
      </c>
      <c r="G19" s="5">
        <v>0.9</v>
      </c>
      <c r="H19" s="5">
        <v>39</v>
      </c>
      <c r="I19" s="22">
        <v>3</v>
      </c>
      <c r="J19" s="22"/>
      <c r="K19" s="22"/>
      <c r="L19" s="22">
        <v>3</v>
      </c>
      <c r="M19" s="22"/>
      <c r="N19" s="22"/>
      <c r="O19" s="22"/>
      <c r="P19" s="22"/>
      <c r="Q19" s="22"/>
      <c r="R19" s="22"/>
      <c r="S19" s="22">
        <v>1</v>
      </c>
      <c r="T19" s="22"/>
      <c r="U19" s="22"/>
      <c r="V19" s="22"/>
      <c r="W19" s="22"/>
      <c r="X19" s="22"/>
      <c r="Y19" s="22"/>
      <c r="Z19" s="22"/>
      <c r="AA19" s="22"/>
      <c r="AB19" s="22"/>
      <c r="AC19" s="22"/>
      <c r="AD19" s="22"/>
      <c r="AE19" s="22"/>
      <c r="AF19" s="22"/>
      <c r="AG19" s="9" t="s">
        <v>539</v>
      </c>
      <c r="AH19" s="6">
        <v>8.1997067000000007E-2</v>
      </c>
      <c r="AI19" s="6">
        <v>1.3005486E-2</v>
      </c>
      <c r="AJ19" s="6">
        <v>1625</v>
      </c>
      <c r="AK19" s="6">
        <v>1.4795679999999999E-3</v>
      </c>
      <c r="AL19" s="6">
        <v>5.6568542449999999</v>
      </c>
      <c r="AM19" s="6">
        <v>0.12097231899999999</v>
      </c>
      <c r="AN19" s="6">
        <v>1.2230632999999999E-2</v>
      </c>
      <c r="AO19" s="6">
        <v>6.7947999999999999E-4</v>
      </c>
      <c r="AP19" s="6">
        <v>5.2319400000000005E-4</v>
      </c>
      <c r="AQ19" s="6">
        <v>0.122889765</v>
      </c>
      <c r="AR19" s="6">
        <v>2.2468871000000001E-2</v>
      </c>
      <c r="AS19" s="6">
        <v>7.2185883000000006E-2</v>
      </c>
      <c r="AT19" s="6">
        <v>1.116457E-2</v>
      </c>
      <c r="AU19" s="6">
        <v>5.2869286000000001E-2</v>
      </c>
      <c r="AV19" s="6">
        <v>8.6341930000000001E-3</v>
      </c>
      <c r="AW19" s="6">
        <v>8.1997067000000007E-2</v>
      </c>
      <c r="AX19" s="6">
        <v>1.3005486E-2</v>
      </c>
      <c r="AY19" s="6">
        <v>7.4680898249999998</v>
      </c>
      <c r="AZ19" s="6">
        <v>1.490647957</v>
      </c>
      <c r="BA19" s="6">
        <v>-9.4235160790000005</v>
      </c>
      <c r="BB19" s="6">
        <v>1.4358206849999999</v>
      </c>
      <c r="BC19" s="6">
        <v>12.033139674999999</v>
      </c>
      <c r="BD19" s="6">
        <v>2.0154519729999998</v>
      </c>
    </row>
    <row r="20" spans="1:56" ht="16" x14ac:dyDescent="0.2">
      <c r="A20" s="4">
        <v>45827</v>
      </c>
      <c r="B20" s="4"/>
      <c r="C20" s="5" t="s">
        <v>40</v>
      </c>
      <c r="D20" s="5">
        <v>11</v>
      </c>
      <c r="E20" s="5" t="s">
        <v>2</v>
      </c>
      <c r="F20" s="5" t="s">
        <v>5</v>
      </c>
      <c r="G20" s="5">
        <v>1.1000000000000001</v>
      </c>
      <c r="H20" s="5">
        <v>40.5</v>
      </c>
      <c r="I20" s="22">
        <v>2</v>
      </c>
      <c r="J20" s="22"/>
      <c r="K20" s="22"/>
      <c r="L20" s="22">
        <v>2</v>
      </c>
      <c r="M20" s="22"/>
      <c r="N20" s="22"/>
      <c r="O20" s="22"/>
      <c r="P20" s="22"/>
      <c r="Q20" s="22"/>
      <c r="R20" s="22"/>
      <c r="S20" s="22">
        <v>3</v>
      </c>
      <c r="T20" s="22"/>
      <c r="U20" s="22">
        <v>1</v>
      </c>
      <c r="V20" s="22"/>
      <c r="W20" s="22"/>
      <c r="X20" s="22"/>
      <c r="Y20" s="22"/>
      <c r="Z20" s="22"/>
      <c r="AA20" s="22"/>
      <c r="AB20" s="22"/>
      <c r="AC20" s="22"/>
      <c r="AD20" s="22"/>
      <c r="AE20" s="22"/>
      <c r="AF20" s="22">
        <v>1</v>
      </c>
      <c r="AG20" t="s">
        <v>540</v>
      </c>
      <c r="AH20" s="6">
        <v>5.5291257000000003E-2</v>
      </c>
      <c r="AI20" s="6">
        <v>1.6796045999999999E-2</v>
      </c>
      <c r="AJ20" s="6">
        <v>1549</v>
      </c>
      <c r="AK20" s="6">
        <v>1.8271979999999999E-3</v>
      </c>
      <c r="AL20" s="6">
        <v>5.6568542449999999</v>
      </c>
      <c r="AM20" s="6">
        <v>0.117984088</v>
      </c>
      <c r="AN20" s="6">
        <v>1.548682E-2</v>
      </c>
      <c r="AO20" s="6">
        <v>8.6037899999999998E-4</v>
      </c>
      <c r="AP20" s="6">
        <v>6.5393700000000005E-4</v>
      </c>
      <c r="AQ20" s="6">
        <v>7.3271771999999999E-2</v>
      </c>
      <c r="AR20" s="6">
        <v>2.3588771000000001E-2</v>
      </c>
      <c r="AS20" s="6">
        <v>5.1686309E-2</v>
      </c>
      <c r="AT20" s="6">
        <v>1.5395661E-2</v>
      </c>
      <c r="AU20" s="6">
        <v>4.4087858000000001E-2</v>
      </c>
      <c r="AV20" s="6">
        <v>1.3073051E-2</v>
      </c>
      <c r="AW20" s="6">
        <v>5.5291257000000003E-2</v>
      </c>
      <c r="AX20" s="6">
        <v>1.6796045999999999E-2</v>
      </c>
      <c r="AY20" s="6">
        <v>4.7529307090000001</v>
      </c>
      <c r="AZ20" s="6">
        <v>1.2638419860000001</v>
      </c>
      <c r="BA20" s="6">
        <v>-5.3313099069999996</v>
      </c>
      <c r="BB20" s="6">
        <v>1.085590718</v>
      </c>
      <c r="BC20" s="6">
        <v>7.1617542869999999</v>
      </c>
      <c r="BD20" s="6">
        <v>1.5805428749999999</v>
      </c>
    </row>
    <row r="21" spans="1:56" ht="16" x14ac:dyDescent="0.2">
      <c r="A21" s="4">
        <v>45827</v>
      </c>
      <c r="B21" s="4"/>
      <c r="C21" s="5" t="s">
        <v>40</v>
      </c>
      <c r="D21" s="5">
        <v>14</v>
      </c>
      <c r="E21" s="5" t="s">
        <v>2</v>
      </c>
      <c r="F21" s="5" t="s">
        <v>5</v>
      </c>
      <c r="G21" s="5">
        <v>0.75</v>
      </c>
      <c r="H21" s="5">
        <v>38.9</v>
      </c>
      <c r="I21" s="22">
        <v>4</v>
      </c>
      <c r="J21" s="22"/>
      <c r="K21" s="22"/>
      <c r="L21" s="22">
        <v>4</v>
      </c>
      <c r="M21" s="22"/>
      <c r="N21" s="22"/>
      <c r="O21" s="22"/>
      <c r="P21" s="22"/>
      <c r="Q21" s="22"/>
      <c r="R21" s="22"/>
      <c r="S21" s="22"/>
      <c r="T21" s="22">
        <v>1</v>
      </c>
      <c r="U21" s="22"/>
      <c r="V21" s="22"/>
      <c r="W21" s="22"/>
      <c r="X21" s="22"/>
      <c r="Y21" s="22"/>
      <c r="Z21" s="22"/>
      <c r="AA21" s="22"/>
      <c r="AB21" s="22"/>
      <c r="AC21" s="22"/>
      <c r="AD21" s="22"/>
      <c r="AE21" s="22"/>
      <c r="AF21" s="22"/>
      <c r="AG21" t="s">
        <v>542</v>
      </c>
      <c r="AH21" s="6">
        <v>4.2146291000000002E-2</v>
      </c>
      <c r="AI21" s="6">
        <v>1.4865471999999999E-2</v>
      </c>
      <c r="AJ21" s="6">
        <v>576</v>
      </c>
      <c r="AK21" s="6">
        <v>1.619795E-3</v>
      </c>
      <c r="AL21" s="6">
        <v>3.9999999979999998</v>
      </c>
      <c r="AM21" s="6">
        <v>0.10909194</v>
      </c>
      <c r="AN21" s="6">
        <v>1.4847978E-2</v>
      </c>
      <c r="AO21" s="6">
        <v>8.2488799999999997E-4</v>
      </c>
      <c r="AP21" s="6">
        <v>5.7238700000000005E-4</v>
      </c>
      <c r="AQ21" s="6">
        <v>5.5112679999999997E-2</v>
      </c>
      <c r="AR21" s="6">
        <v>1.9226591000000001E-2</v>
      </c>
      <c r="AS21" s="6">
        <v>4.0158548000000002E-2</v>
      </c>
      <c r="AT21" s="6">
        <v>1.4264690999999999E-2</v>
      </c>
      <c r="AU21" s="6">
        <v>3.1904119000000002E-2</v>
      </c>
      <c r="AV21" s="6">
        <v>1.1197327E-2</v>
      </c>
      <c r="AW21" s="6">
        <v>4.2146291000000002E-2</v>
      </c>
      <c r="AX21" s="6">
        <v>1.4865471999999999E-2</v>
      </c>
      <c r="AY21" s="6">
        <v>4.5130486679999997</v>
      </c>
      <c r="AZ21" s="6">
        <v>0.40727463899999999</v>
      </c>
      <c r="BA21" s="6">
        <v>-6.3873492399999998</v>
      </c>
      <c r="BB21" s="6">
        <v>0.95429926600000003</v>
      </c>
      <c r="BC21" s="6">
        <v>7.8261166380000002</v>
      </c>
      <c r="BD21" s="6">
        <v>0.99707238799999998</v>
      </c>
    </row>
    <row r="22" spans="1:56" ht="16" x14ac:dyDescent="0.2">
      <c r="A22" s="4">
        <v>45827</v>
      </c>
      <c r="B22" s="4"/>
      <c r="C22" s="5" t="s">
        <v>40</v>
      </c>
      <c r="D22" s="5">
        <v>15</v>
      </c>
      <c r="E22" s="5" t="s">
        <v>2</v>
      </c>
      <c r="F22" s="5" t="s">
        <v>5</v>
      </c>
      <c r="G22" s="5">
        <v>0.7</v>
      </c>
      <c r="H22" s="5">
        <v>36.5</v>
      </c>
      <c r="I22" s="22">
        <v>2</v>
      </c>
      <c r="J22" s="22"/>
      <c r="K22" s="22">
        <v>1</v>
      </c>
      <c r="L22" s="22">
        <v>6</v>
      </c>
      <c r="M22" s="22"/>
      <c r="N22" s="22">
        <v>2</v>
      </c>
      <c r="O22" s="22"/>
      <c r="P22" s="22"/>
      <c r="Q22" s="22"/>
      <c r="R22" s="22"/>
      <c r="S22" s="22"/>
      <c r="T22" s="22"/>
      <c r="U22" s="22"/>
      <c r="V22" s="22">
        <v>1</v>
      </c>
      <c r="W22" s="22"/>
      <c r="X22" s="22"/>
      <c r="Y22" s="22"/>
      <c r="Z22" s="22"/>
      <c r="AA22" s="22"/>
      <c r="AB22" s="22"/>
      <c r="AC22" s="22"/>
      <c r="AD22" s="22"/>
      <c r="AE22" s="22"/>
      <c r="AF22" s="22">
        <v>2</v>
      </c>
      <c r="AG22" t="s">
        <v>544</v>
      </c>
      <c r="AH22" s="6">
        <v>4.8014301000000002E-2</v>
      </c>
      <c r="AI22" s="6">
        <v>2.4179221000000001E-2</v>
      </c>
      <c r="AJ22" s="6">
        <v>856</v>
      </c>
      <c r="AK22" s="6">
        <v>2.4552300000000001E-3</v>
      </c>
      <c r="AL22" s="6">
        <v>2.8284271240000001</v>
      </c>
      <c r="AM22" s="6">
        <v>0.11825282300000001</v>
      </c>
      <c r="AN22" s="6">
        <v>2.0762546E-2</v>
      </c>
      <c r="AO22" s="6">
        <v>1.1534749999999999E-3</v>
      </c>
      <c r="AP22" s="6">
        <v>8.4307200000000005E-4</v>
      </c>
      <c r="AQ22" s="6">
        <v>7.0110935999999999E-2</v>
      </c>
      <c r="AR22" s="6">
        <v>3.5609468999999998E-2</v>
      </c>
      <c r="AS22" s="6">
        <v>4.3119954000000002E-2</v>
      </c>
      <c r="AT22" s="6">
        <v>2.1566032999999998E-2</v>
      </c>
      <c r="AU22" s="6">
        <v>3.1786936000000002E-2</v>
      </c>
      <c r="AV22" s="6">
        <v>1.6385429999999999E-2</v>
      </c>
      <c r="AW22" s="6">
        <v>4.8014301000000002E-2</v>
      </c>
      <c r="AX22" s="6">
        <v>2.4179221000000001E-2</v>
      </c>
      <c r="AY22" s="6">
        <v>6.830147588</v>
      </c>
      <c r="AZ22" s="6">
        <v>0.65212110499999998</v>
      </c>
      <c r="BA22" s="6">
        <v>-9.2723860919999996</v>
      </c>
      <c r="BB22" s="6">
        <v>1.096684027</v>
      </c>
      <c r="BC22" s="6">
        <v>11.53483817</v>
      </c>
      <c r="BD22" s="6">
        <v>1.0968361870000001</v>
      </c>
    </row>
    <row r="23" spans="1:56" ht="16" x14ac:dyDescent="0.2">
      <c r="A23" s="4">
        <v>45827</v>
      </c>
      <c r="B23" s="4"/>
      <c r="C23" s="5" t="s">
        <v>40</v>
      </c>
      <c r="D23" s="5">
        <v>16</v>
      </c>
      <c r="E23" s="5" t="s">
        <v>2</v>
      </c>
      <c r="F23" s="5" t="s">
        <v>6</v>
      </c>
      <c r="G23" s="5">
        <v>0.65</v>
      </c>
      <c r="H23" s="5">
        <v>35.1</v>
      </c>
      <c r="I23" s="22">
        <v>1</v>
      </c>
      <c r="J23" s="22"/>
      <c r="K23" s="22"/>
      <c r="L23" s="22">
        <v>1</v>
      </c>
      <c r="M23" s="22"/>
      <c r="N23" s="22"/>
      <c r="O23" s="22"/>
      <c r="P23" s="22"/>
      <c r="Q23" s="22"/>
      <c r="R23" s="22"/>
      <c r="S23" s="22"/>
      <c r="T23" s="22"/>
      <c r="U23" s="22"/>
      <c r="V23" s="22"/>
      <c r="W23" s="22"/>
      <c r="X23" s="22"/>
      <c r="Y23" s="22">
        <v>9</v>
      </c>
      <c r="Z23" s="22"/>
      <c r="AA23" s="22"/>
      <c r="AB23" s="22"/>
      <c r="AC23" s="22"/>
      <c r="AD23" s="22"/>
      <c r="AE23" s="22"/>
      <c r="AF23" s="22"/>
      <c r="AG23" s="6" t="s">
        <v>387</v>
      </c>
      <c r="AH23" s="6">
        <v>7.7885167000000005E-2</v>
      </c>
      <c r="AI23" s="6">
        <v>2.1856653E-2</v>
      </c>
      <c r="AJ23" s="6">
        <v>1279</v>
      </c>
      <c r="AK23" s="6">
        <v>2.4914099999999999E-3</v>
      </c>
      <c r="AL23" s="6">
        <v>3.9999999979999998</v>
      </c>
      <c r="AM23" s="6">
        <v>0.126514986</v>
      </c>
      <c r="AN23" s="6">
        <v>1.9692609999999999E-2</v>
      </c>
      <c r="AO23" s="6">
        <v>1.094034E-3</v>
      </c>
      <c r="AP23" s="6">
        <v>9.2381199999999998E-4</v>
      </c>
      <c r="AQ23" s="6">
        <v>0.116850019</v>
      </c>
      <c r="AR23" s="6">
        <v>3.4960981000000002E-2</v>
      </c>
      <c r="AS23" s="6">
        <v>7.0233993999999994E-2</v>
      </c>
      <c r="AT23" s="6">
        <v>1.9320065000000001E-2</v>
      </c>
      <c r="AU23" s="6">
        <v>4.4102956999999998E-2</v>
      </c>
      <c r="AV23" s="6">
        <v>1.1744611E-2</v>
      </c>
      <c r="AW23" s="6">
        <v>7.7885167000000005E-2</v>
      </c>
      <c r="AX23" s="6">
        <v>2.1856653E-2</v>
      </c>
      <c r="AY23" s="6">
        <v>7.0556452050000003</v>
      </c>
      <c r="AZ23" s="6">
        <v>0.98667423099999996</v>
      </c>
      <c r="BA23" s="6">
        <v>-11.577476934</v>
      </c>
      <c r="BB23" s="6">
        <v>2.0497040009999998</v>
      </c>
      <c r="BC23" s="6">
        <v>13.561353629999999</v>
      </c>
      <c r="BD23" s="6">
        <v>2.2548904369999998</v>
      </c>
    </row>
    <row r="24" spans="1:56" ht="16" x14ac:dyDescent="0.2">
      <c r="A24" s="4">
        <v>45827</v>
      </c>
      <c r="B24" s="4"/>
      <c r="C24" s="5" t="s">
        <v>40</v>
      </c>
      <c r="D24" s="5">
        <v>18</v>
      </c>
      <c r="E24" s="5" t="s">
        <v>2</v>
      </c>
      <c r="F24" s="5" t="s">
        <v>5</v>
      </c>
      <c r="G24" s="5">
        <v>1</v>
      </c>
      <c r="H24" s="5">
        <v>39.4</v>
      </c>
      <c r="I24" s="22">
        <v>3</v>
      </c>
      <c r="J24" s="22">
        <v>2</v>
      </c>
      <c r="K24" s="22"/>
      <c r="L24" s="22">
        <v>3</v>
      </c>
      <c r="M24" s="22"/>
      <c r="N24" s="22"/>
      <c r="O24" s="22"/>
      <c r="P24" s="22"/>
      <c r="Q24" s="22"/>
      <c r="R24" s="22">
        <v>1</v>
      </c>
      <c r="S24" s="22">
        <v>5</v>
      </c>
      <c r="T24" s="22"/>
      <c r="U24" s="22">
        <v>1</v>
      </c>
      <c r="V24" s="22"/>
      <c r="W24" s="22"/>
      <c r="X24" s="22"/>
      <c r="Y24" s="22"/>
      <c r="Z24" s="22"/>
      <c r="AA24" s="22"/>
      <c r="AB24" s="22"/>
      <c r="AC24" s="22"/>
      <c r="AD24" s="22"/>
      <c r="AE24" s="22"/>
      <c r="AF24" s="22"/>
      <c r="AG24" t="s">
        <v>545</v>
      </c>
      <c r="AH24" s="6">
        <v>5.5681094E-2</v>
      </c>
      <c r="AI24" s="6">
        <v>1.9432708E-2</v>
      </c>
      <c r="AJ24" s="6">
        <v>1273</v>
      </c>
      <c r="AK24" s="6">
        <v>2.0566360000000001E-3</v>
      </c>
      <c r="AL24" s="6">
        <v>3.9999999979999998</v>
      </c>
      <c r="AM24" s="6">
        <v>0.115785207</v>
      </c>
      <c r="AN24" s="6">
        <v>1.7762514E-2</v>
      </c>
      <c r="AO24" s="6">
        <v>9.8680600000000001E-4</v>
      </c>
      <c r="AP24" s="6">
        <v>7.8651600000000002E-4</v>
      </c>
      <c r="AQ24" s="6">
        <v>7.8185847000000003E-2</v>
      </c>
      <c r="AR24" s="6">
        <v>2.7452656999999998E-2</v>
      </c>
      <c r="AS24" s="6">
        <v>5.0835506000000003E-2</v>
      </c>
      <c r="AT24" s="6">
        <v>1.8072195999999999E-2</v>
      </c>
      <c r="AU24" s="6">
        <v>3.9111801000000002E-2</v>
      </c>
      <c r="AV24" s="6">
        <v>1.4390465999999999E-2</v>
      </c>
      <c r="AW24" s="6">
        <v>5.5681094E-2</v>
      </c>
      <c r="AX24" s="6">
        <v>1.9432708E-2</v>
      </c>
      <c r="AY24" s="6">
        <v>6.1771080879999998</v>
      </c>
      <c r="AZ24" s="6">
        <v>1.5528631420000001</v>
      </c>
      <c r="BA24" s="6">
        <v>-7.9291338710000003</v>
      </c>
      <c r="BB24" s="6">
        <v>1.654846034</v>
      </c>
      <c r="BC24" s="6">
        <v>10.056287790000001</v>
      </c>
      <c r="BD24" s="6">
        <v>2.246936507</v>
      </c>
    </row>
    <row r="25" spans="1:56" ht="16" x14ac:dyDescent="0.2">
      <c r="A25" s="4">
        <v>45827</v>
      </c>
      <c r="B25" s="4"/>
      <c r="C25" s="5" t="s">
        <v>40</v>
      </c>
      <c r="D25" s="5">
        <v>19</v>
      </c>
      <c r="E25" s="5" t="s">
        <v>2</v>
      </c>
      <c r="F25" s="5" t="s">
        <v>5</v>
      </c>
      <c r="G25" s="5">
        <v>0.9</v>
      </c>
      <c r="H25" s="5">
        <v>40.9</v>
      </c>
      <c r="I25" s="22">
        <v>4</v>
      </c>
      <c r="J25" s="22">
        <v>1</v>
      </c>
      <c r="K25" s="22"/>
      <c r="L25" s="22">
        <v>5</v>
      </c>
      <c r="M25" s="22">
        <v>1</v>
      </c>
      <c r="N25" s="22"/>
      <c r="O25" s="22"/>
      <c r="P25" s="22"/>
      <c r="Q25" s="22"/>
      <c r="R25" s="22"/>
      <c r="S25" s="22">
        <v>3</v>
      </c>
      <c r="T25" s="22"/>
      <c r="U25" s="22"/>
      <c r="V25" s="22"/>
      <c r="W25" s="22">
        <v>1</v>
      </c>
      <c r="X25" s="22"/>
      <c r="Y25" s="22"/>
      <c r="Z25" s="22"/>
      <c r="AA25" s="22"/>
      <c r="AB25" s="22"/>
      <c r="AC25" s="22"/>
      <c r="AD25" s="22"/>
      <c r="AE25" s="22"/>
      <c r="AF25" s="22"/>
      <c r="AG25" t="s">
        <v>548</v>
      </c>
      <c r="AH25" s="6">
        <v>6.8067463999999994E-2</v>
      </c>
      <c r="AI25" s="6">
        <v>2.2631808999999999E-2</v>
      </c>
      <c r="AJ25" s="6">
        <v>1327</v>
      </c>
      <c r="AK25" s="6">
        <v>2.1687519999999999E-3</v>
      </c>
      <c r="AL25" s="6">
        <v>2.8284271240000001</v>
      </c>
      <c r="AM25" s="6">
        <v>0.106186988</v>
      </c>
      <c r="AN25" s="6">
        <v>2.0423895000000001E-2</v>
      </c>
      <c r="AO25" s="6">
        <v>1.1346609999999999E-3</v>
      </c>
      <c r="AP25" s="6">
        <v>7.8229999999999999E-4</v>
      </c>
      <c r="AQ25" s="6">
        <v>0.10791803699999999</v>
      </c>
      <c r="AR25" s="6">
        <v>3.4512960000000002E-2</v>
      </c>
      <c r="AS25" s="6">
        <v>5.8042050999999997E-2</v>
      </c>
      <c r="AT25" s="6">
        <v>2.0033672999999998E-2</v>
      </c>
      <c r="AU25" s="6">
        <v>4.0275054999999997E-2</v>
      </c>
      <c r="AV25" s="6">
        <v>1.3691741E-2</v>
      </c>
      <c r="AW25" s="6">
        <v>6.8067463999999994E-2</v>
      </c>
      <c r="AX25" s="6">
        <v>2.2631808999999999E-2</v>
      </c>
      <c r="AY25" s="6">
        <v>8.9659246350000004</v>
      </c>
      <c r="AZ25" s="6">
        <v>1.052954765</v>
      </c>
      <c r="BA25" s="6">
        <v>-11.05803135</v>
      </c>
      <c r="BB25" s="6">
        <v>1.050581942</v>
      </c>
      <c r="BC25" s="6">
        <v>14.247008371</v>
      </c>
      <c r="BD25" s="6">
        <v>1.3794264629999999</v>
      </c>
    </row>
    <row r="26" spans="1:56" ht="16" x14ac:dyDescent="0.2">
      <c r="A26" s="4">
        <v>45827</v>
      </c>
      <c r="B26" s="4"/>
      <c r="C26" s="5" t="s">
        <v>40</v>
      </c>
      <c r="D26" s="5">
        <v>20</v>
      </c>
      <c r="E26" s="5" t="s">
        <v>2</v>
      </c>
      <c r="F26" s="5" t="s">
        <v>5</v>
      </c>
      <c r="G26" s="5">
        <v>0.75</v>
      </c>
      <c r="H26" s="5">
        <v>37.9</v>
      </c>
      <c r="I26" s="22">
        <v>10</v>
      </c>
      <c r="J26" s="22">
        <v>1</v>
      </c>
      <c r="K26" s="22"/>
      <c r="L26" s="22"/>
      <c r="M26" s="22"/>
      <c r="N26" s="22"/>
      <c r="O26" s="22"/>
      <c r="P26" s="22"/>
      <c r="Q26" s="22"/>
      <c r="R26" s="22"/>
      <c r="S26" s="22">
        <v>1</v>
      </c>
      <c r="T26" s="22"/>
      <c r="U26" s="22"/>
      <c r="V26" s="22"/>
      <c r="W26" s="22"/>
      <c r="X26" s="22"/>
      <c r="Y26" s="22"/>
      <c r="Z26" s="22"/>
      <c r="AA26" s="22"/>
      <c r="AB26" s="22"/>
      <c r="AC26" s="22"/>
      <c r="AD26" s="22"/>
      <c r="AE26" s="22"/>
      <c r="AF26" s="22">
        <v>3</v>
      </c>
      <c r="AG26" s="6" t="s">
        <v>388</v>
      </c>
      <c r="AH26" s="6">
        <v>5.7281722E-2</v>
      </c>
      <c r="AI26" s="6">
        <v>1.8747640999999999E-2</v>
      </c>
      <c r="AJ26" s="6">
        <v>1419</v>
      </c>
      <c r="AK26" s="6">
        <v>2.1127749999999999E-3</v>
      </c>
      <c r="AL26" s="6">
        <v>2.8284271240000001</v>
      </c>
      <c r="AM26" s="6">
        <v>0.13723927399999999</v>
      </c>
      <c r="AN26" s="6">
        <v>1.5394829E-2</v>
      </c>
      <c r="AO26" s="6">
        <v>8.5526799999999996E-4</v>
      </c>
      <c r="AP26" s="6">
        <v>7.5841700000000005E-4</v>
      </c>
      <c r="AQ26" s="6">
        <v>7.5073792E-2</v>
      </c>
      <c r="AR26" s="6">
        <v>2.5120310999999999E-2</v>
      </c>
      <c r="AS26" s="6">
        <v>5.3943970000000001E-2</v>
      </c>
      <c r="AT26" s="6">
        <v>1.7598685999999999E-2</v>
      </c>
      <c r="AU26" s="6">
        <v>4.5592319999999999E-2</v>
      </c>
      <c r="AV26" s="6">
        <v>1.5204123999999999E-2</v>
      </c>
      <c r="AW26" s="6">
        <v>5.7281722E-2</v>
      </c>
      <c r="AX26" s="6">
        <v>1.8747640999999999E-2</v>
      </c>
      <c r="AY26" s="6">
        <v>4.5954494869999998</v>
      </c>
      <c r="AZ26" s="6">
        <v>0.96693282300000005</v>
      </c>
      <c r="BA26" s="6">
        <v>-5.4693917049999996</v>
      </c>
      <c r="BB26" s="6">
        <v>1.3890835749999999</v>
      </c>
      <c r="BC26" s="6">
        <v>7.148541721</v>
      </c>
      <c r="BD26" s="6">
        <v>1.671890023</v>
      </c>
    </row>
    <row r="27" spans="1:56" ht="16" x14ac:dyDescent="0.2">
      <c r="A27" s="4">
        <v>45827</v>
      </c>
      <c r="B27" s="4"/>
      <c r="C27" s="5" t="s">
        <v>40</v>
      </c>
      <c r="D27" s="5">
        <v>21</v>
      </c>
      <c r="E27" s="5" t="s">
        <v>2</v>
      </c>
      <c r="F27" s="5" t="s">
        <v>5</v>
      </c>
      <c r="G27" s="5">
        <v>0.75</v>
      </c>
      <c r="H27" s="5">
        <v>37.549999999999997</v>
      </c>
      <c r="I27" s="22">
        <v>1</v>
      </c>
      <c r="J27" s="22"/>
      <c r="K27" s="22"/>
      <c r="L27" s="22"/>
      <c r="M27" s="22"/>
      <c r="N27" s="22"/>
      <c r="O27" s="22"/>
      <c r="P27" s="22"/>
      <c r="Q27" s="22"/>
      <c r="R27" s="22"/>
      <c r="S27" s="22"/>
      <c r="T27" s="22"/>
      <c r="U27" s="22"/>
      <c r="V27" s="22"/>
      <c r="W27" s="22"/>
      <c r="X27" s="22"/>
      <c r="Y27" s="22"/>
      <c r="Z27" s="22"/>
      <c r="AA27" s="22"/>
      <c r="AB27" s="22"/>
      <c r="AC27" s="22"/>
      <c r="AD27" s="22"/>
      <c r="AE27" s="22"/>
      <c r="AF27" s="22">
        <v>1</v>
      </c>
      <c r="AG27" t="s">
        <v>549</v>
      </c>
      <c r="AH27" s="6">
        <v>4.5019717000000001E-2</v>
      </c>
      <c r="AI27" s="6">
        <v>2.0325948999999999E-2</v>
      </c>
      <c r="AJ27" s="6">
        <v>1174</v>
      </c>
      <c r="AK27" s="6">
        <v>2.0803430000000001E-3</v>
      </c>
      <c r="AL27" s="6">
        <v>3.9999999979999998</v>
      </c>
      <c r="AM27" s="6">
        <v>0.11516853000000001</v>
      </c>
      <c r="AN27" s="6">
        <v>1.8063462999999998E-2</v>
      </c>
      <c r="AO27" s="6">
        <v>1.003526E-3</v>
      </c>
      <c r="AP27" s="6">
        <v>7.4470500000000002E-4</v>
      </c>
      <c r="AQ27" s="6">
        <v>5.8167248999999997E-2</v>
      </c>
      <c r="AR27" s="6">
        <v>2.6278744999999999E-2</v>
      </c>
      <c r="AS27" s="6">
        <v>4.2713291E-2</v>
      </c>
      <c r="AT27" s="6">
        <v>1.9327107999999999E-2</v>
      </c>
      <c r="AU27" s="6">
        <v>3.6491211000000003E-2</v>
      </c>
      <c r="AV27" s="6">
        <v>1.6854504999999999E-2</v>
      </c>
      <c r="AW27" s="6">
        <v>4.5019717000000001E-2</v>
      </c>
      <c r="AX27" s="6">
        <v>2.0325948999999999E-2</v>
      </c>
      <c r="AY27" s="6">
        <v>4.4130435910000001</v>
      </c>
      <c r="AZ27" s="6">
        <v>1.117032791</v>
      </c>
      <c r="BA27" s="6">
        <v>-5.2481379419999996</v>
      </c>
      <c r="BB27" s="6">
        <v>1.6439824970000001</v>
      </c>
      <c r="BC27" s="6">
        <v>6.8731600249999998</v>
      </c>
      <c r="BD27" s="6">
        <v>1.9307583450000001</v>
      </c>
    </row>
    <row r="28" spans="1:56" ht="16" x14ac:dyDescent="0.2">
      <c r="A28" s="4">
        <v>45827</v>
      </c>
      <c r="B28" s="4"/>
      <c r="C28" s="5" t="s">
        <v>40</v>
      </c>
      <c r="D28" s="5">
        <v>22</v>
      </c>
      <c r="E28" s="5" t="s">
        <v>2</v>
      </c>
      <c r="F28" s="5" t="s">
        <v>5</v>
      </c>
      <c r="G28" s="5">
        <v>0.75</v>
      </c>
      <c r="H28" s="5">
        <v>36.6</v>
      </c>
      <c r="I28" s="22">
        <v>4</v>
      </c>
      <c r="J28" s="22"/>
      <c r="K28" s="22"/>
      <c r="L28" s="22"/>
      <c r="M28" s="22"/>
      <c r="N28" s="22"/>
      <c r="O28" s="22"/>
      <c r="P28" s="22"/>
      <c r="Q28" s="22"/>
      <c r="R28" s="22"/>
      <c r="S28" s="22"/>
      <c r="T28" s="22"/>
      <c r="U28" s="22"/>
      <c r="V28" s="22">
        <v>1</v>
      </c>
      <c r="W28" s="22"/>
      <c r="X28" s="22"/>
      <c r="Y28" s="22"/>
      <c r="Z28" s="22"/>
      <c r="AA28" s="22"/>
      <c r="AB28" s="22"/>
      <c r="AC28" s="22"/>
      <c r="AD28" s="22"/>
      <c r="AE28" s="22"/>
      <c r="AF28" s="22">
        <v>1</v>
      </c>
      <c r="AG28" t="s">
        <v>550</v>
      </c>
      <c r="AH28" s="6">
        <v>5.9796492E-2</v>
      </c>
      <c r="AI28" s="6">
        <v>8.3208989999999997E-3</v>
      </c>
      <c r="AJ28" s="6">
        <v>800</v>
      </c>
      <c r="AK28" s="6">
        <v>8.4906100000000002E-4</v>
      </c>
      <c r="AL28" s="6">
        <v>5.6568542449999999</v>
      </c>
      <c r="AM28" s="6">
        <v>0.104269678</v>
      </c>
      <c r="AN28" s="6">
        <v>8.1429299999999996E-3</v>
      </c>
      <c r="AO28" s="6">
        <v>4.5238500000000003E-4</v>
      </c>
      <c r="AP28" s="6">
        <v>3.0275499999999998E-4</v>
      </c>
      <c r="AQ28" s="6">
        <v>8.7281599000000001E-2</v>
      </c>
      <c r="AR28" s="6">
        <v>1.2783321E-2</v>
      </c>
      <c r="AS28" s="6">
        <v>5.4096924999999997E-2</v>
      </c>
      <c r="AT28" s="6">
        <v>7.5606739999999999E-3</v>
      </c>
      <c r="AU28" s="6">
        <v>3.9843719E-2</v>
      </c>
      <c r="AV28" s="6">
        <v>4.8320949999999998E-3</v>
      </c>
      <c r="AW28" s="6">
        <v>5.9796492E-2</v>
      </c>
      <c r="AX28" s="6">
        <v>8.3208989999999997E-3</v>
      </c>
      <c r="AY28" s="6">
        <v>6.7454634929999999</v>
      </c>
      <c r="AZ28" s="6">
        <v>0.466681603</v>
      </c>
      <c r="BA28" s="6">
        <v>-8.8415791309999996</v>
      </c>
      <c r="BB28" s="6">
        <v>1.0385808919999999</v>
      </c>
      <c r="BC28" s="6">
        <v>11.129668068999999</v>
      </c>
      <c r="BD28" s="6">
        <v>1.0495171249999999</v>
      </c>
    </row>
    <row r="29" spans="1:56" ht="16" x14ac:dyDescent="0.2">
      <c r="A29" s="4">
        <v>45827</v>
      </c>
      <c r="B29" s="4"/>
      <c r="C29" s="5" t="s">
        <v>40</v>
      </c>
      <c r="D29" s="5">
        <v>23</v>
      </c>
      <c r="E29" s="5" t="s">
        <v>2</v>
      </c>
      <c r="F29" s="5" t="s">
        <v>3</v>
      </c>
      <c r="G29" s="5">
        <v>0.7</v>
      </c>
      <c r="H29" s="5">
        <v>36.4</v>
      </c>
      <c r="I29" s="22">
        <v>7</v>
      </c>
      <c r="J29" s="22"/>
      <c r="K29" s="22"/>
      <c r="L29" s="22">
        <v>1</v>
      </c>
      <c r="M29" s="22"/>
      <c r="N29" s="22">
        <v>1</v>
      </c>
      <c r="O29" s="22"/>
      <c r="P29" s="22"/>
      <c r="Q29" s="22"/>
      <c r="R29" s="22"/>
      <c r="S29" s="22">
        <v>2</v>
      </c>
      <c r="T29" s="22"/>
      <c r="U29" s="22"/>
      <c r="V29" s="22"/>
      <c r="W29" s="22"/>
      <c r="X29" s="22"/>
      <c r="Y29" s="22"/>
      <c r="Z29" s="22"/>
      <c r="AA29" s="22"/>
      <c r="AB29" s="22"/>
      <c r="AC29" s="22"/>
      <c r="AD29" s="22"/>
      <c r="AE29" s="22"/>
      <c r="AF29" s="22"/>
      <c r="AG29" s="6" t="s">
        <v>381</v>
      </c>
      <c r="AH29" s="6">
        <v>7.5906545000000006E-2</v>
      </c>
      <c r="AI29" s="6">
        <v>1.6105199000000001E-2</v>
      </c>
      <c r="AJ29" s="6">
        <v>1374</v>
      </c>
      <c r="AK29" s="6">
        <v>1.8497310000000001E-3</v>
      </c>
      <c r="AL29" s="6">
        <v>5.6568542449999999</v>
      </c>
      <c r="AM29" s="6">
        <v>0.12549896199999999</v>
      </c>
      <c r="AN29" s="6">
        <v>1.4739017E-2</v>
      </c>
      <c r="AO29" s="6">
        <v>8.1883399999999995E-4</v>
      </c>
      <c r="AP29" s="6">
        <v>6.5367300000000001E-4</v>
      </c>
      <c r="AQ29" s="6">
        <v>0.113500856</v>
      </c>
      <c r="AR29" s="6">
        <v>2.7831601000000001E-2</v>
      </c>
      <c r="AS29" s="6">
        <v>6.7275142999999996E-2</v>
      </c>
      <c r="AT29" s="6">
        <v>1.3383196E-2</v>
      </c>
      <c r="AU29" s="6">
        <v>4.7979860999999999E-2</v>
      </c>
      <c r="AV29" s="6">
        <v>9.1685870000000006E-3</v>
      </c>
      <c r="AW29" s="6">
        <v>7.5906545000000006E-2</v>
      </c>
      <c r="AX29" s="6">
        <v>1.6105199000000001E-2</v>
      </c>
      <c r="AY29" s="6">
        <v>7.2240962780000002</v>
      </c>
      <c r="AZ29" s="6">
        <v>1.278541293</v>
      </c>
      <c r="BA29" s="6">
        <v>-9.6610199609999992</v>
      </c>
      <c r="BB29" s="6">
        <v>1.984920426</v>
      </c>
      <c r="BC29" s="6">
        <v>12.070588543</v>
      </c>
      <c r="BD29" s="6">
        <v>2.323405776</v>
      </c>
    </row>
    <row r="30" spans="1:56" ht="16" x14ac:dyDescent="0.2">
      <c r="A30" s="4">
        <v>45828</v>
      </c>
      <c r="B30" s="4"/>
      <c r="C30" s="5" t="s">
        <v>42</v>
      </c>
      <c r="D30" s="5">
        <v>13</v>
      </c>
      <c r="E30" s="5" t="s">
        <v>2</v>
      </c>
      <c r="F30" s="5" t="s">
        <v>5</v>
      </c>
      <c r="G30" s="5">
        <v>0.65</v>
      </c>
      <c r="H30" s="5">
        <v>33.5</v>
      </c>
      <c r="I30" s="22">
        <v>2</v>
      </c>
      <c r="J30" s="22"/>
      <c r="K30" s="22"/>
      <c r="L30" s="22">
        <v>3</v>
      </c>
      <c r="M30" s="22"/>
      <c r="N30" s="22">
        <v>3</v>
      </c>
      <c r="O30" s="22"/>
      <c r="P30" s="22"/>
      <c r="Q30" s="22">
        <v>1</v>
      </c>
      <c r="R30" s="22"/>
      <c r="S30" s="22"/>
      <c r="T30" s="22">
        <v>1</v>
      </c>
      <c r="U30" s="22"/>
      <c r="V30" s="22"/>
      <c r="W30" s="22"/>
      <c r="X30" s="22"/>
      <c r="Y30" s="22"/>
      <c r="Z30" s="22"/>
      <c r="AA30" s="22"/>
      <c r="AB30" s="22"/>
      <c r="AC30" s="22"/>
      <c r="AD30" s="22"/>
      <c r="AE30" s="22"/>
      <c r="AF30" s="22"/>
      <c r="AG30" t="s">
        <v>553</v>
      </c>
      <c r="AH30" s="6">
        <v>8.1597988999999996E-2</v>
      </c>
      <c r="AI30" s="6">
        <v>2.3507943E-2</v>
      </c>
      <c r="AJ30" s="6">
        <v>1051</v>
      </c>
      <c r="AK30" s="6">
        <v>2.4541340000000002E-3</v>
      </c>
      <c r="AL30" s="6">
        <v>3.9999999979999998</v>
      </c>
      <c r="AM30" s="6">
        <v>0.112086697</v>
      </c>
      <c r="AN30" s="6">
        <v>2.1894963999999999E-2</v>
      </c>
      <c r="AO30" s="6">
        <v>1.216387E-3</v>
      </c>
      <c r="AP30" s="6">
        <v>8.8763600000000002E-4</v>
      </c>
      <c r="AQ30" s="6">
        <v>0.12657908800000001</v>
      </c>
      <c r="AR30" s="6">
        <v>3.2593913000000002E-2</v>
      </c>
      <c r="AS30" s="6">
        <v>7.1125092000000001E-2</v>
      </c>
      <c r="AT30" s="6">
        <v>2.2092383E-2</v>
      </c>
      <c r="AU30" s="6">
        <v>4.6465570999999997E-2</v>
      </c>
      <c r="AV30" s="6">
        <v>1.5951964999999999E-2</v>
      </c>
      <c r="AW30" s="6">
        <v>8.1597988999999996E-2</v>
      </c>
      <c r="AX30" s="6">
        <v>2.3507943E-2</v>
      </c>
      <c r="AY30" s="6">
        <v>8.4824855540000001</v>
      </c>
      <c r="AZ30" s="6">
        <v>1.617738114</v>
      </c>
      <c r="BA30" s="6">
        <v>-12.113495127</v>
      </c>
      <c r="BB30" s="6">
        <v>1.931430438</v>
      </c>
      <c r="BC30" s="6">
        <v>14.793681619999999</v>
      </c>
      <c r="BD30" s="6">
        <v>2.4866954520000002</v>
      </c>
    </row>
    <row r="31" spans="1:56" ht="16" x14ac:dyDescent="0.2">
      <c r="A31" s="4">
        <v>45828</v>
      </c>
      <c r="B31" s="4"/>
      <c r="C31" s="5" t="s">
        <v>42</v>
      </c>
      <c r="D31" s="5">
        <v>14</v>
      </c>
      <c r="E31" s="5" t="s">
        <v>2</v>
      </c>
      <c r="F31" s="5" t="s">
        <v>3</v>
      </c>
      <c r="G31" s="5">
        <v>1.2</v>
      </c>
      <c r="H31" s="5">
        <v>42.9</v>
      </c>
      <c r="I31" s="22"/>
      <c r="J31" s="22"/>
      <c r="K31" s="22"/>
      <c r="L31" s="22"/>
      <c r="M31" s="22"/>
      <c r="N31" s="22"/>
      <c r="O31" s="22"/>
      <c r="P31" s="22"/>
      <c r="Q31" s="22"/>
      <c r="R31" s="22"/>
      <c r="S31" s="22"/>
      <c r="T31" s="22"/>
      <c r="U31" s="22"/>
      <c r="V31" s="22"/>
      <c r="W31" s="22"/>
      <c r="X31" s="22"/>
      <c r="Y31" s="22"/>
      <c r="Z31" s="22"/>
      <c r="AA31" s="22"/>
      <c r="AB31" s="22"/>
      <c r="AC31" s="22"/>
      <c r="AD31" s="22"/>
      <c r="AE31" s="22"/>
      <c r="AF31" s="22">
        <v>1</v>
      </c>
      <c r="AG31" t="s">
        <v>554</v>
      </c>
      <c r="AH31" s="6">
        <v>7.7669316000000002E-2</v>
      </c>
      <c r="AI31" s="6">
        <v>2.0351804000000001E-2</v>
      </c>
      <c r="AJ31" s="6">
        <v>1488</v>
      </c>
      <c r="AK31" s="6">
        <v>2.1374800000000002E-3</v>
      </c>
      <c r="AL31" s="6">
        <v>3.9999999979999998</v>
      </c>
      <c r="AM31" s="6">
        <v>0.11438009</v>
      </c>
      <c r="AN31" s="6">
        <v>1.8687519999999999E-2</v>
      </c>
      <c r="AO31" s="6">
        <v>1.0381959999999999E-3</v>
      </c>
      <c r="AP31" s="6">
        <v>7.1606600000000001E-4</v>
      </c>
      <c r="AQ31" s="6">
        <v>0.11320986600000001</v>
      </c>
      <c r="AR31" s="6">
        <v>2.9313336999999998E-2</v>
      </c>
      <c r="AS31" s="6">
        <v>6.9488294000000006E-2</v>
      </c>
      <c r="AT31" s="6">
        <v>1.8504932000000002E-2</v>
      </c>
      <c r="AU31" s="6">
        <v>5.1525353000000003E-2</v>
      </c>
      <c r="AV31" s="6">
        <v>1.4661553000000001E-2</v>
      </c>
      <c r="AW31" s="6">
        <v>7.7669316000000002E-2</v>
      </c>
      <c r="AX31" s="6">
        <v>2.0351804000000001E-2</v>
      </c>
      <c r="AY31" s="6">
        <v>6.9840140039999996</v>
      </c>
      <c r="AZ31" s="6">
        <v>1.050173209</v>
      </c>
      <c r="BA31" s="6">
        <v>-9.0808260230000002</v>
      </c>
      <c r="BB31" s="6">
        <v>1.5204891190000001</v>
      </c>
      <c r="BC31" s="6">
        <v>11.459053624999999</v>
      </c>
      <c r="BD31" s="6">
        <v>1.82829014</v>
      </c>
    </row>
    <row r="32" spans="1:56" ht="16" x14ac:dyDescent="0.2">
      <c r="A32" s="4">
        <v>45828</v>
      </c>
      <c r="B32" s="4"/>
      <c r="C32" s="5" t="s">
        <v>42</v>
      </c>
      <c r="D32" s="5">
        <v>15</v>
      </c>
      <c r="E32" s="5" t="s">
        <v>2</v>
      </c>
      <c r="F32" s="5" t="s">
        <v>3</v>
      </c>
      <c r="G32" s="5">
        <v>0.7</v>
      </c>
      <c r="H32" s="5">
        <v>36.4</v>
      </c>
      <c r="I32" s="22">
        <v>1</v>
      </c>
      <c r="J32" s="22">
        <v>1</v>
      </c>
      <c r="K32" s="22"/>
      <c r="L32" s="22">
        <v>3</v>
      </c>
      <c r="M32" s="22"/>
      <c r="N32" s="22">
        <v>1</v>
      </c>
      <c r="O32" s="22"/>
      <c r="P32" s="22">
        <v>1</v>
      </c>
      <c r="Q32" s="22"/>
      <c r="R32" s="22"/>
      <c r="S32" s="22"/>
      <c r="T32" s="22"/>
      <c r="U32" s="22"/>
      <c r="V32" s="22"/>
      <c r="W32" s="22"/>
      <c r="X32" s="22"/>
      <c r="Y32" s="22"/>
      <c r="Z32" s="22"/>
      <c r="AA32" s="22"/>
      <c r="AB32" s="22"/>
      <c r="AC32" s="22"/>
      <c r="AD32" s="22"/>
      <c r="AE32" s="22"/>
      <c r="AF32" s="22">
        <v>1</v>
      </c>
      <c r="AG32" t="s">
        <v>555</v>
      </c>
      <c r="AH32" s="6">
        <v>6.2544243999999999E-2</v>
      </c>
      <c r="AI32" s="6">
        <v>2.3766632999999999E-2</v>
      </c>
      <c r="AJ32" s="6">
        <v>594</v>
      </c>
      <c r="AK32" s="6">
        <v>2.2195230000000002E-3</v>
      </c>
      <c r="AL32" s="6">
        <v>3.9999999979999998</v>
      </c>
      <c r="AM32" s="6">
        <v>9.7236067999999995E-2</v>
      </c>
      <c r="AN32" s="6">
        <v>2.2826124999999999E-2</v>
      </c>
      <c r="AO32" s="6">
        <v>1.2681179999999999E-3</v>
      </c>
      <c r="AP32" s="6">
        <v>8.2174500000000003E-4</v>
      </c>
      <c r="AQ32" s="6">
        <v>8.7425323999999999E-2</v>
      </c>
      <c r="AR32" s="6">
        <v>3.4702297E-2</v>
      </c>
      <c r="AS32" s="6">
        <v>5.7047059999999997E-2</v>
      </c>
      <c r="AT32" s="6">
        <v>2.1227974E-2</v>
      </c>
      <c r="AU32" s="6">
        <v>4.4598357999999998E-2</v>
      </c>
      <c r="AV32" s="6">
        <v>1.5887018999999999E-2</v>
      </c>
      <c r="AW32" s="6">
        <v>6.2544243999999999E-2</v>
      </c>
      <c r="AX32" s="6">
        <v>2.3766632999999999E-2</v>
      </c>
      <c r="AY32" s="6">
        <v>5.7770543239999999</v>
      </c>
      <c r="AZ32" s="6">
        <v>0.75068464499999998</v>
      </c>
      <c r="BA32" s="6">
        <v>-7.1383851150000002</v>
      </c>
      <c r="BB32" s="6">
        <v>1.110391388</v>
      </c>
      <c r="BC32" s="6">
        <v>9.1896755690000003</v>
      </c>
      <c r="BD32" s="6">
        <v>1.2950123469999999</v>
      </c>
    </row>
    <row r="33" spans="1:56" ht="16" x14ac:dyDescent="0.2">
      <c r="A33" s="4">
        <v>45828</v>
      </c>
      <c r="B33" s="4"/>
      <c r="C33" s="5" t="s">
        <v>42</v>
      </c>
      <c r="D33" s="5">
        <v>16</v>
      </c>
      <c r="E33" s="5" t="s">
        <v>2</v>
      </c>
      <c r="F33" s="5" t="s">
        <v>5</v>
      </c>
      <c r="G33" s="5">
        <v>0.95</v>
      </c>
      <c r="H33" s="5">
        <v>38.1</v>
      </c>
      <c r="I33" s="22">
        <v>1</v>
      </c>
      <c r="J33" s="22"/>
      <c r="K33" s="22"/>
      <c r="L33" s="22"/>
      <c r="M33" s="22"/>
      <c r="N33" s="22">
        <v>2</v>
      </c>
      <c r="O33" s="22"/>
      <c r="Q33" s="22"/>
      <c r="R33" s="22"/>
      <c r="S33" s="22"/>
      <c r="T33" s="22"/>
      <c r="U33" s="22"/>
      <c r="V33" s="22"/>
      <c r="W33" s="22"/>
      <c r="X33" s="22"/>
      <c r="Y33" s="22"/>
      <c r="Z33" s="22"/>
      <c r="AA33" s="22"/>
      <c r="AB33" s="22"/>
      <c r="AC33" s="22"/>
      <c r="AD33" s="22"/>
      <c r="AE33" s="22"/>
      <c r="AF33" s="22"/>
      <c r="AG33" t="s">
        <v>556</v>
      </c>
      <c r="AH33" s="6">
        <v>6.4000379999999996E-2</v>
      </c>
      <c r="AI33" s="6">
        <v>1.5852616999999999E-2</v>
      </c>
      <c r="AJ33" s="6">
        <v>1458</v>
      </c>
      <c r="AK33" s="6">
        <v>1.877281E-3</v>
      </c>
      <c r="AL33" s="6">
        <v>5.6568542449999999</v>
      </c>
      <c r="AM33" s="6">
        <v>0.13355493900000001</v>
      </c>
      <c r="AN33" s="6">
        <v>1.4056244000000001E-2</v>
      </c>
      <c r="AO33" s="6">
        <v>7.8090199999999999E-4</v>
      </c>
      <c r="AP33" s="6">
        <v>6.8084500000000002E-4</v>
      </c>
      <c r="AQ33" s="6">
        <v>9.0127784000000002E-2</v>
      </c>
      <c r="AR33" s="6">
        <v>2.2229451000000001E-2</v>
      </c>
      <c r="AS33" s="6">
        <v>5.8680036999999997E-2</v>
      </c>
      <c r="AT33" s="6">
        <v>1.4748911999999999E-2</v>
      </c>
      <c r="AU33" s="6">
        <v>4.4344913E-2</v>
      </c>
      <c r="AV33" s="6">
        <v>1.141584E-2</v>
      </c>
      <c r="AW33" s="6">
        <v>6.4000379999999996E-2</v>
      </c>
      <c r="AX33" s="6">
        <v>1.5852616999999999E-2</v>
      </c>
      <c r="AY33" s="6">
        <v>6.095848964</v>
      </c>
      <c r="AZ33" s="6">
        <v>1.079023514</v>
      </c>
      <c r="BA33" s="6">
        <v>-8.1397765189999998</v>
      </c>
      <c r="BB33" s="6">
        <v>0.73426698499999998</v>
      </c>
      <c r="BC33" s="6">
        <v>10.185637738</v>
      </c>
      <c r="BD33" s="6">
        <v>1.1710388169999999</v>
      </c>
    </row>
    <row r="34" spans="1:56" ht="16" x14ac:dyDescent="0.2">
      <c r="A34" s="4">
        <v>45828</v>
      </c>
      <c r="B34" s="4"/>
      <c r="C34" s="5" t="s">
        <v>42</v>
      </c>
      <c r="D34" s="5">
        <v>17</v>
      </c>
      <c r="E34" s="5" t="s">
        <v>2</v>
      </c>
      <c r="F34" s="5" t="s">
        <v>3</v>
      </c>
      <c r="G34" s="5">
        <v>0.8</v>
      </c>
      <c r="H34" s="5">
        <v>39.700000000000003</v>
      </c>
      <c r="I34" s="22">
        <v>1</v>
      </c>
      <c r="J34" s="22"/>
      <c r="K34" s="22"/>
      <c r="L34" s="22">
        <v>1</v>
      </c>
      <c r="M34" s="22"/>
      <c r="N34" s="22">
        <v>1</v>
      </c>
      <c r="O34" s="22"/>
      <c r="P34" s="22"/>
      <c r="Q34" s="22"/>
      <c r="R34" s="22"/>
      <c r="S34" s="22">
        <v>1</v>
      </c>
      <c r="T34" s="22"/>
      <c r="U34" s="22"/>
      <c r="V34" s="22"/>
      <c r="W34" s="22"/>
      <c r="X34" s="22"/>
      <c r="Y34" s="22"/>
      <c r="Z34" s="22"/>
      <c r="AA34" s="22"/>
      <c r="AB34" s="22"/>
      <c r="AC34" s="22"/>
      <c r="AD34" s="22"/>
      <c r="AE34" s="22"/>
      <c r="AF34" s="22"/>
      <c r="AG34" t="s">
        <v>557</v>
      </c>
      <c r="AH34" s="6">
        <v>6.8331164E-2</v>
      </c>
      <c r="AI34" s="6">
        <v>1.3689635E-2</v>
      </c>
      <c r="AJ34" s="6">
        <v>859</v>
      </c>
      <c r="AK34" s="6">
        <v>1.3566520000000001E-3</v>
      </c>
      <c r="AL34" s="6">
        <v>3.9999999979999998</v>
      </c>
      <c r="AM34" s="6">
        <v>9.6521570000000001E-2</v>
      </c>
      <c r="AN34" s="6">
        <v>1.4055425E-2</v>
      </c>
      <c r="AO34" s="6">
        <v>7.8085700000000004E-4</v>
      </c>
      <c r="AP34" s="6">
        <v>4.8223299999999999E-4</v>
      </c>
      <c r="AQ34" s="6">
        <v>9.4141057E-2</v>
      </c>
      <c r="AR34" s="6">
        <v>2.1181700000000001E-2</v>
      </c>
      <c r="AS34" s="6">
        <v>6.3270118E-2</v>
      </c>
      <c r="AT34" s="6">
        <v>1.2124173E-2</v>
      </c>
      <c r="AU34" s="6">
        <v>4.8657011999999999E-2</v>
      </c>
      <c r="AV34" s="6">
        <v>8.0039499999999993E-3</v>
      </c>
      <c r="AW34" s="6">
        <v>6.8331164E-2</v>
      </c>
      <c r="AX34" s="6">
        <v>1.3689635E-2</v>
      </c>
      <c r="AY34" s="6">
        <v>5.4843651199999996</v>
      </c>
      <c r="AZ34" s="6">
        <v>0.76421440500000004</v>
      </c>
      <c r="BA34" s="6">
        <v>-7.3469621619999996</v>
      </c>
      <c r="BB34" s="6">
        <v>1.258247294</v>
      </c>
      <c r="BC34" s="6">
        <v>9.1718501880000005</v>
      </c>
      <c r="BD34" s="6">
        <v>1.4492791540000001</v>
      </c>
    </row>
    <row r="35" spans="1:56" ht="16" x14ac:dyDescent="0.2">
      <c r="A35" s="4">
        <v>45828</v>
      </c>
      <c r="B35" s="4"/>
      <c r="C35" s="5" t="s">
        <v>42</v>
      </c>
      <c r="D35" s="5">
        <v>18</v>
      </c>
      <c r="E35" s="5" t="s">
        <v>2</v>
      </c>
      <c r="F35" s="5" t="s">
        <v>3</v>
      </c>
      <c r="G35" s="5">
        <v>0.7</v>
      </c>
      <c r="H35" s="5">
        <v>33.799999999999997</v>
      </c>
      <c r="I35" s="22">
        <v>2</v>
      </c>
      <c r="J35" s="22"/>
      <c r="K35" s="22"/>
      <c r="L35" s="22"/>
      <c r="M35" s="22"/>
      <c r="N35" s="22"/>
      <c r="O35" s="22"/>
      <c r="P35" s="22"/>
      <c r="Q35" s="22">
        <v>1</v>
      </c>
      <c r="R35" s="22"/>
      <c r="S35" s="22"/>
      <c r="T35" s="22"/>
      <c r="U35" s="22"/>
      <c r="V35" s="22"/>
      <c r="W35" s="22"/>
      <c r="X35" s="22"/>
      <c r="Y35" s="22"/>
      <c r="Z35" s="22"/>
      <c r="AA35" s="22"/>
      <c r="AB35" s="22"/>
      <c r="AC35" s="22"/>
      <c r="AD35" s="22"/>
      <c r="AE35" s="22"/>
      <c r="AF35" s="22">
        <v>1</v>
      </c>
      <c r="AG35" t="s">
        <v>558</v>
      </c>
      <c r="AH35" s="6">
        <v>6.3405715000000001E-2</v>
      </c>
      <c r="AI35" s="6">
        <v>1.6879106000000001E-2</v>
      </c>
      <c r="AJ35" s="6">
        <v>1049</v>
      </c>
      <c r="AK35" s="6">
        <v>1.8500630000000001E-3</v>
      </c>
      <c r="AL35" s="6">
        <v>3.9999999979999998</v>
      </c>
      <c r="AM35" s="6">
        <v>0.123694571</v>
      </c>
      <c r="AN35" s="6">
        <v>1.4956706E-2</v>
      </c>
      <c r="AO35" s="6">
        <v>8.3092799999999998E-4</v>
      </c>
      <c r="AP35" s="6">
        <v>6.7478600000000003E-4</v>
      </c>
      <c r="AQ35" s="6">
        <v>9.7386254000000005E-2</v>
      </c>
      <c r="AR35" s="6">
        <v>2.3450454999999999E-2</v>
      </c>
      <c r="AS35" s="6">
        <v>5.4579553000000003E-2</v>
      </c>
      <c r="AT35" s="6">
        <v>1.5651861E-2</v>
      </c>
      <c r="AU35" s="6">
        <v>4.1509774999999999E-2</v>
      </c>
      <c r="AV35" s="6">
        <v>1.3500481E-2</v>
      </c>
      <c r="AW35" s="6">
        <v>6.3405715000000001E-2</v>
      </c>
      <c r="AX35" s="6">
        <v>1.6879106000000001E-2</v>
      </c>
      <c r="AY35" s="6">
        <v>8.4084193529999993</v>
      </c>
      <c r="AZ35" s="6">
        <v>1.5575396319999999</v>
      </c>
      <c r="BA35" s="6">
        <v>-9.6424897220000005</v>
      </c>
      <c r="BB35" s="6">
        <v>2.1186217680000001</v>
      </c>
      <c r="BC35" s="6">
        <v>12.800148932000001</v>
      </c>
      <c r="BD35" s="6">
        <v>2.5980073020000001</v>
      </c>
    </row>
    <row r="36" spans="1:56" ht="16" x14ac:dyDescent="0.2">
      <c r="A36" s="4">
        <v>45828</v>
      </c>
      <c r="B36" s="4"/>
      <c r="C36" s="5" t="s">
        <v>42</v>
      </c>
      <c r="D36" s="5">
        <v>19</v>
      </c>
      <c r="E36" s="5" t="s">
        <v>2</v>
      </c>
      <c r="F36" s="5" t="s">
        <v>3</v>
      </c>
      <c r="G36" s="5">
        <v>0.7</v>
      </c>
      <c r="H36" s="5">
        <v>34.799999999999997</v>
      </c>
      <c r="I36" s="22">
        <v>1</v>
      </c>
      <c r="J36" s="22">
        <v>1</v>
      </c>
      <c r="K36" s="22"/>
      <c r="L36" s="22">
        <v>1</v>
      </c>
      <c r="M36" s="22"/>
      <c r="N36" s="22">
        <v>1</v>
      </c>
      <c r="O36" s="22"/>
      <c r="P36" s="22"/>
      <c r="Q36" s="22"/>
      <c r="R36" s="22"/>
      <c r="S36" s="22">
        <v>2</v>
      </c>
      <c r="T36" s="22">
        <v>1</v>
      </c>
      <c r="U36" s="22"/>
      <c r="V36" s="22"/>
      <c r="W36" s="22"/>
      <c r="X36" s="22"/>
      <c r="Y36" s="22"/>
      <c r="Z36" s="22"/>
      <c r="AA36" s="22"/>
      <c r="AB36" s="22"/>
      <c r="AC36" s="22"/>
      <c r="AD36" s="22"/>
      <c r="AE36" s="22"/>
      <c r="AF36" s="22">
        <v>3</v>
      </c>
      <c r="AG36" s="6" t="s">
        <v>382</v>
      </c>
      <c r="AH36" s="6">
        <v>9.6098147999999994E-2</v>
      </c>
      <c r="AI36" s="6">
        <v>2.7757442E-2</v>
      </c>
      <c r="AJ36" s="6">
        <v>1175</v>
      </c>
      <c r="AK36" s="6">
        <v>2.8945630000000002E-3</v>
      </c>
      <c r="AL36" s="6">
        <v>3.9999999979999998</v>
      </c>
      <c r="AM36" s="6">
        <v>0.110316025</v>
      </c>
      <c r="AN36" s="6">
        <v>2.6238826999999999E-2</v>
      </c>
      <c r="AO36" s="6">
        <v>1.457713E-3</v>
      </c>
      <c r="AP36" s="6">
        <v>1.037898E-3</v>
      </c>
      <c r="AQ36" s="6">
        <v>0.14541124699999999</v>
      </c>
      <c r="AR36" s="6">
        <v>3.9389501E-2</v>
      </c>
      <c r="AS36" s="6">
        <v>8.4156738999999994E-2</v>
      </c>
      <c r="AT36" s="6">
        <v>2.5111441000000002E-2</v>
      </c>
      <c r="AU36" s="6">
        <v>5.8742933999999997E-2</v>
      </c>
      <c r="AV36" s="6">
        <v>1.9242461999999998E-2</v>
      </c>
      <c r="AW36" s="6">
        <v>9.6098147999999994E-2</v>
      </c>
      <c r="AX36" s="6">
        <v>2.7757442E-2</v>
      </c>
      <c r="AY36" s="6">
        <v>7.8823559879999996</v>
      </c>
      <c r="AZ36" s="6">
        <v>0.82795783199999995</v>
      </c>
      <c r="BA36" s="6">
        <v>-10.655748702</v>
      </c>
      <c r="BB36" s="6">
        <v>1.440996854</v>
      </c>
      <c r="BC36" s="6">
        <v>13.258881812</v>
      </c>
      <c r="BD36" s="6">
        <v>1.624947006</v>
      </c>
    </row>
    <row r="37" spans="1:56" ht="16" x14ac:dyDescent="0.2">
      <c r="A37" s="4">
        <v>45828</v>
      </c>
      <c r="B37" s="4"/>
      <c r="C37" s="5" t="s">
        <v>42</v>
      </c>
      <c r="D37" s="5">
        <v>20</v>
      </c>
      <c r="E37" s="5" t="s">
        <v>2</v>
      </c>
      <c r="F37" s="5" t="s">
        <v>5</v>
      </c>
      <c r="G37" s="5">
        <v>0.8</v>
      </c>
      <c r="H37" s="5">
        <v>38.5</v>
      </c>
      <c r="I37" s="22">
        <v>4</v>
      </c>
      <c r="J37" s="22"/>
      <c r="K37" s="22"/>
      <c r="L37" s="22">
        <v>2</v>
      </c>
      <c r="M37" s="22"/>
      <c r="N37" s="22">
        <v>2</v>
      </c>
      <c r="O37" s="22"/>
      <c r="P37" s="22">
        <v>1</v>
      </c>
      <c r="Q37" s="22"/>
      <c r="R37" s="22"/>
      <c r="S37" s="22"/>
      <c r="T37" s="22"/>
      <c r="U37" s="22"/>
      <c r="V37" s="22"/>
      <c r="W37" s="22"/>
      <c r="X37" s="22"/>
      <c r="Y37" s="22"/>
      <c r="Z37" s="22"/>
      <c r="AA37" s="22">
        <v>1</v>
      </c>
      <c r="AB37" s="22"/>
      <c r="AC37" s="22"/>
      <c r="AD37" s="22"/>
      <c r="AE37" s="22"/>
      <c r="AF37" s="22">
        <v>4</v>
      </c>
      <c r="AG37" t="s">
        <v>559</v>
      </c>
      <c r="AH37" s="6">
        <v>7.2995526000000005E-2</v>
      </c>
      <c r="AI37" s="6">
        <v>2.3287503000000001E-2</v>
      </c>
      <c r="AJ37" s="6">
        <v>1258</v>
      </c>
      <c r="AK37" s="6">
        <v>2.4311200000000002E-3</v>
      </c>
      <c r="AL37" s="6">
        <v>90.509667729</v>
      </c>
      <c r="AM37" s="6">
        <v>0.101032546</v>
      </c>
      <c r="AN37" s="6">
        <v>2.4062745E-2</v>
      </c>
      <c r="AO37" s="6">
        <v>1.3368189999999999E-3</v>
      </c>
      <c r="AP37" s="6">
        <v>7.4741900000000003E-4</v>
      </c>
      <c r="AQ37" s="6">
        <v>0.10472132300000001</v>
      </c>
      <c r="AR37" s="6">
        <v>3.3913281000000003E-2</v>
      </c>
      <c r="AS37" s="6">
        <v>6.6061141000000004E-2</v>
      </c>
      <c r="AT37" s="6">
        <v>2.1219172000000001E-2</v>
      </c>
      <c r="AU37" s="6">
        <v>4.8791576000000003E-2</v>
      </c>
      <c r="AV37" s="6">
        <v>1.5847244999999999E-2</v>
      </c>
      <c r="AW37" s="6">
        <v>7.2995526000000005E-2</v>
      </c>
      <c r="AX37" s="6">
        <v>2.3287503000000001E-2</v>
      </c>
      <c r="AY37" s="6">
        <v>6.3667020059999997</v>
      </c>
      <c r="AZ37" s="6">
        <v>1.4241547219999999</v>
      </c>
      <c r="BA37" s="6">
        <v>-8.5749204859999999</v>
      </c>
      <c r="BB37" s="6">
        <v>1.7357957289999999</v>
      </c>
      <c r="BC37" s="6">
        <v>10.686140822</v>
      </c>
      <c r="BD37" s="6">
        <v>2.2162243840000002</v>
      </c>
    </row>
    <row r="38" spans="1:56" ht="16" x14ac:dyDescent="0.2">
      <c r="A38" s="4">
        <v>45828</v>
      </c>
      <c r="B38" s="4"/>
      <c r="C38" s="5" t="s">
        <v>42</v>
      </c>
      <c r="D38" s="5">
        <v>21</v>
      </c>
      <c r="E38" s="5" t="s">
        <v>2</v>
      </c>
      <c r="F38" s="5" t="s">
        <v>3</v>
      </c>
      <c r="G38" s="5">
        <v>1.1000000000000001</v>
      </c>
      <c r="H38" s="5">
        <v>43.05</v>
      </c>
      <c r="I38" s="22"/>
      <c r="J38" s="22"/>
      <c r="K38" s="22"/>
      <c r="L38" s="22">
        <v>1</v>
      </c>
      <c r="M38" s="22"/>
      <c r="N38" s="22"/>
      <c r="O38" s="22"/>
      <c r="P38" s="22"/>
      <c r="Q38" s="22"/>
      <c r="R38" s="22"/>
      <c r="S38" s="22">
        <v>10</v>
      </c>
      <c r="T38" s="22"/>
      <c r="U38" s="22"/>
      <c r="V38" s="22"/>
      <c r="W38" s="22">
        <v>1</v>
      </c>
      <c r="X38" s="22"/>
      <c r="Y38" s="22"/>
      <c r="Z38" s="22"/>
      <c r="AA38" s="22"/>
      <c r="AB38" s="22"/>
      <c r="AC38" s="22"/>
      <c r="AD38" s="22"/>
      <c r="AE38" s="22"/>
      <c r="AF38" s="22">
        <v>1</v>
      </c>
      <c r="AG38" s="6" t="s">
        <v>383</v>
      </c>
      <c r="AH38" s="6">
        <v>7.4932138999999995E-2</v>
      </c>
      <c r="AI38" s="6">
        <v>1.2477166E-2</v>
      </c>
      <c r="AJ38" s="6">
        <v>1960</v>
      </c>
      <c r="AK38" s="6">
        <v>1.4957620000000001E-3</v>
      </c>
      <c r="AL38" s="6">
        <v>7.9999999920000002</v>
      </c>
      <c r="AM38" s="6">
        <v>0.12557890799999999</v>
      </c>
      <c r="AN38" s="6">
        <v>1.1910933E-2</v>
      </c>
      <c r="AO38" s="6">
        <v>6.6171899999999996E-4</v>
      </c>
      <c r="AP38" s="6">
        <v>5.7685799999999997E-4</v>
      </c>
      <c r="AQ38" s="6">
        <v>0.10716516399999999</v>
      </c>
      <c r="AR38" s="6">
        <v>2.2195919000000001E-2</v>
      </c>
      <c r="AS38" s="6">
        <v>6.8089960000000005E-2</v>
      </c>
      <c r="AT38" s="6">
        <v>1.0584319E-2</v>
      </c>
      <c r="AU38" s="6">
        <v>5.1215480000000001E-2</v>
      </c>
      <c r="AV38" s="6">
        <v>7.641536E-3</v>
      </c>
      <c r="AW38" s="6">
        <v>7.4932138999999995E-2</v>
      </c>
      <c r="AX38" s="6">
        <v>1.2477166E-2</v>
      </c>
      <c r="AY38" s="6">
        <v>6.2973133050000003</v>
      </c>
      <c r="AZ38" s="6">
        <v>1.2804031570000001</v>
      </c>
      <c r="BA38" s="6">
        <v>-8.2903737960000008</v>
      </c>
      <c r="BB38" s="6">
        <v>2.3401162790000001</v>
      </c>
      <c r="BC38" s="6">
        <v>10.421850364999999</v>
      </c>
      <c r="BD38" s="6">
        <v>2.6242994190000002</v>
      </c>
    </row>
    <row r="39" spans="1:56" ht="16" x14ac:dyDescent="0.2">
      <c r="A39" s="4">
        <v>45828</v>
      </c>
      <c r="B39" s="4"/>
      <c r="C39" s="5" t="s">
        <v>42</v>
      </c>
      <c r="D39" s="5">
        <v>22</v>
      </c>
      <c r="E39" s="5" t="s">
        <v>2</v>
      </c>
      <c r="F39" s="5" t="s">
        <v>3</v>
      </c>
      <c r="G39" s="5">
        <v>1.3</v>
      </c>
      <c r="H39" s="5">
        <v>43.9</v>
      </c>
      <c r="I39" s="22">
        <v>2</v>
      </c>
      <c r="J39" s="22"/>
      <c r="K39" s="22"/>
      <c r="L39" s="22"/>
      <c r="M39" s="22"/>
      <c r="N39" s="22">
        <v>1</v>
      </c>
      <c r="O39" s="22"/>
      <c r="P39" s="22"/>
      <c r="Q39" s="22"/>
      <c r="R39" s="22"/>
      <c r="S39" s="22">
        <v>11</v>
      </c>
      <c r="T39" s="22"/>
      <c r="U39" s="22"/>
      <c r="V39" s="22"/>
      <c r="W39" s="22"/>
      <c r="X39" s="22"/>
      <c r="Y39" s="22"/>
      <c r="Z39" s="22"/>
      <c r="AA39" s="22"/>
      <c r="AB39" s="22"/>
      <c r="AC39" s="22"/>
      <c r="AD39" s="22"/>
      <c r="AE39" s="22"/>
      <c r="AF39" s="22">
        <v>1</v>
      </c>
      <c r="AG39" t="s">
        <v>560</v>
      </c>
      <c r="AH39" s="6">
        <v>8.4840872999999997E-2</v>
      </c>
      <c r="AI39" s="6">
        <v>9.1462780000000007E-3</v>
      </c>
      <c r="AJ39" s="6">
        <v>1253</v>
      </c>
      <c r="AK39" s="6">
        <v>9.6270000000000004E-4</v>
      </c>
      <c r="AL39" s="6">
        <v>11.313708483999999</v>
      </c>
      <c r="AM39" s="6">
        <v>0.100045067</v>
      </c>
      <c r="AN39" s="6">
        <v>9.6226620000000006E-3</v>
      </c>
      <c r="AO39" s="6">
        <v>5.3459199999999997E-4</v>
      </c>
      <c r="AP39" s="6">
        <v>3.5939499999999998E-4</v>
      </c>
      <c r="AQ39" s="6">
        <v>0.119579638</v>
      </c>
      <c r="AR39" s="6">
        <v>1.4651544000000001E-2</v>
      </c>
      <c r="AS39" s="6">
        <v>7.8278955999999997E-2</v>
      </c>
      <c r="AT39" s="6">
        <v>8.0578650000000009E-3</v>
      </c>
      <c r="AU39" s="6">
        <v>5.5556604000000002E-2</v>
      </c>
      <c r="AV39" s="6">
        <v>6.2647470000000002E-3</v>
      </c>
      <c r="AW39" s="6">
        <v>8.4840872999999997E-2</v>
      </c>
      <c r="AX39" s="6">
        <v>9.1462780000000007E-3</v>
      </c>
      <c r="AY39" s="6">
        <v>5.9578884700000003</v>
      </c>
      <c r="AZ39" s="6">
        <v>0.61443595299999998</v>
      </c>
      <c r="BA39" s="6">
        <v>-9.0529603919999992</v>
      </c>
      <c r="BB39" s="6">
        <v>1.3014075650000001</v>
      </c>
      <c r="BC39" s="6">
        <v>10.844787534</v>
      </c>
      <c r="BD39" s="6">
        <v>1.3835382629999999</v>
      </c>
    </row>
    <row r="40" spans="1:56" ht="16" x14ac:dyDescent="0.2">
      <c r="A40" s="4">
        <v>45831</v>
      </c>
      <c r="B40" s="4"/>
      <c r="C40" s="5" t="s">
        <v>20</v>
      </c>
      <c r="D40" s="5">
        <v>9</v>
      </c>
      <c r="E40" s="5" t="s">
        <v>2</v>
      </c>
      <c r="F40" s="5" t="s">
        <v>3</v>
      </c>
      <c r="G40" s="5">
        <v>0.8</v>
      </c>
      <c r="H40" s="5">
        <v>34</v>
      </c>
      <c r="I40" s="22">
        <v>8</v>
      </c>
      <c r="J40" s="22"/>
      <c r="K40" s="22"/>
      <c r="L40" s="22">
        <v>1</v>
      </c>
      <c r="M40" s="22"/>
      <c r="N40" s="22">
        <v>2</v>
      </c>
      <c r="O40" s="22"/>
      <c r="P40" s="22"/>
      <c r="Q40" s="22"/>
      <c r="R40" s="22"/>
      <c r="S40" s="22">
        <v>2</v>
      </c>
      <c r="T40" s="22">
        <v>1</v>
      </c>
      <c r="U40" s="22"/>
      <c r="V40" s="22"/>
      <c r="W40" s="22"/>
      <c r="X40" s="22">
        <v>3</v>
      </c>
      <c r="Y40" s="22"/>
      <c r="Z40" s="22"/>
      <c r="AA40" s="22"/>
      <c r="AB40" s="22"/>
      <c r="AC40" s="22"/>
      <c r="AD40" s="22"/>
      <c r="AE40" s="22"/>
      <c r="AF40" s="22">
        <v>3</v>
      </c>
      <c r="AG40" s="6" t="s">
        <v>389</v>
      </c>
      <c r="AH40" s="6">
        <v>9.0815769000000005E-2</v>
      </c>
      <c r="AI40" s="6">
        <v>2.2791616000000001E-2</v>
      </c>
      <c r="AJ40" s="6">
        <v>1371</v>
      </c>
      <c r="AK40" s="6">
        <v>2.5417389999999999E-3</v>
      </c>
      <c r="AL40" s="6">
        <v>2.8284271240000001</v>
      </c>
      <c r="AM40" s="6">
        <v>0.127549526</v>
      </c>
      <c r="AN40" s="6">
        <v>1.9927469E-2</v>
      </c>
      <c r="AO40" s="6">
        <v>1.1070819999999999E-3</v>
      </c>
      <c r="AP40" s="6">
        <v>8.8358299999999996E-4</v>
      </c>
      <c r="AQ40" s="6">
        <v>0.129296149</v>
      </c>
      <c r="AR40" s="6">
        <v>3.1577716999999998E-2</v>
      </c>
      <c r="AS40" s="6">
        <v>8.3333799E-2</v>
      </c>
      <c r="AT40" s="6">
        <v>2.1280561999999999E-2</v>
      </c>
      <c r="AU40" s="6">
        <v>5.7027894000000003E-2</v>
      </c>
      <c r="AV40" s="6">
        <v>1.5378187E-2</v>
      </c>
      <c r="AW40" s="6">
        <v>9.0815769000000005E-2</v>
      </c>
      <c r="AX40" s="6">
        <v>2.2791616000000001E-2</v>
      </c>
      <c r="AY40" s="6">
        <v>6.295900069</v>
      </c>
      <c r="AZ40" s="6">
        <v>0.55895717</v>
      </c>
      <c r="BA40" s="6">
        <v>-9.9488816930000006</v>
      </c>
      <c r="BB40" s="6">
        <v>1.2771601239999999</v>
      </c>
      <c r="BC40" s="6">
        <v>11.781024141</v>
      </c>
      <c r="BD40" s="6">
        <v>1.330232665</v>
      </c>
    </row>
    <row r="41" spans="1:56" ht="16" x14ac:dyDescent="0.2">
      <c r="A41" s="4">
        <v>45831</v>
      </c>
      <c r="B41" s="4"/>
      <c r="C41" s="5" t="s">
        <v>20</v>
      </c>
      <c r="D41" s="5">
        <v>10</v>
      </c>
      <c r="E41" s="5" t="s">
        <v>2</v>
      </c>
      <c r="F41" s="5" t="s">
        <v>3</v>
      </c>
      <c r="G41" s="5">
        <v>0.65</v>
      </c>
      <c r="H41" s="5">
        <v>32.75</v>
      </c>
      <c r="I41" s="22"/>
      <c r="J41" s="22"/>
      <c r="K41" s="22"/>
      <c r="L41" s="22"/>
      <c r="M41" s="22"/>
      <c r="N41" s="22"/>
      <c r="O41" s="22"/>
      <c r="P41" s="22">
        <v>1</v>
      </c>
      <c r="Q41" s="22"/>
      <c r="R41" s="22"/>
      <c r="S41" s="22">
        <v>2</v>
      </c>
      <c r="T41" s="22">
        <v>1</v>
      </c>
      <c r="U41" s="22"/>
      <c r="V41" s="22"/>
      <c r="W41" s="22"/>
      <c r="X41" s="22"/>
      <c r="Y41" s="22"/>
      <c r="Z41" s="22"/>
      <c r="AA41" s="22"/>
      <c r="AB41" s="22"/>
      <c r="AC41" s="22"/>
      <c r="AD41" s="22"/>
      <c r="AE41" s="22"/>
      <c r="AF41" s="22"/>
      <c r="AG41" t="s">
        <v>561</v>
      </c>
      <c r="AH41" s="6">
        <v>7.8451480000000004E-2</v>
      </c>
      <c r="AI41" s="6">
        <v>2.1781785000000001E-2</v>
      </c>
      <c r="AJ41" s="6">
        <v>1135</v>
      </c>
      <c r="AK41" s="6">
        <v>2.2215859999999998E-3</v>
      </c>
      <c r="AL41" s="6">
        <v>5.6568542449999999</v>
      </c>
      <c r="AM41" s="6">
        <v>0.10553388</v>
      </c>
      <c r="AN41" s="6">
        <v>2.1050923999999999E-2</v>
      </c>
      <c r="AO41" s="6">
        <v>1.1694959999999999E-3</v>
      </c>
      <c r="AP41" s="6">
        <v>7.2991699999999996E-4</v>
      </c>
      <c r="AQ41" s="6">
        <v>0.117395846</v>
      </c>
      <c r="AR41" s="6">
        <v>3.1071433999999998E-2</v>
      </c>
      <c r="AS41" s="6">
        <v>6.8863367999999994E-2</v>
      </c>
      <c r="AT41" s="6">
        <v>1.9600825999999998E-2</v>
      </c>
      <c r="AU41" s="6">
        <v>5.0892944000000002E-2</v>
      </c>
      <c r="AV41" s="6">
        <v>1.5422714000000001E-2</v>
      </c>
      <c r="AW41" s="6">
        <v>7.8451480000000004E-2</v>
      </c>
      <c r="AX41" s="6">
        <v>2.1781785000000001E-2</v>
      </c>
      <c r="AY41" s="6">
        <v>7.6257748779999996</v>
      </c>
      <c r="AZ41" s="6">
        <v>0.72482350100000004</v>
      </c>
      <c r="BA41" s="6">
        <v>-9.4645094390000004</v>
      </c>
      <c r="BB41" s="6">
        <v>0.86779209199999996</v>
      </c>
      <c r="BC41" s="6">
        <v>12.158132549999999</v>
      </c>
      <c r="BD41" s="6">
        <v>1.089745926</v>
      </c>
    </row>
    <row r="42" spans="1:56" ht="16" x14ac:dyDescent="0.2">
      <c r="A42" s="4">
        <v>45831</v>
      </c>
      <c r="B42" s="4"/>
      <c r="C42" s="5" t="s">
        <v>20</v>
      </c>
      <c r="D42" s="5">
        <v>12</v>
      </c>
      <c r="E42" s="5" t="s">
        <v>2</v>
      </c>
      <c r="F42" s="5" t="s">
        <v>5</v>
      </c>
      <c r="G42" s="5">
        <v>0.75</v>
      </c>
      <c r="H42" s="5">
        <v>32.950000000000003</v>
      </c>
      <c r="I42" s="22">
        <v>3</v>
      </c>
      <c r="J42" s="22"/>
      <c r="K42" s="22"/>
      <c r="L42" s="22">
        <v>3</v>
      </c>
      <c r="M42" s="22"/>
      <c r="N42" s="22"/>
      <c r="O42" s="22"/>
      <c r="P42" s="22"/>
      <c r="Q42" s="22"/>
      <c r="R42" s="22"/>
      <c r="S42" s="22"/>
      <c r="T42" s="22">
        <v>2</v>
      </c>
      <c r="U42" s="22"/>
      <c r="V42" s="22"/>
      <c r="W42" s="22"/>
      <c r="X42" s="22">
        <v>1</v>
      </c>
      <c r="Y42" s="22"/>
      <c r="Z42" s="22"/>
      <c r="AA42" s="22"/>
      <c r="AB42" s="22"/>
      <c r="AC42" s="22"/>
      <c r="AD42" s="22"/>
      <c r="AE42" s="22"/>
      <c r="AF42" s="22">
        <v>1</v>
      </c>
      <c r="AG42" t="s">
        <v>563</v>
      </c>
      <c r="AH42" s="6">
        <v>7.7726556000000002E-2</v>
      </c>
      <c r="AI42" s="6">
        <v>1.9428879999999999E-2</v>
      </c>
      <c r="AJ42" s="6">
        <v>1329</v>
      </c>
      <c r="AK42" s="6">
        <v>2.159542E-3</v>
      </c>
      <c r="AL42" s="6">
        <v>3.9999999979999998</v>
      </c>
      <c r="AM42" s="6">
        <v>0.121337741</v>
      </c>
      <c r="AN42" s="6">
        <v>1.7797774999999998E-2</v>
      </c>
      <c r="AO42" s="6">
        <v>9.8876499999999996E-4</v>
      </c>
      <c r="AP42" s="6">
        <v>7.2402000000000002E-4</v>
      </c>
      <c r="AQ42" s="6">
        <v>0.11052042300000001</v>
      </c>
      <c r="AR42" s="6">
        <v>2.6546073E-2</v>
      </c>
      <c r="AS42" s="6">
        <v>7.0689170999999995E-2</v>
      </c>
      <c r="AT42" s="6">
        <v>1.8014430000000001E-2</v>
      </c>
      <c r="AU42" s="6">
        <v>5.2390282000000003E-2</v>
      </c>
      <c r="AV42" s="6">
        <v>1.5096055000000001E-2</v>
      </c>
      <c r="AW42" s="6">
        <v>7.7726556000000002E-2</v>
      </c>
      <c r="AX42" s="6">
        <v>1.9428879999999999E-2</v>
      </c>
      <c r="AY42" s="6">
        <v>6.3988089510000004</v>
      </c>
      <c r="AZ42" s="6">
        <v>0.86185858199999998</v>
      </c>
      <c r="BA42" s="6">
        <v>-8.8048618970000003</v>
      </c>
      <c r="BB42" s="6">
        <v>1.5006835679999999</v>
      </c>
      <c r="BC42" s="6">
        <v>10.889878039999999</v>
      </c>
      <c r="BD42" s="6">
        <v>1.6957792119999999</v>
      </c>
    </row>
    <row r="43" spans="1:56" ht="16" x14ac:dyDescent="0.2">
      <c r="A43" s="4">
        <v>45831</v>
      </c>
      <c r="B43" s="4"/>
      <c r="C43" s="5" t="s">
        <v>20</v>
      </c>
      <c r="D43" s="5">
        <v>15</v>
      </c>
      <c r="E43" s="5" t="s">
        <v>2</v>
      </c>
      <c r="F43" s="5" t="s">
        <v>3</v>
      </c>
      <c r="G43" s="5">
        <v>0.55000000000000004</v>
      </c>
      <c r="H43" s="5">
        <v>30.3</v>
      </c>
      <c r="I43" s="22">
        <v>4</v>
      </c>
      <c r="J43" s="22"/>
      <c r="K43" s="22"/>
      <c r="L43" s="22"/>
      <c r="M43" s="22"/>
      <c r="N43" s="22"/>
      <c r="O43" s="22"/>
      <c r="P43" s="22"/>
      <c r="Q43" s="22">
        <v>1</v>
      </c>
      <c r="R43" s="22"/>
      <c r="S43" s="22"/>
      <c r="T43" s="22">
        <v>2</v>
      </c>
      <c r="U43" s="22"/>
      <c r="V43" s="22"/>
      <c r="W43" s="22"/>
      <c r="X43" s="22"/>
      <c r="Y43" s="22"/>
      <c r="Z43" s="22"/>
      <c r="AA43" s="22"/>
      <c r="AB43" s="22"/>
      <c r="AC43" s="22"/>
      <c r="AD43" s="22">
        <v>1</v>
      </c>
      <c r="AE43" s="22"/>
      <c r="AF43" s="22"/>
      <c r="AG43" t="s">
        <v>579</v>
      </c>
      <c r="AH43" s="6">
        <v>6.9283102999999999E-2</v>
      </c>
      <c r="AI43" s="6">
        <v>2.6220404999999999E-2</v>
      </c>
      <c r="AJ43" s="6">
        <v>792</v>
      </c>
      <c r="AK43" s="6">
        <v>2.9743059999999999E-3</v>
      </c>
      <c r="AL43" s="6">
        <v>3.9999999979999998</v>
      </c>
      <c r="AM43" s="6">
        <v>0.12997217999999999</v>
      </c>
      <c r="AN43" s="6">
        <v>2.2884175E-2</v>
      </c>
      <c r="AO43" s="6">
        <v>1.2713430000000001E-3</v>
      </c>
      <c r="AP43" s="6">
        <v>1.077497E-3</v>
      </c>
      <c r="AQ43" s="6">
        <v>0.10623887799999999</v>
      </c>
      <c r="AR43" s="6">
        <v>4.014856E-2</v>
      </c>
      <c r="AS43" s="6">
        <v>6.0033467E-2</v>
      </c>
      <c r="AT43" s="6">
        <v>2.2771005E-2</v>
      </c>
      <c r="AU43" s="6">
        <v>4.2517118E-2</v>
      </c>
      <c r="AV43" s="6">
        <v>1.6827788E-2</v>
      </c>
      <c r="AW43" s="6">
        <v>6.9283102999999999E-2</v>
      </c>
      <c r="AX43" s="6">
        <v>2.6220404999999999E-2</v>
      </c>
      <c r="AY43" s="6">
        <v>8.0406340200000006</v>
      </c>
      <c r="AZ43" s="6">
        <v>1.060455758</v>
      </c>
      <c r="BA43" s="6">
        <v>-10.407794597000001</v>
      </c>
      <c r="BB43" s="6">
        <v>1.136316366</v>
      </c>
      <c r="BC43" s="6">
        <v>13.15780045</v>
      </c>
      <c r="BD43" s="6">
        <v>1.503947699</v>
      </c>
    </row>
    <row r="44" spans="1:56" ht="16" x14ac:dyDescent="0.2">
      <c r="A44" s="4">
        <v>45831</v>
      </c>
      <c r="B44" s="4"/>
      <c r="C44" s="5" t="s">
        <v>20</v>
      </c>
      <c r="D44" s="5">
        <v>17</v>
      </c>
      <c r="E44" s="5" t="s">
        <v>2</v>
      </c>
      <c r="F44" s="5" t="s">
        <v>6</v>
      </c>
      <c r="G44" s="5">
        <v>0.75</v>
      </c>
      <c r="H44" s="5">
        <v>33.4</v>
      </c>
      <c r="I44" s="22">
        <v>4</v>
      </c>
      <c r="J44" s="22"/>
      <c r="K44" s="22"/>
      <c r="L44" s="22"/>
      <c r="M44" s="22"/>
      <c r="N44" s="22">
        <v>1</v>
      </c>
      <c r="O44" s="22"/>
      <c r="P44" s="22"/>
      <c r="Q44" s="22"/>
      <c r="R44" s="22"/>
      <c r="S44" s="22"/>
      <c r="T44" s="22">
        <v>1</v>
      </c>
      <c r="U44" s="22"/>
      <c r="V44" s="22"/>
      <c r="W44" s="22"/>
      <c r="X44" s="22"/>
      <c r="Y44" s="22"/>
      <c r="Z44" s="22"/>
      <c r="AA44" s="22"/>
      <c r="AB44" s="22"/>
      <c r="AC44" s="22"/>
      <c r="AD44" s="22"/>
      <c r="AE44" s="22"/>
      <c r="AF44" s="22">
        <v>1</v>
      </c>
      <c r="AG44" t="s">
        <v>580</v>
      </c>
      <c r="AH44" s="6">
        <v>6.4498137999999997E-2</v>
      </c>
      <c r="AI44" s="6">
        <v>1.8877736999999999E-2</v>
      </c>
      <c r="AJ44" s="6">
        <v>1065</v>
      </c>
      <c r="AK44" s="6">
        <v>2.0585170000000002E-3</v>
      </c>
      <c r="AL44" s="6">
        <v>3.9999999979999998</v>
      </c>
      <c r="AM44" s="6">
        <v>0.119335757</v>
      </c>
      <c r="AN44" s="6">
        <v>1.7249794999999998E-2</v>
      </c>
      <c r="AO44" s="6">
        <v>9.5832199999999995E-4</v>
      </c>
      <c r="AP44" s="6">
        <v>7.5871800000000002E-4</v>
      </c>
      <c r="AQ44" s="6">
        <v>9.7241059000000005E-2</v>
      </c>
      <c r="AR44" s="6">
        <v>2.7936876999999999E-2</v>
      </c>
      <c r="AS44" s="6">
        <v>5.6459073999999998E-2</v>
      </c>
      <c r="AT44" s="6">
        <v>1.6925042000000001E-2</v>
      </c>
      <c r="AU44" s="6">
        <v>4.1845582999999999E-2</v>
      </c>
      <c r="AV44" s="6">
        <v>1.3671358E-2</v>
      </c>
      <c r="AW44" s="6">
        <v>6.4498137999999997E-2</v>
      </c>
      <c r="AX44" s="6">
        <v>1.8877736999999999E-2</v>
      </c>
      <c r="AY44" s="6">
        <v>7.7016879989999998</v>
      </c>
      <c r="AZ44" s="6">
        <v>1.446639072</v>
      </c>
      <c r="BA44" s="6">
        <v>-9.5125460410000002</v>
      </c>
      <c r="BB44" s="6">
        <v>2.1656960519999999</v>
      </c>
      <c r="BC44" s="6">
        <v>12.245059395</v>
      </c>
      <c r="BD44" s="6">
        <v>2.5779693300000002</v>
      </c>
    </row>
    <row r="45" spans="1:56" ht="16" x14ac:dyDescent="0.2">
      <c r="A45" s="4">
        <v>45831</v>
      </c>
      <c r="B45" s="4"/>
      <c r="C45" s="5" t="s">
        <v>20</v>
      </c>
      <c r="D45" s="5">
        <v>18</v>
      </c>
      <c r="E45" s="5" t="s">
        <v>2</v>
      </c>
      <c r="F45" s="5" t="s">
        <v>3</v>
      </c>
      <c r="G45" s="5">
        <v>1.75</v>
      </c>
      <c r="H45" s="5">
        <v>47.6</v>
      </c>
      <c r="I45" s="22">
        <v>4</v>
      </c>
      <c r="J45" s="22"/>
      <c r="K45" s="22"/>
      <c r="L45" s="22">
        <v>1</v>
      </c>
      <c r="M45" s="22"/>
      <c r="N45" s="22"/>
      <c r="O45" s="22"/>
      <c r="P45" s="22"/>
      <c r="Q45" s="22"/>
      <c r="R45" s="22"/>
      <c r="S45" s="22">
        <v>13</v>
      </c>
      <c r="T45" s="22">
        <v>2</v>
      </c>
      <c r="U45" s="22"/>
      <c r="V45" s="22"/>
      <c r="W45" s="22"/>
      <c r="X45" s="22"/>
      <c r="Y45" s="22"/>
      <c r="Z45" s="22"/>
      <c r="AA45" s="22"/>
      <c r="AB45" s="22"/>
      <c r="AC45" s="22"/>
      <c r="AD45" s="22"/>
      <c r="AE45" s="22"/>
      <c r="AF45" s="22"/>
      <c r="AG45" t="s">
        <v>581</v>
      </c>
      <c r="AH45" s="6">
        <v>7.2914524999999994E-2</v>
      </c>
      <c r="AI45" s="6">
        <v>1.0666879000000001E-2</v>
      </c>
      <c r="AJ45" s="6">
        <v>2297</v>
      </c>
      <c r="AK45" s="6">
        <v>1.2070220000000001E-3</v>
      </c>
      <c r="AL45" s="6">
        <v>2</v>
      </c>
      <c r="AM45" s="6">
        <v>0.151315755</v>
      </c>
      <c r="AN45" s="6">
        <v>7.9768430000000008E-3</v>
      </c>
      <c r="AO45" s="6">
        <v>4.4315799999999997E-4</v>
      </c>
      <c r="AP45" s="6">
        <v>4.1508499999999999E-4</v>
      </c>
      <c r="AQ45" s="6">
        <v>0.100330884</v>
      </c>
      <c r="AR45" s="6">
        <v>1.7273285999999999E-2</v>
      </c>
      <c r="AS45" s="6">
        <v>6.8144065000000004E-2</v>
      </c>
      <c r="AT45" s="6">
        <v>9.7261210000000008E-3</v>
      </c>
      <c r="AU45" s="6">
        <v>5.0356208999999999E-2</v>
      </c>
      <c r="AV45" s="6">
        <v>8.5372529999999999E-3</v>
      </c>
      <c r="AW45" s="6">
        <v>7.2914524999999994E-2</v>
      </c>
      <c r="AX45" s="6">
        <v>1.0666879000000001E-2</v>
      </c>
      <c r="AY45" s="6">
        <v>5.3775045390000002</v>
      </c>
      <c r="AZ45" s="6">
        <v>1.2956535549999999</v>
      </c>
      <c r="BA45" s="6">
        <v>-8.0880685549999995</v>
      </c>
      <c r="BB45" s="6">
        <v>2.1879641620000001</v>
      </c>
      <c r="BC45" s="6">
        <v>9.7210810550000009</v>
      </c>
      <c r="BD45" s="6">
        <v>2.5101443630000002</v>
      </c>
    </row>
    <row r="46" spans="1:56" ht="16" x14ac:dyDescent="0.2">
      <c r="A46" s="4">
        <v>45831</v>
      </c>
      <c r="B46" s="4"/>
      <c r="C46" s="5" t="s">
        <v>20</v>
      </c>
      <c r="D46" s="5">
        <v>19</v>
      </c>
      <c r="E46" s="5" t="s">
        <v>2</v>
      </c>
      <c r="F46" s="5" t="s">
        <v>5</v>
      </c>
      <c r="G46" s="5">
        <v>1.35</v>
      </c>
      <c r="H46" s="5">
        <v>37.299999999999997</v>
      </c>
      <c r="I46" s="22"/>
      <c r="J46" s="22"/>
      <c r="K46" s="22"/>
      <c r="L46" s="22">
        <v>2</v>
      </c>
      <c r="M46" s="22"/>
      <c r="N46" s="22"/>
      <c r="O46" s="22"/>
      <c r="P46" s="22"/>
      <c r="Q46" s="22"/>
      <c r="R46" s="22"/>
      <c r="S46" s="22"/>
      <c r="T46" s="22"/>
      <c r="U46" s="22"/>
      <c r="V46" s="22"/>
      <c r="W46" s="22"/>
      <c r="X46" s="22"/>
      <c r="Y46" s="22"/>
      <c r="Z46" s="22"/>
      <c r="AA46" s="22">
        <v>1</v>
      </c>
      <c r="AB46" s="22"/>
      <c r="AC46" s="22"/>
      <c r="AD46" s="22"/>
      <c r="AE46" s="22"/>
      <c r="AF46" s="22">
        <v>1</v>
      </c>
      <c r="AG46" t="s">
        <v>582</v>
      </c>
      <c r="AH46" s="6">
        <v>7.7420085E-2</v>
      </c>
      <c r="AI46" s="6">
        <v>1.3321058E-2</v>
      </c>
      <c r="AJ46" s="6">
        <v>1916</v>
      </c>
      <c r="AK46" s="6">
        <v>1.498203E-3</v>
      </c>
      <c r="AL46" s="6">
        <v>3.9999999979999998</v>
      </c>
      <c r="AM46" s="6">
        <v>0.11580774200000001</v>
      </c>
      <c r="AN46" s="6">
        <v>1.2936982E-2</v>
      </c>
      <c r="AO46" s="6">
        <v>7.1872099999999996E-4</v>
      </c>
      <c r="AP46" s="6">
        <v>4.9668900000000003E-4</v>
      </c>
      <c r="AQ46" s="6">
        <v>0.110772521</v>
      </c>
      <c r="AR46" s="6">
        <v>2.0370142000000001E-2</v>
      </c>
      <c r="AS46" s="6">
        <v>7.0509839000000005E-2</v>
      </c>
      <c r="AT46" s="6">
        <v>1.2160054E-2</v>
      </c>
      <c r="AU46" s="6">
        <v>5.1486751999999997E-2</v>
      </c>
      <c r="AV46" s="6">
        <v>9.6658360000000006E-3</v>
      </c>
      <c r="AW46" s="6">
        <v>7.7420085E-2</v>
      </c>
      <c r="AX46" s="6">
        <v>1.3321058E-2</v>
      </c>
      <c r="AY46" s="6">
        <v>6.3371738610000001</v>
      </c>
      <c r="AZ46" s="6">
        <v>1.182465702</v>
      </c>
      <c r="BA46" s="6">
        <v>-8.8269681220000002</v>
      </c>
      <c r="BB46" s="6">
        <v>1.5336132579999999</v>
      </c>
      <c r="BC46" s="6">
        <v>10.873428562999999</v>
      </c>
      <c r="BD46" s="6">
        <v>1.8957328149999999</v>
      </c>
    </row>
    <row r="47" spans="1:56" ht="16" x14ac:dyDescent="0.2">
      <c r="A47" s="4">
        <v>45831</v>
      </c>
      <c r="B47" s="4"/>
      <c r="C47" s="5" t="s">
        <v>20</v>
      </c>
      <c r="D47" s="5">
        <v>21</v>
      </c>
      <c r="E47" s="5" t="s">
        <v>2</v>
      </c>
      <c r="F47" s="5" t="s">
        <v>5</v>
      </c>
      <c r="G47" s="5">
        <v>0.7</v>
      </c>
      <c r="H47" s="5">
        <v>34.85</v>
      </c>
      <c r="I47" s="22">
        <v>1</v>
      </c>
      <c r="J47" s="22"/>
      <c r="K47" s="22"/>
      <c r="L47" s="22"/>
      <c r="M47" s="22"/>
      <c r="N47" s="22">
        <v>1</v>
      </c>
      <c r="O47" s="22"/>
      <c r="P47" s="22">
        <v>1</v>
      </c>
      <c r="Q47" s="22"/>
      <c r="R47" s="22"/>
      <c r="S47" s="22"/>
      <c r="T47" s="22"/>
      <c r="U47" s="22"/>
      <c r="V47" s="22"/>
      <c r="W47" s="22"/>
      <c r="X47" s="22"/>
      <c r="Y47" s="22"/>
      <c r="Z47" s="22"/>
      <c r="AA47" s="22"/>
      <c r="AB47" s="22"/>
      <c r="AC47" s="22"/>
      <c r="AD47" s="22"/>
      <c r="AE47" s="22"/>
      <c r="AF47" s="22">
        <v>3</v>
      </c>
      <c r="AG47" t="s">
        <v>583</v>
      </c>
      <c r="AH47" s="6">
        <v>7.2883008999999999E-2</v>
      </c>
      <c r="AI47" s="6">
        <v>2.2938527E-2</v>
      </c>
      <c r="AJ47" s="6">
        <v>1079</v>
      </c>
      <c r="AK47" s="6">
        <v>2.612985E-3</v>
      </c>
      <c r="AL47" s="6">
        <v>3.9999999979999998</v>
      </c>
      <c r="AM47" s="6">
        <v>0.128119649</v>
      </c>
      <c r="AN47" s="6">
        <v>2.0394883999999999E-2</v>
      </c>
      <c r="AO47" s="6">
        <v>1.1330489999999999E-3</v>
      </c>
      <c r="AP47" s="6">
        <v>9.2592499999999997E-4</v>
      </c>
      <c r="AQ47" s="6">
        <v>0.104444761</v>
      </c>
      <c r="AR47" s="6">
        <v>3.4798702000000001E-2</v>
      </c>
      <c r="AS47" s="6">
        <v>6.5972251999999995E-2</v>
      </c>
      <c r="AT47" s="6">
        <v>2.0322478000000001E-2</v>
      </c>
      <c r="AU47" s="6">
        <v>4.8301993000000001E-2</v>
      </c>
      <c r="AV47" s="6">
        <v>1.4846019E-2</v>
      </c>
      <c r="AW47" s="6">
        <v>7.2883008999999999E-2</v>
      </c>
      <c r="AX47" s="6">
        <v>2.2938527E-2</v>
      </c>
      <c r="AY47" s="6">
        <v>6.2881113810000002</v>
      </c>
      <c r="AZ47" s="6">
        <v>1.2689529980000001</v>
      </c>
      <c r="BA47" s="6">
        <v>-8.7043212929999996</v>
      </c>
      <c r="BB47" s="6">
        <v>1.2348553019999999</v>
      </c>
      <c r="BC47" s="6">
        <v>10.745687833</v>
      </c>
      <c r="BD47" s="6">
        <v>1.723573104</v>
      </c>
    </row>
    <row r="48" spans="1:56" ht="16" x14ac:dyDescent="0.2">
      <c r="A48" s="4">
        <v>45831</v>
      </c>
      <c r="B48" s="4"/>
      <c r="C48" s="5" t="s">
        <v>20</v>
      </c>
      <c r="D48" s="5">
        <v>22</v>
      </c>
      <c r="E48" s="5" t="s">
        <v>2</v>
      </c>
      <c r="F48" s="5" t="s">
        <v>3</v>
      </c>
      <c r="G48" s="5">
        <v>0.85</v>
      </c>
      <c r="H48" s="5">
        <v>35.85</v>
      </c>
      <c r="I48" s="22">
        <v>2</v>
      </c>
      <c r="J48" s="22"/>
      <c r="K48" s="22"/>
      <c r="L48" s="22"/>
      <c r="M48" s="22"/>
      <c r="N48" s="22"/>
      <c r="O48" s="22"/>
      <c r="P48" s="22"/>
      <c r="Q48" s="22"/>
      <c r="R48" s="22"/>
      <c r="S48" s="22"/>
      <c r="T48" s="22"/>
      <c r="U48" s="22"/>
      <c r="V48" s="22"/>
      <c r="W48" s="22"/>
      <c r="X48" s="22"/>
      <c r="Y48" s="22"/>
      <c r="Z48" s="22"/>
      <c r="AA48" s="22"/>
      <c r="AB48" s="22"/>
      <c r="AC48" s="22"/>
      <c r="AD48" s="22"/>
      <c r="AE48" s="22"/>
      <c r="AF48" s="22"/>
      <c r="AG48" t="s">
        <v>584</v>
      </c>
      <c r="AH48" s="6">
        <v>6.8580498000000004E-2</v>
      </c>
      <c r="AI48" s="6">
        <v>2.3264979000000002E-2</v>
      </c>
      <c r="AJ48" s="6">
        <v>1304</v>
      </c>
      <c r="AK48" s="6">
        <v>2.386647E-3</v>
      </c>
      <c r="AL48" s="6">
        <v>5.6568542449999999</v>
      </c>
      <c r="AM48" s="6">
        <v>0.111104536</v>
      </c>
      <c r="AN48" s="6">
        <v>2.1481097000000001E-2</v>
      </c>
      <c r="AO48" s="6">
        <v>1.193394E-3</v>
      </c>
      <c r="AP48" s="6">
        <v>8.1360799999999995E-4</v>
      </c>
      <c r="AQ48" s="6">
        <v>9.7008557999999995E-2</v>
      </c>
      <c r="AR48" s="6">
        <v>3.3646860000000001E-2</v>
      </c>
      <c r="AS48" s="6">
        <v>6.2235776999999999E-2</v>
      </c>
      <c r="AT48" s="6">
        <v>2.0986775999999999E-2</v>
      </c>
      <c r="AU48" s="6">
        <v>4.8119717999999999E-2</v>
      </c>
      <c r="AV48" s="6">
        <v>1.7136980999999999E-2</v>
      </c>
      <c r="AW48" s="6">
        <v>6.8580498000000004E-2</v>
      </c>
      <c r="AX48" s="6">
        <v>2.3264979000000002E-2</v>
      </c>
      <c r="AY48" s="6">
        <v>6.1767219689999999</v>
      </c>
      <c r="AZ48" s="6">
        <v>1.2602639250000001</v>
      </c>
      <c r="BA48" s="6">
        <v>-7.9412891400000003</v>
      </c>
      <c r="BB48" s="6">
        <v>1.9928575260000001</v>
      </c>
      <c r="BC48" s="6">
        <v>10.069984262</v>
      </c>
      <c r="BD48" s="6">
        <v>2.317538796</v>
      </c>
    </row>
    <row r="49" spans="1:56" ht="16" x14ac:dyDescent="0.2">
      <c r="A49" s="4">
        <v>45833</v>
      </c>
      <c r="B49" s="4"/>
      <c r="C49" s="12" t="s">
        <v>24</v>
      </c>
      <c r="D49" s="5">
        <v>6</v>
      </c>
      <c r="E49" s="5" t="s">
        <v>2</v>
      </c>
      <c r="F49" s="5" t="s">
        <v>3</v>
      </c>
      <c r="G49" s="5">
        <v>0.85</v>
      </c>
      <c r="H49" s="5">
        <v>36.75</v>
      </c>
      <c r="I49" s="22">
        <v>1</v>
      </c>
      <c r="J49" s="22"/>
      <c r="K49" s="22"/>
      <c r="L49" s="22"/>
      <c r="M49" s="22"/>
      <c r="N49" s="22">
        <v>1</v>
      </c>
      <c r="O49" s="22"/>
      <c r="P49" s="22"/>
      <c r="Q49" s="22"/>
      <c r="R49" s="22"/>
      <c r="S49" s="22">
        <v>3</v>
      </c>
      <c r="T49" s="22">
        <v>1</v>
      </c>
      <c r="U49" s="22"/>
      <c r="V49" s="22"/>
      <c r="W49" s="22"/>
      <c r="X49" s="22"/>
      <c r="Y49" s="22"/>
      <c r="Z49" s="22"/>
      <c r="AA49" s="22"/>
      <c r="AB49" s="22"/>
      <c r="AC49" s="22"/>
      <c r="AD49" s="22"/>
      <c r="AE49" s="22"/>
      <c r="AF49" s="22">
        <v>1</v>
      </c>
      <c r="AG49" t="s">
        <v>594</v>
      </c>
      <c r="AH49" s="6">
        <v>6.9586176999999999E-2</v>
      </c>
      <c r="AI49" s="6">
        <v>1.1119347999999999E-2</v>
      </c>
      <c r="AJ49" s="6">
        <v>807</v>
      </c>
      <c r="AK49" s="6">
        <v>1.251701E-3</v>
      </c>
      <c r="AL49" s="6">
        <v>3.9999999979999998</v>
      </c>
      <c r="AM49" s="6">
        <v>0.10597298600000001</v>
      </c>
      <c r="AN49" s="6">
        <v>1.1811507000000001E-2</v>
      </c>
      <c r="AO49" s="6">
        <v>6.5619500000000004E-4</v>
      </c>
      <c r="AP49" s="6">
        <v>4.6480799999999999E-4</v>
      </c>
      <c r="AQ49" s="6">
        <v>9.6311112000000004E-2</v>
      </c>
      <c r="AR49" s="6">
        <v>1.6827937000000001E-2</v>
      </c>
      <c r="AS49" s="6">
        <v>6.3285263999999994E-2</v>
      </c>
      <c r="AT49" s="6">
        <v>9.8767639999999997E-3</v>
      </c>
      <c r="AU49" s="6">
        <v>5.2930787E-2</v>
      </c>
      <c r="AV49" s="6">
        <v>7.3816230000000004E-3</v>
      </c>
      <c r="AW49" s="6">
        <v>6.9586176999999999E-2</v>
      </c>
      <c r="AX49" s="6">
        <v>1.1119347999999999E-2</v>
      </c>
      <c r="AY49" s="6">
        <v>5.8655972040000002</v>
      </c>
      <c r="AZ49" s="6">
        <v>0.70367280399999999</v>
      </c>
      <c r="BA49" s="6">
        <v>-6.2483965829999999</v>
      </c>
      <c r="BB49" s="6">
        <v>0.77351099700000003</v>
      </c>
      <c r="BC49" s="6">
        <v>8.5772526730000003</v>
      </c>
      <c r="BD49" s="6">
        <v>0.985774186</v>
      </c>
    </row>
    <row r="50" spans="1:56" ht="16" x14ac:dyDescent="0.2">
      <c r="A50" s="33">
        <v>45833</v>
      </c>
      <c r="B50" s="33"/>
      <c r="C50" s="35" t="s">
        <v>24</v>
      </c>
      <c r="D50" s="34">
        <v>18</v>
      </c>
      <c r="E50" s="34" t="s">
        <v>2</v>
      </c>
      <c r="F50" s="34" t="s">
        <v>3</v>
      </c>
      <c r="G50" s="34">
        <v>0.8</v>
      </c>
      <c r="H50" s="34">
        <v>36.5</v>
      </c>
      <c r="I50" s="22"/>
      <c r="J50" s="22"/>
      <c r="K50" s="22"/>
      <c r="L50" s="22"/>
      <c r="M50" s="22">
        <v>4</v>
      </c>
      <c r="N50" s="22"/>
      <c r="O50" s="22"/>
      <c r="P50" s="22"/>
      <c r="Q50" s="22"/>
      <c r="R50" s="22"/>
      <c r="S50" s="22"/>
      <c r="T50" s="22"/>
      <c r="U50" s="22"/>
      <c r="V50" s="22"/>
      <c r="W50" s="22">
        <v>2</v>
      </c>
      <c r="X50" s="22"/>
      <c r="Y50" s="22"/>
      <c r="Z50" s="22"/>
      <c r="AA50" s="22"/>
      <c r="AB50" s="22"/>
      <c r="AC50" s="22"/>
      <c r="AD50" s="22"/>
      <c r="AE50" s="22"/>
      <c r="AF50" s="22"/>
      <c r="AG50" s="6" t="s">
        <v>390</v>
      </c>
      <c r="AH50" s="6">
        <v>6.5183173999999997E-2</v>
      </c>
      <c r="AI50" s="6">
        <v>2.1858031999999999E-2</v>
      </c>
      <c r="AJ50" s="6">
        <v>1183</v>
      </c>
      <c r="AK50" s="6">
        <v>2.3660999999999999E-3</v>
      </c>
      <c r="AL50" s="6">
        <v>2.8284271240000001</v>
      </c>
      <c r="AM50" s="6">
        <v>0.13532358999999999</v>
      </c>
      <c r="AN50" s="6">
        <v>1.7484757E-2</v>
      </c>
      <c r="AO50" s="6">
        <v>9.7137500000000002E-4</v>
      </c>
      <c r="AP50" s="6">
        <v>8.2641400000000003E-4</v>
      </c>
      <c r="AQ50" s="6">
        <v>8.9073659999999999E-2</v>
      </c>
      <c r="AR50" s="6">
        <v>3.0119727999999998E-2</v>
      </c>
      <c r="AS50" s="6">
        <v>6.0115909000000002E-2</v>
      </c>
      <c r="AT50" s="6">
        <v>2.0197969999999999E-2</v>
      </c>
      <c r="AU50" s="6">
        <v>4.8502740000000003E-2</v>
      </c>
      <c r="AV50" s="6">
        <v>1.6393890000000001E-2</v>
      </c>
      <c r="AW50" s="6">
        <v>6.5183173999999997E-2</v>
      </c>
      <c r="AX50" s="6">
        <v>2.1858031999999999E-2</v>
      </c>
      <c r="AY50" s="6">
        <v>5.4876183980000004</v>
      </c>
      <c r="AZ50" s="6">
        <v>0.796749182</v>
      </c>
      <c r="BA50" s="6">
        <v>-6.6100784150000003</v>
      </c>
      <c r="BB50" s="6">
        <v>1.2302685010000001</v>
      </c>
      <c r="BC50" s="6">
        <v>8.5954039029999993</v>
      </c>
      <c r="BD50" s="6">
        <v>1.4402887419999999</v>
      </c>
    </row>
    <row r="51" spans="1:56" ht="16" x14ac:dyDescent="0.2">
      <c r="A51" s="4">
        <v>45833</v>
      </c>
      <c r="B51" s="4"/>
      <c r="C51" s="12" t="s">
        <v>24</v>
      </c>
      <c r="D51" s="5">
        <v>22</v>
      </c>
      <c r="E51" s="5" t="s">
        <v>2</v>
      </c>
      <c r="F51" s="5" t="s">
        <v>3</v>
      </c>
      <c r="G51" s="5">
        <v>0.85</v>
      </c>
      <c r="H51" s="5">
        <v>35.4</v>
      </c>
      <c r="I51" s="22"/>
      <c r="J51" s="22"/>
      <c r="K51" s="22"/>
      <c r="L51" s="22"/>
      <c r="M51" s="22"/>
      <c r="N51" s="22">
        <v>2</v>
      </c>
      <c r="O51" s="22"/>
      <c r="P51" s="22">
        <v>2</v>
      </c>
      <c r="Q51" s="22"/>
      <c r="R51" s="22"/>
      <c r="S51" s="22">
        <v>1</v>
      </c>
      <c r="T51" s="22"/>
      <c r="U51" s="22"/>
      <c r="V51" s="22"/>
      <c r="W51" s="22"/>
      <c r="X51" s="22"/>
      <c r="Y51" s="22"/>
      <c r="Z51" s="22"/>
      <c r="AA51" s="22"/>
      <c r="AB51" s="22"/>
      <c r="AC51" s="22"/>
      <c r="AD51" s="22"/>
      <c r="AE51" s="22"/>
      <c r="AF51" s="22">
        <v>1</v>
      </c>
      <c r="AG51" s="6" t="s">
        <v>391</v>
      </c>
      <c r="AH51" s="6">
        <v>8.2405794000000004E-2</v>
      </c>
      <c r="AI51" s="6">
        <v>2.0744779000000001E-2</v>
      </c>
      <c r="AJ51" s="6">
        <v>1176</v>
      </c>
      <c r="AK51" s="6">
        <v>2.327979E-3</v>
      </c>
      <c r="AL51" s="6">
        <v>3.9999999979999998</v>
      </c>
      <c r="AM51" s="6">
        <v>0.12557929000000001</v>
      </c>
      <c r="AN51" s="6">
        <v>1.8537921999999998E-2</v>
      </c>
      <c r="AO51" s="6">
        <v>1.0298849999999999E-3</v>
      </c>
      <c r="AP51" s="6">
        <v>8.9477199999999995E-4</v>
      </c>
      <c r="AQ51" s="6">
        <v>0.121482304</v>
      </c>
      <c r="AR51" s="6">
        <v>3.0896483999999998E-2</v>
      </c>
      <c r="AS51" s="6">
        <v>7.4348874999999995E-2</v>
      </c>
      <c r="AT51" s="6">
        <v>1.8837572E-2</v>
      </c>
      <c r="AU51" s="6">
        <v>4.9105771999999999E-2</v>
      </c>
      <c r="AV51" s="6">
        <v>1.2522144000000001E-2</v>
      </c>
      <c r="AW51" s="6">
        <v>8.2405794000000004E-2</v>
      </c>
      <c r="AX51" s="6">
        <v>2.0744779000000001E-2</v>
      </c>
      <c r="AY51" s="6">
        <v>6.9272064689999997</v>
      </c>
      <c r="AZ51" s="6">
        <v>0.92641247500000001</v>
      </c>
      <c r="BA51" s="6">
        <v>-10.78908511</v>
      </c>
      <c r="BB51" s="6">
        <v>0.90888911400000005</v>
      </c>
      <c r="BC51" s="6">
        <v>12.827302506000001</v>
      </c>
      <c r="BD51" s="6">
        <v>1.2389713659999999</v>
      </c>
    </row>
    <row r="52" spans="1:56" ht="16" x14ac:dyDescent="0.2">
      <c r="A52" s="4">
        <v>45833</v>
      </c>
      <c r="B52" s="4"/>
      <c r="C52" s="12" t="s">
        <v>24</v>
      </c>
      <c r="D52" s="5">
        <v>23</v>
      </c>
      <c r="E52" s="5" t="s">
        <v>2</v>
      </c>
      <c r="F52" s="5" t="s">
        <v>5</v>
      </c>
      <c r="G52" s="5">
        <v>1.3</v>
      </c>
      <c r="H52" s="5">
        <v>41.95</v>
      </c>
      <c r="I52" s="22"/>
      <c r="J52" s="22"/>
      <c r="K52" s="22"/>
      <c r="L52" s="22"/>
      <c r="M52" s="22"/>
      <c r="N52" s="22">
        <v>3</v>
      </c>
      <c r="O52" s="22"/>
      <c r="P52" s="22"/>
      <c r="Q52" s="22"/>
      <c r="R52" s="22"/>
      <c r="S52" s="22"/>
      <c r="T52" s="22"/>
      <c r="U52" s="22"/>
      <c r="V52" s="22"/>
      <c r="W52" s="22"/>
      <c r="X52" s="22"/>
      <c r="Y52" s="22"/>
      <c r="Z52" s="22"/>
      <c r="AA52" s="22"/>
      <c r="AB52" s="22"/>
      <c r="AC52" s="22"/>
      <c r="AD52" s="22"/>
      <c r="AE52" s="22"/>
      <c r="AF52" s="22"/>
      <c r="AG52" t="s">
        <v>621</v>
      </c>
      <c r="AH52" s="6">
        <v>8.4236439999999996E-2</v>
      </c>
      <c r="AI52" s="6">
        <v>1.4602412E-2</v>
      </c>
      <c r="AJ52" s="6">
        <v>1643</v>
      </c>
      <c r="AK52" s="6">
        <v>1.710516E-3</v>
      </c>
      <c r="AL52" s="6">
        <v>5.6568542449999999</v>
      </c>
      <c r="AM52" s="6">
        <v>0.127032014</v>
      </c>
      <c r="AN52" s="6">
        <v>1.3465237999999999E-2</v>
      </c>
      <c r="AO52" s="6">
        <v>7.4806899999999997E-4</v>
      </c>
      <c r="AP52" s="6">
        <v>6.1823200000000003E-4</v>
      </c>
      <c r="AQ52" s="6">
        <v>0.12935832899999999</v>
      </c>
      <c r="AR52" s="6">
        <v>2.6639096000000001E-2</v>
      </c>
      <c r="AS52" s="6">
        <v>7.3604454999999999E-2</v>
      </c>
      <c r="AT52" s="6">
        <v>1.3105519E-2</v>
      </c>
      <c r="AU52" s="6">
        <v>5.0253520000000003E-2</v>
      </c>
      <c r="AV52" s="6">
        <v>1.0911766999999999E-2</v>
      </c>
      <c r="AW52" s="6">
        <v>8.4236439999999996E-2</v>
      </c>
      <c r="AX52" s="6">
        <v>1.4602412E-2</v>
      </c>
      <c r="AY52" s="6">
        <v>7.9235467670000004</v>
      </c>
      <c r="AZ52" s="6">
        <v>2.1420442940000002</v>
      </c>
      <c r="BA52" s="6">
        <v>-10.946215516000001</v>
      </c>
      <c r="BB52" s="6">
        <v>2.6963251939999999</v>
      </c>
      <c r="BC52" s="6">
        <v>13.516007519</v>
      </c>
      <c r="BD52" s="6">
        <v>3.4319443970000001</v>
      </c>
    </row>
    <row r="53" spans="1:56" ht="16" x14ac:dyDescent="0.2">
      <c r="A53" s="4">
        <v>45838</v>
      </c>
      <c r="B53" s="4"/>
      <c r="C53" s="5" t="s">
        <v>269</v>
      </c>
      <c r="D53" s="5">
        <v>5</v>
      </c>
      <c r="E53" s="5" t="s">
        <v>2</v>
      </c>
      <c r="F53" s="5" t="s">
        <v>3</v>
      </c>
      <c r="G53" s="5">
        <v>0.7</v>
      </c>
      <c r="H53" s="5">
        <v>37.4</v>
      </c>
      <c r="I53" s="22"/>
      <c r="J53" s="22"/>
      <c r="K53" s="22"/>
      <c r="L53" s="22">
        <v>1</v>
      </c>
      <c r="M53" s="22"/>
      <c r="N53" s="22"/>
      <c r="O53" s="22"/>
      <c r="P53" s="22"/>
      <c r="Q53" s="22"/>
      <c r="R53" s="22"/>
      <c r="S53" s="22"/>
      <c r="T53" s="22"/>
      <c r="U53" s="22"/>
      <c r="V53" s="22"/>
      <c r="W53" s="22"/>
      <c r="X53" s="22"/>
      <c r="Y53" s="22"/>
      <c r="Z53" s="22"/>
      <c r="AA53" s="22"/>
      <c r="AB53" s="22"/>
      <c r="AC53" s="22"/>
      <c r="AD53" s="22"/>
      <c r="AE53" s="22"/>
      <c r="AF53" s="22"/>
      <c r="AG53" t="s">
        <v>623</v>
      </c>
      <c r="AH53" s="6">
        <v>8.6752610999999993E-2</v>
      </c>
      <c r="AI53" s="6">
        <v>1.7570374E-2</v>
      </c>
      <c r="AJ53" s="6">
        <v>869</v>
      </c>
      <c r="AK53" s="6">
        <v>1.8538649999999999E-3</v>
      </c>
      <c r="AL53" s="6">
        <v>2.8284271240000001</v>
      </c>
      <c r="AM53" s="6">
        <v>0.112660788</v>
      </c>
      <c r="AN53" s="6">
        <v>1.6455280999999999E-2</v>
      </c>
      <c r="AO53" s="6">
        <v>9.1418200000000004E-4</v>
      </c>
      <c r="AP53" s="6">
        <v>6.7570800000000002E-4</v>
      </c>
      <c r="AQ53" s="6">
        <v>0.13414517300000001</v>
      </c>
      <c r="AR53" s="6">
        <v>2.7815805999999998E-2</v>
      </c>
      <c r="AS53" s="6">
        <v>7.4947478999999997E-2</v>
      </c>
      <c r="AT53" s="6">
        <v>1.5132299E-2</v>
      </c>
      <c r="AU53" s="6">
        <v>5.3049534000000002E-2</v>
      </c>
      <c r="AV53" s="6">
        <v>1.0870657000000001E-2</v>
      </c>
      <c r="AW53" s="6">
        <v>8.6752610999999993E-2</v>
      </c>
      <c r="AX53" s="6">
        <v>1.7570374E-2</v>
      </c>
      <c r="AY53" s="6">
        <v>8.2241953060000004</v>
      </c>
      <c r="AZ53" s="6">
        <v>0.49476177199999999</v>
      </c>
      <c r="BA53" s="6">
        <v>-10.402137078000001</v>
      </c>
      <c r="BB53" s="6">
        <v>1.2583677120000001</v>
      </c>
      <c r="BC53" s="6">
        <v>13.268438873999999</v>
      </c>
      <c r="BD53" s="6">
        <v>1.2721678460000001</v>
      </c>
    </row>
    <row r="54" spans="1:56" ht="16" x14ac:dyDescent="0.2">
      <c r="A54" s="4">
        <v>45838</v>
      </c>
      <c r="B54" s="4"/>
      <c r="C54" s="5" t="s">
        <v>269</v>
      </c>
      <c r="D54" s="5">
        <v>12</v>
      </c>
      <c r="E54" s="5" t="s">
        <v>2</v>
      </c>
      <c r="F54" s="5" t="s">
        <v>3</v>
      </c>
      <c r="G54" s="5">
        <v>0.8</v>
      </c>
      <c r="H54" s="5">
        <v>36.049999999999997</v>
      </c>
      <c r="I54" s="22">
        <v>2</v>
      </c>
      <c r="J54" s="22"/>
      <c r="K54" s="22"/>
      <c r="L54" s="22">
        <v>2</v>
      </c>
      <c r="M54" s="22"/>
      <c r="N54" s="22"/>
      <c r="O54" s="22"/>
      <c r="P54" s="22"/>
      <c r="Q54" s="22"/>
      <c r="R54" s="22"/>
      <c r="S54" s="22">
        <v>1</v>
      </c>
      <c r="T54" s="22"/>
      <c r="U54" s="22"/>
      <c r="V54" s="22"/>
      <c r="W54" s="22"/>
      <c r="X54" s="22"/>
      <c r="Y54" s="22"/>
      <c r="Z54" s="22"/>
      <c r="AA54" s="22"/>
      <c r="AB54" s="22"/>
      <c r="AC54" s="22"/>
      <c r="AD54" s="22"/>
      <c r="AE54" s="22"/>
      <c r="AF54" s="22"/>
      <c r="AG54" t="s">
        <v>625</v>
      </c>
      <c r="AH54" s="6">
        <v>8.8516004999999995E-2</v>
      </c>
      <c r="AI54" s="6">
        <v>2.0777480000000001E-2</v>
      </c>
      <c r="AJ54" s="6">
        <v>1439</v>
      </c>
      <c r="AK54" s="6">
        <v>2.3804939999999999E-3</v>
      </c>
      <c r="AL54" s="6">
        <v>5.6568542449999999</v>
      </c>
      <c r="AM54" s="6">
        <v>0.12405095300000001</v>
      </c>
      <c r="AN54" s="6">
        <v>1.9189647000000001E-2</v>
      </c>
      <c r="AO54" s="6">
        <v>1.0660909999999999E-3</v>
      </c>
      <c r="AP54" s="6">
        <v>8.5069099999999999E-4</v>
      </c>
      <c r="AQ54" s="6">
        <v>0.13602798799999999</v>
      </c>
      <c r="AR54" s="6">
        <v>3.0666104E-2</v>
      </c>
      <c r="AS54" s="6">
        <v>7.7358590000000005E-2</v>
      </c>
      <c r="AT54" s="6">
        <v>1.8749984000000001E-2</v>
      </c>
      <c r="AU54" s="6">
        <v>5.1579433000000001E-2</v>
      </c>
      <c r="AV54" s="6">
        <v>1.5097292999999999E-2</v>
      </c>
      <c r="AW54" s="6">
        <v>8.8516004999999995E-2</v>
      </c>
      <c r="AX54" s="6">
        <v>2.0777480000000001E-2</v>
      </c>
      <c r="AY54" s="6">
        <v>8.0210801319999998</v>
      </c>
      <c r="AZ54" s="6">
        <v>1.143018968</v>
      </c>
      <c r="BA54" s="6">
        <v>-11.50297436</v>
      </c>
      <c r="BB54" s="6">
        <v>2.0984673250000001</v>
      </c>
      <c r="BC54" s="6">
        <v>14.028793688</v>
      </c>
      <c r="BD54" s="6">
        <v>2.3577629089999999</v>
      </c>
    </row>
    <row r="55" spans="1:56" ht="16" x14ac:dyDescent="0.2">
      <c r="A55" s="4">
        <v>45838</v>
      </c>
      <c r="B55" s="4"/>
      <c r="C55" s="5" t="s">
        <v>269</v>
      </c>
      <c r="D55" s="5">
        <v>16</v>
      </c>
      <c r="E55" s="5" t="s">
        <v>2</v>
      </c>
      <c r="F55" s="5" t="s">
        <v>5</v>
      </c>
      <c r="G55" s="5">
        <v>0.65</v>
      </c>
      <c r="H55" s="5">
        <v>35.85</v>
      </c>
      <c r="I55" s="22">
        <v>3</v>
      </c>
      <c r="J55" s="22"/>
      <c r="K55" s="22"/>
      <c r="L55" s="22">
        <v>1</v>
      </c>
      <c r="M55" s="22"/>
      <c r="N55" s="22"/>
      <c r="O55" s="22"/>
      <c r="P55" s="22"/>
      <c r="Q55" s="22"/>
      <c r="R55" s="22"/>
      <c r="S55" s="22">
        <v>3</v>
      </c>
      <c r="T55" s="22"/>
      <c r="U55" s="22"/>
      <c r="V55" s="22"/>
      <c r="W55" s="22"/>
      <c r="X55" s="22"/>
      <c r="Y55" s="22"/>
      <c r="Z55" s="22"/>
      <c r="AA55" s="22"/>
      <c r="AB55" s="22"/>
      <c r="AC55" s="22"/>
      <c r="AD55" s="22"/>
      <c r="AE55" s="22"/>
      <c r="AF55" s="22"/>
      <c r="AG55" t="s">
        <v>626</v>
      </c>
      <c r="AH55" s="6">
        <v>9.1733574999999998E-2</v>
      </c>
      <c r="AI55" s="6">
        <v>1.8991224000000001E-2</v>
      </c>
      <c r="AJ55" s="6">
        <v>1468</v>
      </c>
      <c r="AK55" s="6">
        <v>2.1480269999999998E-3</v>
      </c>
      <c r="AL55" s="6">
        <v>5.6568542449999999</v>
      </c>
      <c r="AM55" s="6">
        <v>0.123453143</v>
      </c>
      <c r="AN55" s="6">
        <v>1.7399532999999998E-2</v>
      </c>
      <c r="AO55" s="6">
        <v>9.6664099999999996E-4</v>
      </c>
      <c r="AP55" s="6">
        <v>7.6010800000000001E-4</v>
      </c>
      <c r="AQ55" s="6">
        <v>0.14588859600000001</v>
      </c>
      <c r="AR55" s="6">
        <v>2.9438692999999998E-2</v>
      </c>
      <c r="AS55" s="6">
        <v>7.7791161999999997E-2</v>
      </c>
      <c r="AT55" s="6">
        <v>1.6589374E-2</v>
      </c>
      <c r="AU55" s="6">
        <v>5.3461882000000002E-2</v>
      </c>
      <c r="AV55" s="6">
        <v>1.2339848E-2</v>
      </c>
      <c r="AW55" s="6">
        <v>9.1733574999999998E-2</v>
      </c>
      <c r="AX55" s="6">
        <v>1.8991224000000001E-2</v>
      </c>
      <c r="AY55" s="6">
        <v>8.9037076549999998</v>
      </c>
      <c r="AZ55" s="6">
        <v>1.0161198199999999</v>
      </c>
      <c r="BA55" s="6">
        <v>-11.350801494000001</v>
      </c>
      <c r="BB55" s="6">
        <v>0.81340519099999997</v>
      </c>
      <c r="BC55" s="6">
        <v>14.434569821</v>
      </c>
      <c r="BD55" s="6">
        <v>1.2057620090000001</v>
      </c>
    </row>
    <row r="56" spans="1:56" ht="16" x14ac:dyDescent="0.2">
      <c r="A56" s="4">
        <v>45838</v>
      </c>
      <c r="B56" s="4"/>
      <c r="C56" s="5" t="s">
        <v>269</v>
      </c>
      <c r="D56" s="5">
        <v>19</v>
      </c>
      <c r="E56" s="5" t="s">
        <v>2</v>
      </c>
      <c r="F56" s="5" t="s">
        <v>5</v>
      </c>
      <c r="G56" s="5">
        <v>0.75</v>
      </c>
      <c r="H56" s="5">
        <v>35.450000000000003</v>
      </c>
      <c r="I56" s="22">
        <v>1</v>
      </c>
      <c r="J56" s="22"/>
      <c r="K56" s="22"/>
      <c r="L56" s="22"/>
      <c r="M56" s="22"/>
      <c r="N56" s="22">
        <v>2</v>
      </c>
      <c r="O56" s="22"/>
      <c r="P56" s="22"/>
      <c r="Q56" s="22"/>
      <c r="R56" s="22"/>
      <c r="S56" s="22">
        <v>1</v>
      </c>
      <c r="T56" s="22"/>
      <c r="U56" s="22"/>
      <c r="V56" s="22"/>
      <c r="W56" s="22"/>
      <c r="X56" s="22"/>
      <c r="Y56" s="22"/>
      <c r="Z56" s="22"/>
      <c r="AA56" s="22"/>
      <c r="AB56" s="22"/>
      <c r="AC56" s="22"/>
      <c r="AD56" s="22"/>
      <c r="AE56" s="22"/>
      <c r="AF56" s="22">
        <v>1</v>
      </c>
      <c r="AG56" s="6" t="s">
        <v>392</v>
      </c>
      <c r="AH56" s="6">
        <v>0.10141987099999999</v>
      </c>
      <c r="AI56" s="6">
        <v>2.6150005E-2</v>
      </c>
      <c r="AJ56" s="6">
        <v>1350</v>
      </c>
      <c r="AK56" s="6">
        <v>3.0438209999999999E-3</v>
      </c>
      <c r="AL56" s="6">
        <v>3.9999999979999998</v>
      </c>
      <c r="AM56" s="6">
        <v>0.128975642</v>
      </c>
      <c r="AN56" s="6">
        <v>2.3599971000000001E-2</v>
      </c>
      <c r="AO56" s="6">
        <v>1.311109E-3</v>
      </c>
      <c r="AP56" s="6">
        <v>1.0455849999999999E-3</v>
      </c>
      <c r="AQ56" s="6">
        <v>0.150310791</v>
      </c>
      <c r="AR56" s="6">
        <v>3.9114509999999998E-2</v>
      </c>
      <c r="AS56" s="6">
        <v>9.0117083000000001E-2</v>
      </c>
      <c r="AT56" s="6">
        <v>2.3421113E-2</v>
      </c>
      <c r="AU56" s="6">
        <v>6.3108910000000004E-2</v>
      </c>
      <c r="AV56" s="6">
        <v>1.7237025E-2</v>
      </c>
      <c r="AW56" s="6">
        <v>0.10141987099999999</v>
      </c>
      <c r="AX56" s="6">
        <v>2.6150005E-2</v>
      </c>
      <c r="AY56" s="6">
        <v>7.2416595890000002</v>
      </c>
      <c r="AZ56" s="6">
        <v>1.104954427</v>
      </c>
      <c r="BA56" s="6">
        <v>-10.072296952</v>
      </c>
      <c r="BB56" s="6">
        <v>1.1847251089999999</v>
      </c>
      <c r="BC56" s="6">
        <v>12.412048433000001</v>
      </c>
      <c r="BD56" s="6">
        <v>1.5678737069999999</v>
      </c>
    </row>
    <row r="57" spans="1:56" ht="16" x14ac:dyDescent="0.2">
      <c r="A57" s="4">
        <v>45838</v>
      </c>
      <c r="B57" s="4"/>
      <c r="C57" s="5" t="s">
        <v>269</v>
      </c>
      <c r="D57" s="5">
        <v>21</v>
      </c>
      <c r="E57" s="5" t="s">
        <v>2</v>
      </c>
      <c r="F57" s="5" t="s">
        <v>3</v>
      </c>
      <c r="G57" s="5">
        <v>0.5</v>
      </c>
      <c r="H57" s="5">
        <v>33.6</v>
      </c>
      <c r="I57" s="22"/>
      <c r="J57" s="22"/>
      <c r="K57" s="22"/>
      <c r="L57" s="22"/>
      <c r="M57" s="22"/>
      <c r="N57" s="22"/>
      <c r="O57" s="22"/>
      <c r="P57" s="22"/>
      <c r="Q57" s="22"/>
      <c r="R57" s="22"/>
      <c r="S57" s="22">
        <v>5</v>
      </c>
      <c r="T57" s="22"/>
      <c r="U57" s="22"/>
      <c r="V57" s="22"/>
      <c r="W57" s="22"/>
      <c r="X57" s="22"/>
      <c r="Y57" s="22"/>
      <c r="Z57" s="22"/>
      <c r="AA57" s="22"/>
      <c r="AB57" s="22"/>
      <c r="AC57" s="22"/>
      <c r="AD57" s="22"/>
      <c r="AE57" s="22"/>
      <c r="AF57" s="22"/>
      <c r="AG57" t="s">
        <v>627</v>
      </c>
      <c r="AH57" s="6">
        <v>7.6174122999999996E-2</v>
      </c>
      <c r="AI57" s="6">
        <v>1.5049023E-2</v>
      </c>
      <c r="AJ57" s="6">
        <v>897</v>
      </c>
      <c r="AK57" s="6">
        <v>1.7185130000000001E-3</v>
      </c>
      <c r="AL57" s="6">
        <v>3.9999999979999998</v>
      </c>
      <c r="AM57" s="6">
        <v>0.130432141</v>
      </c>
      <c r="AN57" s="6">
        <v>1.3175531000000001E-2</v>
      </c>
      <c r="AO57" s="6">
        <v>7.3197400000000004E-4</v>
      </c>
      <c r="AP57" s="6">
        <v>6.6553300000000005E-4</v>
      </c>
      <c r="AQ57" s="6">
        <v>0.11849325300000001</v>
      </c>
      <c r="AR57" s="6">
        <v>2.4347379999999998E-2</v>
      </c>
      <c r="AS57" s="6">
        <v>6.6470317000000001E-2</v>
      </c>
      <c r="AT57" s="6">
        <v>1.2998511000000001E-2</v>
      </c>
      <c r="AU57" s="6">
        <v>4.2537378000000001E-2</v>
      </c>
      <c r="AV57" s="6">
        <v>8.4036289999999993E-3</v>
      </c>
      <c r="AW57" s="6">
        <v>7.6174122999999996E-2</v>
      </c>
      <c r="AX57" s="6">
        <v>1.5049023E-2</v>
      </c>
      <c r="AY57" s="6">
        <v>8.1449461640000003</v>
      </c>
      <c r="AZ57" s="6">
        <v>0.77499913499999995</v>
      </c>
      <c r="BA57" s="6">
        <v>-11.979359678</v>
      </c>
      <c r="BB57" s="6">
        <v>0.66246176000000001</v>
      </c>
      <c r="BC57" s="6">
        <v>14.499677603</v>
      </c>
      <c r="BD57" s="6">
        <v>0.80224262400000002</v>
      </c>
    </row>
    <row r="58" spans="1:56" ht="16" x14ac:dyDescent="0.2">
      <c r="A58" s="4">
        <v>45838</v>
      </c>
      <c r="B58" s="4"/>
      <c r="C58" s="5" t="s">
        <v>269</v>
      </c>
      <c r="D58" s="5">
        <v>22</v>
      </c>
      <c r="E58" s="5" t="s">
        <v>2</v>
      </c>
      <c r="F58" s="5" t="s">
        <v>5</v>
      </c>
      <c r="G58" s="5">
        <v>0.95</v>
      </c>
      <c r="H58" s="5">
        <v>39.799999999999997</v>
      </c>
      <c r="I58" s="22">
        <v>3</v>
      </c>
      <c r="J58" s="22"/>
      <c r="K58" s="22"/>
      <c r="L58" s="22"/>
      <c r="M58" s="22">
        <v>1</v>
      </c>
      <c r="N58" s="22">
        <v>1</v>
      </c>
      <c r="O58" s="22"/>
      <c r="P58" s="22"/>
      <c r="Q58" s="22"/>
      <c r="R58" s="22"/>
      <c r="S58" s="22"/>
      <c r="T58" s="22"/>
      <c r="U58" s="22"/>
      <c r="V58" s="22"/>
      <c r="W58" s="22"/>
      <c r="X58" s="22"/>
      <c r="Y58" s="22"/>
      <c r="Z58" s="22"/>
      <c r="AA58" s="22"/>
      <c r="AB58" s="22"/>
      <c r="AC58" s="22"/>
      <c r="AD58" s="22"/>
      <c r="AE58" s="22"/>
      <c r="AF58" s="22">
        <v>1</v>
      </c>
      <c r="AG58" s="6" t="s">
        <v>393</v>
      </c>
      <c r="AH58" s="6">
        <v>8.4605521000000003E-2</v>
      </c>
      <c r="AI58" s="6">
        <v>1.7271853E-2</v>
      </c>
      <c r="AJ58" s="6">
        <v>1684</v>
      </c>
      <c r="AK58" s="6">
        <v>1.7579150000000001E-3</v>
      </c>
      <c r="AL58" s="6">
        <v>2.8284271240000001</v>
      </c>
      <c r="AM58" s="6">
        <v>0.113111954</v>
      </c>
      <c r="AN58" s="6">
        <v>1.5541371999999999E-2</v>
      </c>
      <c r="AO58" s="6">
        <v>8.6341E-4</v>
      </c>
      <c r="AP58" s="6">
        <v>6.8062199999999998E-4</v>
      </c>
      <c r="AQ58" s="6">
        <v>0.119733511</v>
      </c>
      <c r="AR58" s="6">
        <v>2.4378548E-2</v>
      </c>
      <c r="AS58" s="6">
        <v>7.7225022000000004E-2</v>
      </c>
      <c r="AT58" s="6">
        <v>1.6135215000000001E-2</v>
      </c>
      <c r="AU58" s="6">
        <v>5.6993804000000002E-2</v>
      </c>
      <c r="AV58" s="6">
        <v>1.3380453E-2</v>
      </c>
      <c r="AW58" s="6">
        <v>8.4605521000000003E-2</v>
      </c>
      <c r="AX58" s="6">
        <v>1.7271853E-2</v>
      </c>
      <c r="AY58" s="6">
        <v>6.1905051049999997</v>
      </c>
      <c r="AZ58" s="6">
        <v>1.124541177</v>
      </c>
      <c r="BA58" s="6">
        <v>-8.5903132719999995</v>
      </c>
      <c r="BB58" s="6">
        <v>1.939816548</v>
      </c>
      <c r="BC58" s="6">
        <v>10.592140432000001</v>
      </c>
      <c r="BD58" s="6">
        <v>2.2248216379999999</v>
      </c>
    </row>
    <row r="59" spans="1:56" ht="16" x14ac:dyDescent="0.2">
      <c r="A59" s="4">
        <v>45838</v>
      </c>
      <c r="B59" s="4"/>
      <c r="C59" s="5" t="s">
        <v>269</v>
      </c>
      <c r="D59" s="5">
        <v>24</v>
      </c>
      <c r="E59" s="5" t="s">
        <v>2</v>
      </c>
      <c r="F59" s="5" t="s">
        <v>3</v>
      </c>
      <c r="G59" s="5">
        <v>0.5</v>
      </c>
      <c r="H59" s="5">
        <v>31.95</v>
      </c>
      <c r="I59" s="22">
        <v>1</v>
      </c>
      <c r="J59" s="22"/>
      <c r="K59" s="22"/>
      <c r="L59" s="22">
        <v>1</v>
      </c>
      <c r="M59" s="22"/>
      <c r="N59" s="22"/>
      <c r="O59" s="22"/>
      <c r="P59" s="22"/>
      <c r="Q59" s="22"/>
      <c r="R59" s="22"/>
      <c r="S59" s="22"/>
      <c r="T59" s="22"/>
      <c r="U59" s="22"/>
      <c r="V59" s="22"/>
      <c r="W59" s="22"/>
      <c r="X59" s="22"/>
      <c r="Y59" s="22"/>
      <c r="Z59" s="22"/>
      <c r="AA59" s="22"/>
      <c r="AB59" s="22"/>
      <c r="AC59" s="22"/>
      <c r="AD59" s="22"/>
      <c r="AE59" s="22"/>
      <c r="AF59" s="22">
        <v>1</v>
      </c>
      <c r="AG59" t="s">
        <v>628</v>
      </c>
      <c r="AH59" s="6">
        <v>6.5990028000000006E-2</v>
      </c>
      <c r="AI59" s="6">
        <v>2.9257484E-2</v>
      </c>
      <c r="AJ59" s="6">
        <v>870</v>
      </c>
      <c r="AK59" s="6">
        <v>3.1088510000000001E-3</v>
      </c>
      <c r="AL59" s="6">
        <v>3.9999999979999998</v>
      </c>
      <c r="AM59" s="6">
        <v>0.118824469</v>
      </c>
      <c r="AN59" s="6">
        <v>2.6163387999999999E-2</v>
      </c>
      <c r="AO59" s="6">
        <v>1.4535220000000001E-3</v>
      </c>
      <c r="AP59" s="6">
        <v>1.0949270000000001E-3</v>
      </c>
      <c r="AQ59" s="6">
        <v>9.9491871999999995E-2</v>
      </c>
      <c r="AR59" s="6">
        <v>4.3697529999999998E-2</v>
      </c>
      <c r="AS59" s="6">
        <v>5.9513871000000003E-2</v>
      </c>
      <c r="AT59" s="6">
        <v>2.6688328000000001E-2</v>
      </c>
      <c r="AU59" s="6">
        <v>3.5246707000000002E-2</v>
      </c>
      <c r="AV59" s="6">
        <v>1.5554465999999999E-2</v>
      </c>
      <c r="AW59" s="6">
        <v>6.5990028000000006E-2</v>
      </c>
      <c r="AX59" s="6">
        <v>2.9257484E-2</v>
      </c>
      <c r="AY59" s="6">
        <v>7.3823869110000002</v>
      </c>
      <c r="AZ59" s="6">
        <v>0.53266967799999998</v>
      </c>
      <c r="BA59" s="6">
        <v>-12.845104597000001</v>
      </c>
      <c r="BB59" s="6">
        <v>0.86600501799999996</v>
      </c>
      <c r="BC59" s="6">
        <v>14.81956722</v>
      </c>
      <c r="BD59" s="6">
        <v>0.95411590000000002</v>
      </c>
    </row>
    <row r="60" spans="1:56" ht="16" x14ac:dyDescent="0.2">
      <c r="A60" s="4">
        <v>45839</v>
      </c>
      <c r="B60" s="4"/>
      <c r="C60" s="5" t="s">
        <v>46</v>
      </c>
      <c r="D60" s="5">
        <v>1</v>
      </c>
      <c r="E60" s="5" t="s">
        <v>2</v>
      </c>
      <c r="F60" s="5" t="s">
        <v>3</v>
      </c>
      <c r="G60" s="5">
        <v>1.1499999999999999</v>
      </c>
      <c r="H60" s="5">
        <v>38.15</v>
      </c>
      <c r="I60" s="22">
        <v>2</v>
      </c>
      <c r="J60" s="22"/>
      <c r="K60" s="22"/>
      <c r="L60" s="22">
        <v>3</v>
      </c>
      <c r="M60" s="22"/>
      <c r="N60" s="22"/>
      <c r="O60" s="22"/>
      <c r="P60" s="22"/>
      <c r="Q60" s="22"/>
      <c r="R60" s="22"/>
      <c r="S60" s="22">
        <v>8</v>
      </c>
      <c r="T60" s="22"/>
      <c r="U60" s="22"/>
      <c r="V60" s="22"/>
      <c r="W60" s="22"/>
      <c r="X60" s="22"/>
      <c r="Y60" s="22"/>
      <c r="Z60" s="22"/>
      <c r="AA60" s="22"/>
      <c r="AB60" s="22"/>
      <c r="AC60" s="22"/>
      <c r="AD60" s="22"/>
      <c r="AE60" s="22"/>
      <c r="AF60" s="22"/>
      <c r="AG60" s="6" t="s">
        <v>394</v>
      </c>
      <c r="AH60" s="6">
        <v>9.3794591999999996E-2</v>
      </c>
      <c r="AI60" s="6">
        <v>1.2340062000000001E-2</v>
      </c>
      <c r="AJ60" s="6">
        <v>1597</v>
      </c>
      <c r="AK60" s="6">
        <v>1.404934E-3</v>
      </c>
      <c r="AL60" s="6">
        <v>5.6568542449999999</v>
      </c>
      <c r="AM60" s="6">
        <v>0.11428389899999999</v>
      </c>
      <c r="AN60" s="6">
        <v>1.229337E-2</v>
      </c>
      <c r="AO60" s="6">
        <v>6.82965E-4</v>
      </c>
      <c r="AP60" s="6">
        <v>5.3006699999999995E-4</v>
      </c>
      <c r="AQ60" s="6">
        <v>0.14297607100000001</v>
      </c>
      <c r="AR60" s="6">
        <v>2.1326702999999999E-2</v>
      </c>
      <c r="AS60" s="6">
        <v>8.2000722999999998E-2</v>
      </c>
      <c r="AT60" s="6">
        <v>1.0863283E-2</v>
      </c>
      <c r="AU60" s="6">
        <v>5.7168779000000003E-2</v>
      </c>
      <c r="AV60" s="6">
        <v>9.5661940000000001E-3</v>
      </c>
      <c r="AW60" s="6">
        <v>9.3794591999999996E-2</v>
      </c>
      <c r="AX60" s="6">
        <v>1.2340062000000001E-2</v>
      </c>
      <c r="AY60" s="6">
        <v>7.8130023489999996</v>
      </c>
      <c r="AZ60" s="6">
        <v>1.466148418</v>
      </c>
      <c r="BA60" s="6">
        <v>-10.498967607000001</v>
      </c>
      <c r="BB60" s="6">
        <v>1.9584336440000001</v>
      </c>
      <c r="BC60" s="6">
        <v>13.094043572</v>
      </c>
      <c r="BD60" s="6">
        <v>2.408794018</v>
      </c>
    </row>
    <row r="61" spans="1:56" ht="16" x14ac:dyDescent="0.2">
      <c r="A61" s="4">
        <v>45840</v>
      </c>
      <c r="B61" s="4"/>
      <c r="C61" s="5" t="s">
        <v>49</v>
      </c>
      <c r="D61" s="5">
        <v>20</v>
      </c>
      <c r="E61" s="5" t="s">
        <v>12</v>
      </c>
      <c r="F61" s="5" t="s">
        <v>5</v>
      </c>
      <c r="G61" s="5">
        <v>0.75</v>
      </c>
      <c r="H61" s="5">
        <v>35.1</v>
      </c>
      <c r="I61" s="22">
        <v>1</v>
      </c>
      <c r="J61" s="22">
        <v>1</v>
      </c>
      <c r="K61" s="22"/>
      <c r="L61" s="22"/>
      <c r="M61" s="22"/>
      <c r="N61" s="22">
        <v>1</v>
      </c>
      <c r="O61" s="22"/>
      <c r="P61" s="22"/>
      <c r="Q61" s="22"/>
      <c r="R61" s="22"/>
      <c r="S61" s="22"/>
      <c r="T61" s="22"/>
      <c r="U61" s="22"/>
      <c r="V61" s="22"/>
      <c r="W61" s="22"/>
      <c r="X61" s="22"/>
      <c r="Y61" s="22"/>
      <c r="Z61" s="22"/>
      <c r="AA61" s="22"/>
      <c r="AB61" s="22"/>
      <c r="AC61" s="22"/>
      <c r="AD61" s="22"/>
      <c r="AE61" s="22"/>
      <c r="AF61" s="22">
        <v>1</v>
      </c>
      <c r="AG61" t="s">
        <v>629</v>
      </c>
      <c r="AH61" s="6">
        <v>3.8457380999999999E-2</v>
      </c>
      <c r="AI61" s="6">
        <v>1.0090368000000001E-2</v>
      </c>
      <c r="AJ61" s="6">
        <v>1261</v>
      </c>
      <c r="AK61" s="6">
        <v>1.132362E-3</v>
      </c>
      <c r="AL61" s="6">
        <v>5.6568542449999999</v>
      </c>
      <c r="AM61" s="6">
        <v>0.11898719200000001</v>
      </c>
      <c r="AN61" s="6">
        <v>9.5166720000000003E-3</v>
      </c>
      <c r="AO61" s="6">
        <v>5.2870399999999996E-4</v>
      </c>
      <c r="AP61" s="6">
        <v>3.6250799999999999E-4</v>
      </c>
      <c r="AQ61" s="6">
        <v>4.3086955000000003E-2</v>
      </c>
      <c r="AR61" s="6">
        <v>1.1427203E-2</v>
      </c>
      <c r="AS61" s="6">
        <v>3.8395394999999999E-2</v>
      </c>
      <c r="AT61" s="6">
        <v>1.0009105000000001E-2</v>
      </c>
      <c r="AU61" s="6">
        <v>3.8239753000000001E-2</v>
      </c>
      <c r="AV61" s="6">
        <v>1.0145088E-2</v>
      </c>
      <c r="AW61" s="6">
        <v>3.8457380999999999E-2</v>
      </c>
      <c r="AX61" s="6">
        <v>1.0090368000000001E-2</v>
      </c>
      <c r="AY61" s="6">
        <v>1.5745586460000001</v>
      </c>
      <c r="AZ61" s="6">
        <v>0.61096125599999995</v>
      </c>
      <c r="BA61" s="6">
        <v>-1.0522846939999999</v>
      </c>
      <c r="BB61" s="6">
        <v>0.54702699099999996</v>
      </c>
      <c r="BC61" s="6">
        <v>1.978170314</v>
      </c>
      <c r="BD61" s="6">
        <v>0.58790577499999996</v>
      </c>
    </row>
    <row r="62" spans="1:56" ht="16" x14ac:dyDescent="0.2">
      <c r="A62" s="4">
        <v>45840</v>
      </c>
      <c r="B62" s="4"/>
      <c r="C62" s="5" t="s">
        <v>49</v>
      </c>
      <c r="D62" s="5">
        <v>21</v>
      </c>
      <c r="E62" s="5" t="s">
        <v>2</v>
      </c>
      <c r="F62" s="5" t="s">
        <v>5</v>
      </c>
      <c r="G62" s="5">
        <v>0.55000000000000004</v>
      </c>
      <c r="H62" s="5">
        <v>32.15</v>
      </c>
      <c r="I62" s="22">
        <v>11</v>
      </c>
      <c r="J62" s="22">
        <v>1</v>
      </c>
      <c r="K62" s="22"/>
      <c r="L62" s="22"/>
      <c r="M62" s="22"/>
      <c r="N62" s="22"/>
      <c r="O62" s="22"/>
      <c r="P62" s="22"/>
      <c r="Q62" s="22">
        <v>1</v>
      </c>
      <c r="R62" s="22"/>
      <c r="S62" s="22"/>
      <c r="T62" s="22"/>
      <c r="U62" s="22"/>
      <c r="V62" s="22"/>
      <c r="W62" s="22"/>
      <c r="X62" s="22"/>
      <c r="Y62" s="22"/>
      <c r="Z62" s="22"/>
      <c r="AA62" s="22"/>
      <c r="AB62" s="22"/>
      <c r="AC62" s="22"/>
      <c r="AD62" s="22">
        <v>1</v>
      </c>
      <c r="AE62" s="22"/>
      <c r="AF62" s="22">
        <v>2</v>
      </c>
      <c r="AG62" t="s">
        <v>630</v>
      </c>
      <c r="AH62" s="6">
        <v>7.3897447000000005E-2</v>
      </c>
      <c r="AI62" s="6">
        <v>1.1045727999999999E-2</v>
      </c>
      <c r="AJ62" s="6">
        <v>1146</v>
      </c>
      <c r="AK62" s="6">
        <v>1.2033409999999999E-3</v>
      </c>
      <c r="AL62" s="6">
        <v>7.9999999920000002</v>
      </c>
      <c r="AM62" s="6">
        <v>0.10632245</v>
      </c>
      <c r="AN62" s="6">
        <v>1.1317845E-2</v>
      </c>
      <c r="AO62" s="6">
        <v>6.2876900000000005E-4</v>
      </c>
      <c r="AP62" s="6">
        <v>4.0938900000000002E-4</v>
      </c>
      <c r="AQ62" s="6">
        <v>0.112575588</v>
      </c>
      <c r="AR62" s="6">
        <v>1.6650557E-2</v>
      </c>
      <c r="AS62" s="6">
        <v>6.4848550000000005E-2</v>
      </c>
      <c r="AT62" s="6">
        <v>1.0126753E-2</v>
      </c>
      <c r="AU62" s="6">
        <v>4.5315497000000003E-2</v>
      </c>
      <c r="AV62" s="6">
        <v>9.7143239999999999E-3</v>
      </c>
      <c r="AW62" s="6">
        <v>7.3897447000000005E-2</v>
      </c>
      <c r="AX62" s="6">
        <v>1.1045727999999999E-2</v>
      </c>
      <c r="AY62" s="6">
        <v>7.834108863</v>
      </c>
      <c r="AZ62" s="6">
        <v>1.092389973</v>
      </c>
      <c r="BA62" s="6">
        <v>-10.597108648000001</v>
      </c>
      <c r="BB62" s="6">
        <v>2.3723222860000002</v>
      </c>
      <c r="BC62" s="6">
        <v>13.192159342</v>
      </c>
      <c r="BD62" s="6">
        <v>2.541617397</v>
      </c>
    </row>
    <row r="63" spans="1:56" ht="16" x14ac:dyDescent="0.2">
      <c r="A63" s="4">
        <v>45840</v>
      </c>
      <c r="B63" s="4"/>
      <c r="C63" s="5" t="s">
        <v>49</v>
      </c>
      <c r="D63" s="5">
        <v>22</v>
      </c>
      <c r="E63" s="5" t="s">
        <v>2</v>
      </c>
      <c r="F63" s="5" t="s">
        <v>5</v>
      </c>
      <c r="G63" s="5">
        <v>1.35</v>
      </c>
      <c r="H63" s="5">
        <v>43.2</v>
      </c>
      <c r="I63" s="22">
        <v>1</v>
      </c>
      <c r="J63" s="22"/>
      <c r="K63" s="22"/>
      <c r="L63" s="22">
        <v>2</v>
      </c>
      <c r="M63" s="22"/>
      <c r="N63" s="22"/>
      <c r="O63" s="22"/>
      <c r="P63" s="22"/>
      <c r="Q63" s="22"/>
      <c r="R63" s="22"/>
      <c r="S63" s="22">
        <v>19</v>
      </c>
      <c r="T63" s="22">
        <v>1</v>
      </c>
      <c r="U63" s="22"/>
      <c r="V63" s="22"/>
      <c r="W63" s="22"/>
      <c r="X63" s="22"/>
      <c r="Y63" s="22"/>
      <c r="Z63" s="22"/>
      <c r="AA63" s="22"/>
      <c r="AB63" s="22"/>
      <c r="AC63" s="22"/>
      <c r="AD63" s="22"/>
      <c r="AE63" s="22"/>
      <c r="AF63" s="22">
        <v>1</v>
      </c>
      <c r="AG63" s="6" t="s">
        <v>395</v>
      </c>
      <c r="AH63" s="6">
        <v>7.1925444000000005E-2</v>
      </c>
      <c r="AI63" s="6">
        <v>1.1624287000000001E-2</v>
      </c>
      <c r="AJ63" s="6">
        <v>2602</v>
      </c>
      <c r="AK63" s="6">
        <v>1.329485E-3</v>
      </c>
      <c r="AL63" s="6">
        <v>7.9999999920000002</v>
      </c>
      <c r="AM63" s="6">
        <v>0.11133720499999999</v>
      </c>
      <c r="AN63" s="6">
        <v>1.1941069E-2</v>
      </c>
      <c r="AO63" s="6">
        <v>6.6339299999999997E-4</v>
      </c>
      <c r="AP63" s="6">
        <v>4.5937799999999998E-4</v>
      </c>
      <c r="AQ63" s="6">
        <v>0.105304209</v>
      </c>
      <c r="AR63" s="6">
        <v>2.2895008000000001E-2</v>
      </c>
      <c r="AS63" s="6">
        <v>6.5568054000000001E-2</v>
      </c>
      <c r="AT63" s="6">
        <v>9.0306919999999999E-3</v>
      </c>
      <c r="AU63" s="6">
        <v>4.4669730999999997E-2</v>
      </c>
      <c r="AV63" s="6">
        <v>3.7969179999999998E-3</v>
      </c>
      <c r="AW63" s="6">
        <v>7.1925444000000005E-2</v>
      </c>
      <c r="AX63" s="6">
        <v>1.1624287000000001E-2</v>
      </c>
      <c r="AY63" s="6">
        <v>6.5249656119999999</v>
      </c>
      <c r="AZ63" s="6">
        <v>1.18866893</v>
      </c>
      <c r="BA63" s="6">
        <v>-9.9477493579999994</v>
      </c>
      <c r="BB63" s="6">
        <v>2.598074762</v>
      </c>
      <c r="BC63" s="6">
        <v>11.910878159999999</v>
      </c>
      <c r="BD63" s="6">
        <v>2.7976190089999999</v>
      </c>
    </row>
    <row r="64" spans="1:56" ht="16" x14ac:dyDescent="0.2">
      <c r="A64" s="4">
        <v>45840</v>
      </c>
      <c r="B64" s="4"/>
      <c r="C64" s="5" t="s">
        <v>49</v>
      </c>
      <c r="D64" s="5">
        <v>23</v>
      </c>
      <c r="E64" s="5" t="s">
        <v>2</v>
      </c>
      <c r="F64" s="5" t="s">
        <v>5</v>
      </c>
      <c r="G64" s="5">
        <v>0.8</v>
      </c>
      <c r="H64" s="5">
        <v>37.799999999999997</v>
      </c>
      <c r="I64" s="22">
        <v>1</v>
      </c>
      <c r="J64" s="22"/>
      <c r="K64" s="22"/>
      <c r="L64" s="22"/>
      <c r="M64" s="22"/>
      <c r="N64" s="22">
        <v>1</v>
      </c>
      <c r="O64" s="22"/>
      <c r="P64" s="22"/>
      <c r="Q64" s="22"/>
      <c r="R64" s="22"/>
      <c r="S64" s="22"/>
      <c r="T64" s="22"/>
      <c r="U64" s="22"/>
      <c r="V64" s="22"/>
      <c r="W64" s="22"/>
      <c r="X64" s="22"/>
      <c r="Y64" s="22"/>
      <c r="Z64" s="22">
        <v>1</v>
      </c>
      <c r="AA64" s="22"/>
      <c r="AB64" s="22"/>
      <c r="AC64" s="22"/>
      <c r="AD64" s="22"/>
      <c r="AE64" s="22"/>
      <c r="AF64" s="22">
        <v>2</v>
      </c>
      <c r="AG64" s="6" t="s">
        <v>396</v>
      </c>
      <c r="AH64" s="6">
        <v>6.1638849000000002E-2</v>
      </c>
      <c r="AI64" s="6">
        <v>1.3336351999999999E-2</v>
      </c>
      <c r="AJ64" s="6">
        <v>1500</v>
      </c>
      <c r="AK64" s="6">
        <v>1.5193260000000001E-3</v>
      </c>
      <c r="AL64" s="6">
        <v>3.9999999979999998</v>
      </c>
      <c r="AM64" s="6">
        <v>0.12976190000000001</v>
      </c>
      <c r="AN64" s="6">
        <v>1.1708570999999999E-2</v>
      </c>
      <c r="AO64" s="6">
        <v>6.5047599999999998E-4</v>
      </c>
      <c r="AP64" s="6">
        <v>5.4223599999999998E-4</v>
      </c>
      <c r="AQ64" s="6">
        <v>8.9121547999999995E-2</v>
      </c>
      <c r="AR64" s="6">
        <v>2.0755338000000002E-2</v>
      </c>
      <c r="AS64" s="6">
        <v>5.5823824000000001E-2</v>
      </c>
      <c r="AT64" s="6">
        <v>1.1866233E-2</v>
      </c>
      <c r="AU64" s="6">
        <v>4.1372022000000001E-2</v>
      </c>
      <c r="AV64" s="6">
        <v>1.0293515E-2</v>
      </c>
      <c r="AW64" s="6">
        <v>6.1638849000000002E-2</v>
      </c>
      <c r="AX64" s="6">
        <v>1.3336351999999999E-2</v>
      </c>
      <c r="AY64" s="6">
        <v>6.5055117280000001</v>
      </c>
      <c r="AZ64" s="6">
        <v>1.2346565089999999</v>
      </c>
      <c r="BA64" s="6">
        <v>-8.7554353050000007</v>
      </c>
      <c r="BB64" s="6">
        <v>2.3380642040000001</v>
      </c>
      <c r="BC64" s="6">
        <v>10.922118792999999</v>
      </c>
      <c r="BD64" s="6">
        <v>2.5840594430000001</v>
      </c>
    </row>
    <row r="65" spans="1:56" ht="16" x14ac:dyDescent="0.2">
      <c r="A65" s="4">
        <v>45840</v>
      </c>
      <c r="B65" s="4"/>
      <c r="C65" s="5" t="s">
        <v>49</v>
      </c>
      <c r="D65" s="5">
        <v>24</v>
      </c>
      <c r="E65" s="5" t="s">
        <v>2</v>
      </c>
      <c r="F65" s="5" t="s">
        <v>5</v>
      </c>
      <c r="G65" s="5">
        <v>1.1499999999999999</v>
      </c>
      <c r="H65" s="5">
        <v>40.9</v>
      </c>
      <c r="I65" s="22"/>
      <c r="J65" s="22"/>
      <c r="K65" s="22"/>
      <c r="L65" s="22"/>
      <c r="M65" s="22"/>
      <c r="N65" s="22">
        <v>1</v>
      </c>
      <c r="O65" s="22"/>
      <c r="P65" s="22"/>
      <c r="Q65" s="22"/>
      <c r="R65" s="22"/>
      <c r="S65" s="22"/>
      <c r="T65" s="22"/>
      <c r="U65" s="22"/>
      <c r="V65" s="22"/>
      <c r="W65" s="22"/>
      <c r="X65" s="22"/>
      <c r="Y65" s="22"/>
      <c r="Z65" s="22"/>
      <c r="AA65" s="22"/>
      <c r="AB65" s="22"/>
      <c r="AC65" s="22"/>
      <c r="AD65" s="22"/>
      <c r="AE65" s="22"/>
      <c r="AF65" s="22"/>
      <c r="AG65" s="6" t="s">
        <v>631</v>
      </c>
      <c r="AH65" s="6">
        <v>5.5643686999999997E-2</v>
      </c>
      <c r="AI65" s="6">
        <v>1.3607239E-2</v>
      </c>
      <c r="AJ65" s="6">
        <v>1617</v>
      </c>
      <c r="AK65" s="6">
        <v>1.5659739999999999E-3</v>
      </c>
      <c r="AL65" s="6">
        <v>5.6568542449999999</v>
      </c>
      <c r="AM65" s="6">
        <v>0.125344387</v>
      </c>
      <c r="AN65" s="6">
        <v>1.2493374E-2</v>
      </c>
      <c r="AO65" s="6">
        <v>6.9407599999999996E-4</v>
      </c>
      <c r="AP65" s="6">
        <v>5.3987900000000005E-4</v>
      </c>
      <c r="AQ65" s="6">
        <v>7.3373872000000007E-2</v>
      </c>
      <c r="AR65" s="6">
        <v>1.91652E-2</v>
      </c>
      <c r="AS65" s="6">
        <v>5.2817269E-2</v>
      </c>
      <c r="AT65" s="6">
        <v>1.2701498E-2</v>
      </c>
      <c r="AU65" s="6">
        <v>4.1896926000000001E-2</v>
      </c>
      <c r="AV65" s="6">
        <v>1.1811408000000001E-2</v>
      </c>
      <c r="AW65" s="6">
        <v>5.5643686999999997E-2</v>
      </c>
      <c r="AX65" s="6">
        <v>1.3607239E-2</v>
      </c>
      <c r="AY65" s="6">
        <v>4.5445737189999997</v>
      </c>
      <c r="AZ65" s="6">
        <v>1.378197801</v>
      </c>
      <c r="BA65" s="6">
        <v>-6.5667717789999998</v>
      </c>
      <c r="BB65" s="6">
        <v>2.5022720679999999</v>
      </c>
      <c r="BC65" s="6">
        <v>7.9998365250000001</v>
      </c>
      <c r="BD65" s="6">
        <v>2.8176080350000001</v>
      </c>
    </row>
    <row r="66" spans="1:56" ht="16" x14ac:dyDescent="0.2">
      <c r="A66" s="4">
        <v>45840</v>
      </c>
      <c r="B66" s="4"/>
      <c r="C66" s="5" t="s">
        <v>49</v>
      </c>
      <c r="D66" s="5">
        <v>25</v>
      </c>
      <c r="E66" s="5" t="s">
        <v>2</v>
      </c>
      <c r="F66" s="5" t="s">
        <v>5</v>
      </c>
      <c r="G66" s="5">
        <v>0.8</v>
      </c>
      <c r="H66" s="5">
        <v>37.9</v>
      </c>
      <c r="I66" s="22">
        <v>2</v>
      </c>
      <c r="J66" s="22">
        <v>2</v>
      </c>
      <c r="K66" s="22"/>
      <c r="L66" s="22"/>
      <c r="M66" s="22"/>
      <c r="N66" s="22">
        <v>1</v>
      </c>
      <c r="O66" s="22"/>
      <c r="P66" s="22"/>
      <c r="Q66" s="22"/>
      <c r="R66" s="22"/>
      <c r="S66" s="22"/>
      <c r="T66" s="22">
        <v>1</v>
      </c>
      <c r="U66" s="22"/>
      <c r="V66" s="22"/>
      <c r="W66" s="22"/>
      <c r="X66" s="22"/>
      <c r="Y66" s="22"/>
      <c r="Z66" s="22"/>
      <c r="AA66" s="22"/>
      <c r="AB66" s="22"/>
      <c r="AC66" s="22"/>
      <c r="AD66" s="22"/>
      <c r="AE66" s="22"/>
      <c r="AF66" s="22"/>
      <c r="AG66" t="s">
        <v>632</v>
      </c>
      <c r="AH66" s="6">
        <v>7.6583366999999999E-2</v>
      </c>
      <c r="AI66" s="6">
        <v>8.2190930000000002E-3</v>
      </c>
      <c r="AJ66" s="6">
        <v>1362</v>
      </c>
      <c r="AK66" s="6">
        <v>9.4163799999999996E-4</v>
      </c>
      <c r="AL66" s="6">
        <v>5.6568542449999999</v>
      </c>
      <c r="AM66" s="6">
        <v>0.124511891</v>
      </c>
      <c r="AN66" s="6">
        <v>7.5626360000000002E-3</v>
      </c>
      <c r="AO66" s="6">
        <v>4.2014599999999999E-4</v>
      </c>
      <c r="AP66" s="6">
        <v>3.7726799999999999E-4</v>
      </c>
      <c r="AQ66" s="6">
        <v>0.121064536</v>
      </c>
      <c r="AR66" s="6">
        <v>1.4524014E-2</v>
      </c>
      <c r="AS66" s="6">
        <v>6.5255273000000003E-2</v>
      </c>
      <c r="AT66" s="6">
        <v>8.5295979999999993E-3</v>
      </c>
      <c r="AU66" s="6">
        <v>4.6351897000000003E-2</v>
      </c>
      <c r="AV66" s="6">
        <v>8.1849950000000005E-3</v>
      </c>
      <c r="AW66" s="6">
        <v>7.6583366999999999E-2</v>
      </c>
      <c r="AX66" s="6">
        <v>8.2190930000000002E-3</v>
      </c>
      <c r="AY66" s="6">
        <v>8.7599125890000007</v>
      </c>
      <c r="AZ66" s="6">
        <v>1.9199420739999999</v>
      </c>
      <c r="BA66" s="6">
        <v>-10.771011032000001</v>
      </c>
      <c r="BB66" s="6">
        <v>2.3355788190000002</v>
      </c>
      <c r="BC66" s="6">
        <v>13.886999414</v>
      </c>
      <c r="BD66" s="6">
        <v>3.007162723</v>
      </c>
    </row>
    <row r="67" spans="1:56" ht="16" x14ac:dyDescent="0.2">
      <c r="A67" s="4">
        <v>45840</v>
      </c>
      <c r="B67" s="4"/>
      <c r="C67" s="5" t="s">
        <v>49</v>
      </c>
      <c r="D67" s="5">
        <v>26</v>
      </c>
      <c r="E67" s="5" t="s">
        <v>12</v>
      </c>
      <c r="F67" s="5" t="s">
        <v>5</v>
      </c>
      <c r="G67" s="5">
        <v>1.1000000000000001</v>
      </c>
      <c r="H67" s="5">
        <v>44.4</v>
      </c>
      <c r="I67" s="22"/>
      <c r="J67" s="22"/>
      <c r="K67" s="22"/>
      <c r="L67" s="22"/>
      <c r="M67" s="22"/>
      <c r="N67" s="22"/>
      <c r="O67" s="22"/>
      <c r="P67" s="22"/>
      <c r="Q67" s="22"/>
      <c r="R67" s="22"/>
      <c r="S67" s="22"/>
      <c r="T67" s="22"/>
      <c r="U67" s="22"/>
      <c r="V67" s="22"/>
      <c r="W67" s="22"/>
      <c r="X67" s="22"/>
      <c r="Y67" s="22"/>
      <c r="Z67" s="22"/>
      <c r="AA67" s="22"/>
      <c r="AB67" s="22"/>
      <c r="AC67" s="22"/>
      <c r="AD67" s="22"/>
      <c r="AE67" s="22"/>
      <c r="AF67" s="22">
        <v>1</v>
      </c>
      <c r="AG67" t="s">
        <v>633</v>
      </c>
      <c r="AH67" s="6">
        <v>4.2211723E-2</v>
      </c>
      <c r="AI67" s="6">
        <v>7.8714749999999993E-3</v>
      </c>
      <c r="AJ67" s="6">
        <v>1941</v>
      </c>
      <c r="AK67" s="6">
        <v>8.5754600000000005E-4</v>
      </c>
      <c r="AL67" s="6">
        <v>5.6568542449999999</v>
      </c>
      <c r="AM67" s="6">
        <v>0.11797239</v>
      </c>
      <c r="AN67" s="6">
        <v>7.2690430000000002E-3</v>
      </c>
      <c r="AO67" s="6">
        <v>4.0383599999999997E-4</v>
      </c>
      <c r="AP67" s="6">
        <v>3.0609000000000002E-4</v>
      </c>
      <c r="AQ67" s="6">
        <v>4.9001003000000001E-2</v>
      </c>
      <c r="AR67" s="6">
        <v>9.1468839999999992E-3</v>
      </c>
      <c r="AS67" s="6">
        <v>4.2192579000000001E-2</v>
      </c>
      <c r="AT67" s="6">
        <v>7.6042499999999999E-3</v>
      </c>
      <c r="AU67" s="6">
        <v>3.9233562999999999E-2</v>
      </c>
      <c r="AV67" s="6">
        <v>8.2057769999999992E-3</v>
      </c>
      <c r="AW67" s="6">
        <v>4.2211723E-2</v>
      </c>
      <c r="AX67" s="6">
        <v>7.8714749999999993E-3</v>
      </c>
      <c r="AY67" s="6">
        <v>2.0879015970000001</v>
      </c>
      <c r="AZ67" s="6">
        <v>0.33965975500000001</v>
      </c>
      <c r="BA67" s="6">
        <v>-2.4992184960000001</v>
      </c>
      <c r="BB67" s="6">
        <v>0.85733720999999996</v>
      </c>
      <c r="BC67" s="6">
        <v>3.3036076890000001</v>
      </c>
      <c r="BD67" s="6">
        <v>0.73609732000000005</v>
      </c>
    </row>
    <row r="68" spans="1:56" ht="16" x14ac:dyDescent="0.2">
      <c r="A68" s="33">
        <v>45840</v>
      </c>
      <c r="B68" s="33"/>
      <c r="C68" s="34" t="s">
        <v>49</v>
      </c>
      <c r="D68" s="34">
        <v>27</v>
      </c>
      <c r="E68" s="34" t="s">
        <v>2</v>
      </c>
      <c r="F68" s="34" t="s">
        <v>5</v>
      </c>
      <c r="G68" s="34">
        <v>0.65</v>
      </c>
      <c r="H68" s="34">
        <v>37.049999999999997</v>
      </c>
      <c r="I68" s="22">
        <v>4</v>
      </c>
      <c r="J68" s="22"/>
      <c r="K68" s="22"/>
      <c r="L68" s="22"/>
      <c r="M68" s="22"/>
      <c r="N68" s="22">
        <v>1</v>
      </c>
      <c r="O68" s="22"/>
      <c r="P68" s="22"/>
      <c r="Q68" s="22"/>
      <c r="R68" s="22"/>
      <c r="S68" s="22"/>
      <c r="T68" s="22">
        <v>2</v>
      </c>
      <c r="U68" s="22">
        <v>2</v>
      </c>
      <c r="V68" s="22"/>
      <c r="W68" s="22"/>
      <c r="X68" s="22"/>
      <c r="Y68" s="22"/>
      <c r="Z68" s="22"/>
      <c r="AA68" s="22"/>
      <c r="AB68" s="22">
        <v>1</v>
      </c>
      <c r="AC68" s="22"/>
      <c r="AD68" s="22"/>
      <c r="AE68" s="22"/>
      <c r="AF68" s="22"/>
      <c r="AG68" s="6" t="s">
        <v>397</v>
      </c>
      <c r="AH68" s="6">
        <v>5.1980075000000001E-2</v>
      </c>
      <c r="AI68" s="6">
        <v>1.2952362E-2</v>
      </c>
      <c r="AJ68" s="6">
        <v>1315</v>
      </c>
      <c r="AK68" s="6">
        <v>1.4358019999999999E-3</v>
      </c>
      <c r="AL68" s="6">
        <v>3.9999999979999998</v>
      </c>
      <c r="AM68" s="6">
        <v>0.120858493</v>
      </c>
      <c r="AN68" s="6">
        <v>1.1880025000000001E-2</v>
      </c>
      <c r="AO68" s="6">
        <v>6.6000100000000001E-4</v>
      </c>
      <c r="AP68" s="6">
        <v>5.0832500000000001E-4</v>
      </c>
      <c r="AQ68" s="6">
        <v>7.3877842999999999E-2</v>
      </c>
      <c r="AR68" s="6">
        <v>1.7535095000000001E-2</v>
      </c>
      <c r="AS68" s="6">
        <v>4.7313246000000003E-2</v>
      </c>
      <c r="AT68" s="6">
        <v>1.2483828000000001E-2</v>
      </c>
      <c r="AU68" s="6">
        <v>3.7530458000000003E-2</v>
      </c>
      <c r="AV68" s="6">
        <v>1.2050886E-2</v>
      </c>
      <c r="AW68" s="6">
        <v>5.1980075000000001E-2</v>
      </c>
      <c r="AX68" s="6">
        <v>1.2952362E-2</v>
      </c>
      <c r="AY68" s="6">
        <v>6.4751985699999999</v>
      </c>
      <c r="AZ68" s="6">
        <v>1.8135005399999999</v>
      </c>
      <c r="BA68" s="6">
        <v>-7.9303518369999999</v>
      </c>
      <c r="BB68" s="6">
        <v>2.948231914</v>
      </c>
      <c r="BC68" s="6">
        <v>10.267142695</v>
      </c>
      <c r="BD68" s="6">
        <v>3.3741457810000002</v>
      </c>
    </row>
    <row r="69" spans="1:56" ht="16" x14ac:dyDescent="0.2">
      <c r="A69" s="4">
        <v>45840</v>
      </c>
      <c r="B69" s="4"/>
      <c r="C69" s="5" t="s">
        <v>49</v>
      </c>
      <c r="D69" s="5">
        <v>28</v>
      </c>
      <c r="E69" s="5" t="s">
        <v>2</v>
      </c>
      <c r="F69" s="5" t="s">
        <v>3</v>
      </c>
      <c r="G69" s="5">
        <v>0.4</v>
      </c>
      <c r="H69" s="5">
        <v>32.35</v>
      </c>
      <c r="I69" s="22">
        <v>8</v>
      </c>
      <c r="J69" s="22">
        <v>1</v>
      </c>
      <c r="K69" s="22"/>
      <c r="L69" s="22">
        <v>2</v>
      </c>
      <c r="M69" s="22"/>
      <c r="N69" s="22"/>
      <c r="O69" s="22"/>
      <c r="P69" s="22"/>
      <c r="Q69" s="22"/>
      <c r="R69" s="22"/>
      <c r="S69" s="22"/>
      <c r="T69" s="22">
        <v>1</v>
      </c>
      <c r="U69" s="22"/>
      <c r="V69" s="22"/>
      <c r="W69" s="22"/>
      <c r="X69" s="22"/>
      <c r="Y69" s="22"/>
      <c r="Z69" s="22"/>
      <c r="AA69" s="22"/>
      <c r="AB69" s="22"/>
      <c r="AC69" s="22"/>
      <c r="AD69" s="22"/>
      <c r="AE69" s="22"/>
      <c r="AF69" s="22"/>
      <c r="AG69" t="s">
        <v>634</v>
      </c>
      <c r="AH69" s="6">
        <v>7.1371215000000002E-2</v>
      </c>
      <c r="AI69" s="6">
        <v>1.5313772999999999E-2</v>
      </c>
      <c r="AJ69" s="6">
        <v>1037</v>
      </c>
      <c r="AK69" s="6">
        <v>1.8188E-3</v>
      </c>
      <c r="AL69" s="6">
        <v>3.9999999979999998</v>
      </c>
      <c r="AM69" s="6">
        <v>0.141415287</v>
      </c>
      <c r="AN69" s="6">
        <v>1.2861411999999999E-2</v>
      </c>
      <c r="AO69" s="6">
        <v>7.14523E-4</v>
      </c>
      <c r="AP69" s="6">
        <v>6.7929399999999999E-4</v>
      </c>
      <c r="AQ69" s="6">
        <v>0.109332184</v>
      </c>
      <c r="AR69" s="6">
        <v>2.3138454999999999E-2</v>
      </c>
      <c r="AS69" s="6">
        <v>6.3116452000000003E-2</v>
      </c>
      <c r="AT69" s="6">
        <v>1.4078227E-2</v>
      </c>
      <c r="AU69" s="6">
        <v>3.9818463999999998E-2</v>
      </c>
      <c r="AV69" s="6">
        <v>8.6601669999999999E-3</v>
      </c>
      <c r="AW69" s="6">
        <v>7.1371215000000002E-2</v>
      </c>
      <c r="AX69" s="6">
        <v>1.5313772999999999E-2</v>
      </c>
      <c r="AY69" s="6">
        <v>7.8159479489999999</v>
      </c>
      <c r="AZ69" s="6">
        <v>0.91077194399999994</v>
      </c>
      <c r="BA69" s="6">
        <v>-11.981425233</v>
      </c>
      <c r="BB69" s="6">
        <v>1.0190298840000001</v>
      </c>
      <c r="BC69" s="6">
        <v>14.310881397999999</v>
      </c>
      <c r="BD69" s="6">
        <v>1.307685634</v>
      </c>
    </row>
    <row r="70" spans="1:56" ht="16" x14ac:dyDescent="0.2">
      <c r="A70" s="4">
        <v>45840</v>
      </c>
      <c r="B70" s="4"/>
      <c r="C70" s="5" t="s">
        <v>49</v>
      </c>
      <c r="D70" s="5">
        <v>29</v>
      </c>
      <c r="E70" s="5" t="s">
        <v>2</v>
      </c>
      <c r="F70" s="5" t="s">
        <v>3</v>
      </c>
      <c r="G70" s="5">
        <v>1.25</v>
      </c>
      <c r="H70" s="5">
        <v>45.9</v>
      </c>
      <c r="I70" s="22">
        <v>1</v>
      </c>
      <c r="J70" s="22"/>
      <c r="K70" s="22"/>
      <c r="L70" s="22"/>
      <c r="M70" s="22">
        <v>1</v>
      </c>
      <c r="N70" s="22">
        <v>1</v>
      </c>
      <c r="O70" s="22"/>
      <c r="P70" s="22"/>
      <c r="Q70" s="22"/>
      <c r="R70" s="22"/>
      <c r="S70" s="22"/>
      <c r="T70" s="22"/>
      <c r="U70" s="22"/>
      <c r="V70" s="22"/>
      <c r="W70" s="22"/>
      <c r="X70" s="22"/>
      <c r="Y70" s="22"/>
      <c r="Z70" s="22"/>
      <c r="AA70" s="22"/>
      <c r="AB70" s="22"/>
      <c r="AC70" s="22"/>
      <c r="AD70" s="22"/>
      <c r="AE70" s="22"/>
      <c r="AF70" s="22"/>
      <c r="AG70" t="s">
        <v>635</v>
      </c>
      <c r="AH70" s="6">
        <v>8.1222564999999997E-2</v>
      </c>
      <c r="AI70" s="6">
        <v>1.1318518E-2</v>
      </c>
      <c r="AJ70" s="6">
        <v>2231</v>
      </c>
      <c r="AK70" s="6">
        <v>1.3538879999999999E-3</v>
      </c>
      <c r="AL70" s="6">
        <v>5.6568542449999999</v>
      </c>
      <c r="AM70" s="6">
        <v>0.12700465899999999</v>
      </c>
      <c r="AN70" s="6">
        <v>1.0660141E-2</v>
      </c>
      <c r="AO70" s="6">
        <v>5.9223000000000001E-4</v>
      </c>
      <c r="AP70" s="6">
        <v>4.8842000000000004E-4</v>
      </c>
      <c r="AQ70" s="6">
        <v>0.12889402699999999</v>
      </c>
      <c r="AR70" s="6">
        <v>2.4545457999999999E-2</v>
      </c>
      <c r="AS70" s="6">
        <v>6.9861727999999998E-2</v>
      </c>
      <c r="AT70" s="6">
        <v>7.9493970000000004E-3</v>
      </c>
      <c r="AU70" s="6">
        <v>4.5946445000000002E-2</v>
      </c>
      <c r="AV70" s="6">
        <v>5.1881540000000004E-3</v>
      </c>
      <c r="AW70" s="6">
        <v>8.1222564999999997E-2</v>
      </c>
      <c r="AX70" s="6">
        <v>1.1318518E-2</v>
      </c>
      <c r="AY70" s="6">
        <v>8.467895038</v>
      </c>
      <c r="AZ70" s="6">
        <v>1.601507357</v>
      </c>
      <c r="BA70" s="6">
        <v>-11.71986059</v>
      </c>
      <c r="BB70" s="6">
        <v>2.1111186669999999</v>
      </c>
      <c r="BC70" s="6">
        <v>14.4632933</v>
      </c>
      <c r="BD70" s="6">
        <v>2.6258554840000001</v>
      </c>
    </row>
    <row r="71" spans="1:56" ht="16" x14ac:dyDescent="0.2">
      <c r="A71" s="4">
        <v>45840</v>
      </c>
      <c r="B71" s="4"/>
      <c r="C71" s="5" t="s">
        <v>49</v>
      </c>
      <c r="D71" s="5">
        <v>30</v>
      </c>
      <c r="E71" s="5" t="s">
        <v>2</v>
      </c>
      <c r="F71" s="5" t="s">
        <v>5</v>
      </c>
      <c r="G71" s="5">
        <v>1</v>
      </c>
      <c r="H71" s="5">
        <v>38.200000000000003</v>
      </c>
      <c r="I71" s="22">
        <v>2</v>
      </c>
      <c r="J71" s="22"/>
      <c r="K71" s="22"/>
      <c r="L71" s="22">
        <v>2</v>
      </c>
      <c r="M71" s="22">
        <v>1</v>
      </c>
      <c r="N71" s="22"/>
      <c r="O71" s="22"/>
      <c r="P71" s="22"/>
      <c r="Q71" s="22"/>
      <c r="R71" s="22"/>
      <c r="S71" s="22"/>
      <c r="T71" s="22">
        <v>1</v>
      </c>
      <c r="U71" s="22"/>
      <c r="V71" s="22"/>
      <c r="W71" s="22"/>
      <c r="X71" s="22">
        <v>1</v>
      </c>
      <c r="Y71" s="22"/>
      <c r="Z71" s="22"/>
      <c r="AA71" s="22"/>
      <c r="AB71" s="22"/>
      <c r="AC71" s="22"/>
      <c r="AD71" s="22"/>
      <c r="AE71" s="22"/>
      <c r="AF71" s="22"/>
      <c r="AG71" t="s">
        <v>636</v>
      </c>
      <c r="AH71" s="6">
        <v>9.3888535999999995E-2</v>
      </c>
      <c r="AI71" s="6">
        <v>1.5815685999999999E-2</v>
      </c>
      <c r="AJ71" s="6">
        <v>1621</v>
      </c>
      <c r="AK71" s="6">
        <v>1.8489839999999999E-3</v>
      </c>
      <c r="AL71" s="6">
        <v>3.9999999979999998</v>
      </c>
      <c r="AM71" s="6">
        <v>0.12908313399999999</v>
      </c>
      <c r="AN71" s="6">
        <v>1.4323974999999999E-2</v>
      </c>
      <c r="AO71" s="6">
        <v>7.9577599999999999E-4</v>
      </c>
      <c r="AP71" s="6">
        <v>6.6960399999999997E-4</v>
      </c>
      <c r="AQ71" s="6">
        <v>0.14950734800000001</v>
      </c>
      <c r="AR71" s="6">
        <v>2.9531687000000001E-2</v>
      </c>
      <c r="AS71" s="6">
        <v>7.9665033999999996E-2</v>
      </c>
      <c r="AT71" s="6">
        <v>1.3148237E-2</v>
      </c>
      <c r="AU71" s="6">
        <v>5.4303562999999999E-2</v>
      </c>
      <c r="AV71" s="6">
        <v>9.7843110000000004E-3</v>
      </c>
      <c r="AW71" s="6">
        <v>9.3888535999999995E-2</v>
      </c>
      <c r="AX71" s="6">
        <v>1.5815685999999999E-2</v>
      </c>
      <c r="AY71" s="6">
        <v>8.7714659699999995</v>
      </c>
      <c r="AZ71" s="6">
        <v>1.7543142199999999</v>
      </c>
      <c r="BA71" s="6">
        <v>-11.335673477</v>
      </c>
      <c r="BB71" s="6">
        <v>1.9749021010000001</v>
      </c>
      <c r="BC71" s="6">
        <v>14.337316516</v>
      </c>
      <c r="BD71" s="6">
        <v>2.6182522819999998</v>
      </c>
    </row>
    <row r="72" spans="1:56" ht="16" x14ac:dyDescent="0.2">
      <c r="A72" s="4">
        <v>45840</v>
      </c>
      <c r="B72" s="4"/>
      <c r="C72" s="5" t="s">
        <v>49</v>
      </c>
      <c r="D72" s="5">
        <v>31</v>
      </c>
      <c r="E72" s="5" t="s">
        <v>2</v>
      </c>
      <c r="F72" s="5" t="s">
        <v>5</v>
      </c>
      <c r="G72" s="5">
        <v>0.55000000000000004</v>
      </c>
      <c r="H72" s="5">
        <v>33.6</v>
      </c>
      <c r="I72" s="22">
        <v>1</v>
      </c>
      <c r="J72" s="22"/>
      <c r="K72" s="22"/>
      <c r="L72" s="22">
        <v>3</v>
      </c>
      <c r="M72" s="22"/>
      <c r="N72" s="22"/>
      <c r="O72" s="22"/>
      <c r="P72" s="22"/>
      <c r="Q72" s="22"/>
      <c r="R72" s="22"/>
      <c r="S72" s="22"/>
      <c r="T72" s="22"/>
      <c r="U72" s="22"/>
      <c r="V72" s="22"/>
      <c r="W72" s="22"/>
      <c r="X72" s="22"/>
      <c r="Y72" s="22"/>
      <c r="Z72" s="22"/>
      <c r="AA72" s="22"/>
      <c r="AB72" s="22"/>
      <c r="AC72" s="22"/>
      <c r="AD72" s="22"/>
      <c r="AE72" s="22"/>
      <c r="AF72" s="22"/>
      <c r="AG72" t="s">
        <v>637</v>
      </c>
      <c r="AH72" s="6">
        <v>7.5515579999999999E-2</v>
      </c>
      <c r="AI72" s="6">
        <v>1.526076E-2</v>
      </c>
      <c r="AJ72" s="6">
        <v>1098</v>
      </c>
      <c r="AK72" s="6">
        <v>1.6691340000000001E-3</v>
      </c>
      <c r="AL72" s="6">
        <v>3.9999999979999998</v>
      </c>
      <c r="AM72" s="6">
        <v>0.110784434</v>
      </c>
      <c r="AN72" s="6">
        <v>1.5066501E-2</v>
      </c>
      <c r="AO72" s="6">
        <v>8.3702799999999997E-4</v>
      </c>
      <c r="AP72" s="6">
        <v>5.8017400000000003E-4</v>
      </c>
      <c r="AQ72" s="6">
        <v>0.12309697999999999</v>
      </c>
      <c r="AR72" s="6">
        <v>2.5296964000000002E-2</v>
      </c>
      <c r="AS72" s="6">
        <v>6.2742862999999996E-2</v>
      </c>
      <c r="AT72" s="6">
        <v>1.2702494E-2</v>
      </c>
      <c r="AU72" s="6">
        <v>4.3756686000000003E-2</v>
      </c>
      <c r="AV72" s="6">
        <v>1.0560108E-2</v>
      </c>
      <c r="AW72" s="6">
        <v>7.5515579999999999E-2</v>
      </c>
      <c r="AX72" s="6">
        <v>1.526076E-2</v>
      </c>
      <c r="AY72" s="6">
        <v>9.4982910349999994</v>
      </c>
      <c r="AZ72" s="6">
        <v>1.061905101</v>
      </c>
      <c r="BA72" s="6">
        <v>-11.527934503000001</v>
      </c>
      <c r="BB72" s="6">
        <v>1.8320886620000001</v>
      </c>
      <c r="BC72" s="6">
        <v>14.94816937</v>
      </c>
      <c r="BD72" s="6">
        <v>2.0363995130000001</v>
      </c>
    </row>
    <row r="73" spans="1:56" ht="16" x14ac:dyDescent="0.2">
      <c r="A73" s="4">
        <v>45840</v>
      </c>
      <c r="B73" s="4"/>
      <c r="C73" s="5" t="s">
        <v>49</v>
      </c>
      <c r="D73" s="5">
        <v>32</v>
      </c>
      <c r="E73" s="5" t="s">
        <v>12</v>
      </c>
      <c r="F73" s="5" t="s">
        <v>5</v>
      </c>
      <c r="G73" s="5">
        <v>0.85</v>
      </c>
      <c r="H73" s="5">
        <v>40.5</v>
      </c>
      <c r="I73" s="22">
        <v>1</v>
      </c>
      <c r="J73" s="22"/>
      <c r="K73" s="22"/>
      <c r="L73" s="22"/>
      <c r="M73" s="22"/>
      <c r="N73" s="22"/>
      <c r="O73" s="22"/>
      <c r="P73" s="22"/>
      <c r="Q73" s="22"/>
      <c r="R73" s="22"/>
      <c r="S73" s="22"/>
      <c r="T73" s="22"/>
      <c r="U73" s="22"/>
      <c r="V73" s="22"/>
      <c r="W73" s="22"/>
      <c r="X73" s="22"/>
      <c r="Y73" s="22"/>
      <c r="Z73" s="22"/>
      <c r="AA73" s="22"/>
      <c r="AB73" s="22"/>
      <c r="AC73" s="22"/>
      <c r="AD73" s="22"/>
      <c r="AE73" s="22"/>
      <c r="AF73" s="22">
        <v>1</v>
      </c>
      <c r="AG73" t="s">
        <v>638</v>
      </c>
      <c r="AH73" s="6">
        <v>4.4846505000000002E-2</v>
      </c>
      <c r="AI73" s="6">
        <v>1.3596754000000001E-2</v>
      </c>
      <c r="AJ73" s="6">
        <v>1323</v>
      </c>
      <c r="AK73" s="6">
        <v>1.3675829999999999E-3</v>
      </c>
      <c r="AL73" s="6">
        <v>3.9999999979999998</v>
      </c>
      <c r="AM73" s="6">
        <v>9.2137421999999997E-2</v>
      </c>
      <c r="AN73" s="6">
        <v>1.4842859999999999E-2</v>
      </c>
      <c r="AO73" s="6">
        <v>8.2460300000000003E-4</v>
      </c>
      <c r="AP73" s="6">
        <v>3.9848599999999998E-4</v>
      </c>
      <c r="AQ73" s="6">
        <v>5.0353683000000003E-2</v>
      </c>
      <c r="AR73" s="6">
        <v>1.5592094000000001E-2</v>
      </c>
      <c r="AS73" s="6">
        <v>4.5292585000000003E-2</v>
      </c>
      <c r="AT73" s="6">
        <v>1.3477118E-2</v>
      </c>
      <c r="AU73" s="6">
        <v>4.1409105000000002E-2</v>
      </c>
      <c r="AV73" s="6">
        <v>1.2685531E-2</v>
      </c>
      <c r="AW73" s="6">
        <v>4.4846505000000002E-2</v>
      </c>
      <c r="AX73" s="6">
        <v>1.3596754000000001E-2</v>
      </c>
      <c r="AY73" s="6">
        <v>1.3880053020000001</v>
      </c>
      <c r="AZ73" s="6">
        <v>0.64677124900000005</v>
      </c>
      <c r="BA73" s="6">
        <v>-2.3262702549999998</v>
      </c>
      <c r="BB73" s="6">
        <v>0.97613180300000002</v>
      </c>
      <c r="BC73" s="6">
        <v>2.7570193930000002</v>
      </c>
      <c r="BD73" s="6">
        <v>1.0525604120000001</v>
      </c>
    </row>
    <row r="74" spans="1:56" ht="16" x14ac:dyDescent="0.2">
      <c r="A74" s="4">
        <v>45840</v>
      </c>
      <c r="B74" s="4"/>
      <c r="C74" s="5" t="s">
        <v>49</v>
      </c>
      <c r="D74" s="5">
        <v>33</v>
      </c>
      <c r="E74" s="5" t="s">
        <v>2</v>
      </c>
      <c r="F74" s="5" t="s">
        <v>3</v>
      </c>
      <c r="G74" s="5">
        <v>0.6</v>
      </c>
      <c r="H74" s="5">
        <v>33.9</v>
      </c>
      <c r="I74" s="22">
        <v>2</v>
      </c>
      <c r="J74" s="22"/>
      <c r="K74" s="22"/>
      <c r="L74" s="22"/>
      <c r="M74" s="22"/>
      <c r="N74" s="22">
        <v>1</v>
      </c>
      <c r="O74" s="22"/>
      <c r="P74" s="22"/>
      <c r="Q74" s="22"/>
      <c r="R74" s="22"/>
      <c r="S74" s="22"/>
      <c r="T74" s="22"/>
      <c r="U74" s="22"/>
      <c r="V74" s="22"/>
      <c r="W74" s="22"/>
      <c r="X74" s="22"/>
      <c r="Y74" s="22"/>
      <c r="Z74" s="22"/>
      <c r="AA74" s="22"/>
      <c r="AB74" s="22"/>
      <c r="AC74" s="22"/>
      <c r="AD74" s="22"/>
      <c r="AE74" s="22"/>
      <c r="AF74" s="22"/>
      <c r="AG74" t="s">
        <v>639</v>
      </c>
      <c r="AH74" s="6">
        <v>7.6713623999999994E-2</v>
      </c>
      <c r="AI74" s="6">
        <v>1.7957221999999998E-2</v>
      </c>
      <c r="AJ74" s="6">
        <v>741</v>
      </c>
      <c r="AK74" s="6">
        <v>1.77523E-3</v>
      </c>
      <c r="AL74" s="6">
        <v>45.254833888</v>
      </c>
      <c r="AM74" s="6">
        <v>9.6798608999999994E-2</v>
      </c>
      <c r="AN74" s="6">
        <v>1.8339412999999999E-2</v>
      </c>
      <c r="AO74" s="6">
        <v>1.0188560000000001E-3</v>
      </c>
      <c r="AP74" s="6">
        <v>6.4071199999999999E-4</v>
      </c>
      <c r="AQ74" s="6">
        <v>0.119343772</v>
      </c>
      <c r="AR74" s="6">
        <v>2.7949650999999999E-2</v>
      </c>
      <c r="AS74" s="6">
        <v>6.5875365000000005E-2</v>
      </c>
      <c r="AT74" s="6">
        <v>1.5546002E-2</v>
      </c>
      <c r="AU74" s="6">
        <v>4.7360092999999999E-2</v>
      </c>
      <c r="AV74" s="6">
        <v>1.0984313000000001E-2</v>
      </c>
      <c r="AW74" s="6">
        <v>7.6713623999999994E-2</v>
      </c>
      <c r="AX74" s="6">
        <v>1.7957221999999998E-2</v>
      </c>
      <c r="AY74" s="6">
        <v>8.4284654640000003</v>
      </c>
      <c r="AZ74" s="6">
        <v>0.37237827899999998</v>
      </c>
      <c r="BA74" s="6">
        <v>-10.223365355</v>
      </c>
      <c r="BB74" s="6">
        <v>0.78603572600000005</v>
      </c>
      <c r="BC74" s="6">
        <v>13.257715578999999</v>
      </c>
      <c r="BD74" s="6">
        <v>0.73853883200000003</v>
      </c>
    </row>
    <row r="75" spans="1:56" ht="16" x14ac:dyDescent="0.2">
      <c r="A75" s="4">
        <v>45840</v>
      </c>
      <c r="B75" s="4"/>
      <c r="C75" s="5" t="s">
        <v>49</v>
      </c>
      <c r="D75" s="5">
        <v>38</v>
      </c>
      <c r="E75" s="5" t="s">
        <v>2</v>
      </c>
      <c r="F75" s="5" t="s">
        <v>3</v>
      </c>
      <c r="G75" s="5">
        <v>1</v>
      </c>
      <c r="H75" s="5">
        <v>42.9</v>
      </c>
      <c r="I75" s="22">
        <v>5</v>
      </c>
      <c r="J75" s="22">
        <v>1</v>
      </c>
      <c r="K75" s="22"/>
      <c r="L75" s="22">
        <v>2</v>
      </c>
      <c r="M75" s="22"/>
      <c r="N75" s="22"/>
      <c r="O75" s="22"/>
      <c r="P75" s="22"/>
      <c r="Q75" s="22">
        <v>4</v>
      </c>
      <c r="R75" s="22"/>
      <c r="S75" s="22"/>
      <c r="T75" s="22"/>
      <c r="U75" s="22"/>
      <c r="V75" s="22"/>
      <c r="W75" s="22"/>
      <c r="X75" s="22">
        <v>1</v>
      </c>
      <c r="Y75" s="22"/>
      <c r="Z75" s="22"/>
      <c r="AA75" s="22"/>
      <c r="AB75" s="22"/>
      <c r="AC75" s="22"/>
      <c r="AD75" s="22"/>
      <c r="AE75" s="22"/>
      <c r="AF75" s="22">
        <v>2</v>
      </c>
      <c r="AG75" t="s">
        <v>640</v>
      </c>
      <c r="AH75" s="6">
        <v>7.1398804999999996E-2</v>
      </c>
      <c r="AI75" s="6">
        <v>6.4922139999999996E-3</v>
      </c>
      <c r="AJ75" s="6">
        <v>1282</v>
      </c>
      <c r="AK75" s="6">
        <v>6.9197200000000001E-4</v>
      </c>
      <c r="AL75" s="6">
        <v>5.6568542449999999</v>
      </c>
      <c r="AM75" s="6">
        <v>8.9962275999999994E-2</v>
      </c>
      <c r="AN75" s="6">
        <v>7.6918070000000002E-3</v>
      </c>
      <c r="AO75" s="6">
        <v>4.2732300000000001E-4</v>
      </c>
      <c r="AP75" s="6">
        <v>2.5646799999999998E-4</v>
      </c>
      <c r="AQ75" s="6">
        <v>9.9435434000000003E-2</v>
      </c>
      <c r="AR75" s="6">
        <v>7.8378170000000004E-3</v>
      </c>
      <c r="AS75" s="6">
        <v>6.5276909999999994E-2</v>
      </c>
      <c r="AT75" s="6">
        <v>6.3441180000000002E-3</v>
      </c>
      <c r="AU75" s="6">
        <v>5.2689073000000003E-2</v>
      </c>
      <c r="AV75" s="6">
        <v>6.8515650000000004E-3</v>
      </c>
      <c r="AW75" s="6">
        <v>7.1398804999999996E-2</v>
      </c>
      <c r="AX75" s="6">
        <v>6.4922139999999996E-3</v>
      </c>
      <c r="AY75" s="6">
        <v>5.9715257450000001</v>
      </c>
      <c r="AZ75" s="6">
        <v>0.67262140699999995</v>
      </c>
      <c r="BA75" s="6">
        <v>-7.005398295</v>
      </c>
      <c r="BB75" s="6">
        <v>1.157685318</v>
      </c>
      <c r="BC75" s="6">
        <v>9.2113025390000001</v>
      </c>
      <c r="BD75" s="6">
        <v>1.2958383579999999</v>
      </c>
    </row>
    <row r="76" spans="1:56" ht="16" x14ac:dyDescent="0.2">
      <c r="A76" s="4">
        <v>45840</v>
      </c>
      <c r="B76" s="4"/>
      <c r="C76" s="5" t="s">
        <v>49</v>
      </c>
      <c r="D76" s="5">
        <v>39</v>
      </c>
      <c r="E76" s="5" t="s">
        <v>2</v>
      </c>
      <c r="F76" s="5" t="s">
        <v>3</v>
      </c>
      <c r="G76" s="5">
        <v>0.95</v>
      </c>
      <c r="H76" s="5">
        <v>42.6</v>
      </c>
      <c r="I76" s="22"/>
      <c r="J76" s="22">
        <v>1</v>
      </c>
      <c r="K76" s="22"/>
      <c r="L76" s="22"/>
      <c r="M76" s="22"/>
      <c r="N76" s="22"/>
      <c r="O76" s="22"/>
      <c r="P76" s="22"/>
      <c r="Q76" s="22"/>
      <c r="R76" s="22"/>
      <c r="S76" s="22"/>
      <c r="T76" s="22"/>
      <c r="U76" s="22"/>
      <c r="V76" s="22"/>
      <c r="W76" s="22"/>
      <c r="X76" s="22"/>
      <c r="Y76" s="22"/>
      <c r="Z76" s="22"/>
      <c r="AA76" s="22"/>
      <c r="AB76" s="22"/>
      <c r="AC76" s="22"/>
      <c r="AD76" s="22"/>
      <c r="AE76" s="22"/>
      <c r="AF76" s="22"/>
      <c r="AG76" t="s">
        <v>641</v>
      </c>
      <c r="AH76" s="6">
        <v>8.1845480999999998E-2</v>
      </c>
      <c r="AI76" s="6">
        <v>1.3126573000000001E-2</v>
      </c>
      <c r="AJ76" s="6">
        <v>1257</v>
      </c>
      <c r="AK76" s="6">
        <v>1.5907759999999999E-3</v>
      </c>
      <c r="AL76" s="6">
        <v>90.509667729</v>
      </c>
      <c r="AM76" s="6">
        <v>0.10953645200000001</v>
      </c>
      <c r="AN76" s="6">
        <v>1.4522803000000001E-2</v>
      </c>
      <c r="AO76" s="6">
        <v>8.0682200000000001E-4</v>
      </c>
      <c r="AP76" s="6">
        <v>5.1614900000000003E-4</v>
      </c>
      <c r="AQ76" s="6">
        <v>0.121170847</v>
      </c>
      <c r="AR76" s="6">
        <v>2.2052473E-2</v>
      </c>
      <c r="AS76" s="6">
        <v>7.2695336999999999E-2</v>
      </c>
      <c r="AT76" s="6">
        <v>1.0791133E-2</v>
      </c>
      <c r="AU76" s="6">
        <v>5.3568027999999997E-2</v>
      </c>
      <c r="AV76" s="6">
        <v>8.0441149999999993E-3</v>
      </c>
      <c r="AW76" s="6">
        <v>8.1845480999999998E-2</v>
      </c>
      <c r="AX76" s="6">
        <v>1.3126573000000001E-2</v>
      </c>
      <c r="AY76" s="6">
        <v>7.130456959</v>
      </c>
      <c r="AZ76" s="6">
        <v>0.96138824700000003</v>
      </c>
      <c r="BA76" s="6">
        <v>-9.1175026500000005</v>
      </c>
      <c r="BB76" s="6">
        <v>0.86302189299999998</v>
      </c>
      <c r="BC76" s="6">
        <v>11.584907966999999</v>
      </c>
      <c r="BD76" s="6">
        <v>1.1962707050000001</v>
      </c>
    </row>
    <row r="77" spans="1:56" ht="16" x14ac:dyDescent="0.2">
      <c r="A77" s="4">
        <v>45840</v>
      </c>
      <c r="B77" s="4"/>
      <c r="C77" s="5" t="s">
        <v>49</v>
      </c>
      <c r="D77" s="5">
        <v>40</v>
      </c>
      <c r="E77" s="5" t="s">
        <v>2</v>
      </c>
      <c r="F77" s="5" t="s">
        <v>3</v>
      </c>
      <c r="G77" s="5">
        <v>0.5</v>
      </c>
      <c r="H77" s="5">
        <v>32.35</v>
      </c>
      <c r="I77" s="22">
        <v>6</v>
      </c>
      <c r="J77" s="22">
        <v>1</v>
      </c>
      <c r="K77" s="22"/>
      <c r="L77" s="22">
        <v>7</v>
      </c>
      <c r="M77" s="22"/>
      <c r="N77" s="22"/>
      <c r="O77" s="22"/>
      <c r="P77" s="22"/>
      <c r="Q77" s="22"/>
      <c r="R77" s="22"/>
      <c r="S77" s="22">
        <v>1</v>
      </c>
      <c r="T77" s="22">
        <v>1</v>
      </c>
      <c r="U77" s="22"/>
      <c r="V77" s="22"/>
      <c r="W77" s="22"/>
      <c r="X77" s="22"/>
      <c r="Y77" s="22"/>
      <c r="Z77" s="22"/>
      <c r="AA77" s="22"/>
      <c r="AB77" s="22"/>
      <c r="AC77" s="22"/>
      <c r="AD77" s="22"/>
      <c r="AE77" s="22"/>
      <c r="AF77" s="22"/>
      <c r="AG77" t="s">
        <v>642</v>
      </c>
      <c r="AH77" s="6">
        <v>7.4095198000000001E-2</v>
      </c>
      <c r="AI77" s="6">
        <v>1.6061036000000001E-2</v>
      </c>
      <c r="AJ77" s="6">
        <v>1097</v>
      </c>
      <c r="AK77" s="6">
        <v>1.664621E-3</v>
      </c>
      <c r="AL77" s="6">
        <v>7.9999999920000002</v>
      </c>
      <c r="AM77" s="6">
        <v>0.10894804</v>
      </c>
      <c r="AN77" s="6">
        <v>1.5279031E-2</v>
      </c>
      <c r="AO77" s="6">
        <v>8.4883500000000004E-4</v>
      </c>
      <c r="AP77" s="6">
        <v>6.42696E-4</v>
      </c>
      <c r="AQ77" s="6">
        <v>0.109431969</v>
      </c>
      <c r="AR77" s="6">
        <v>2.2245306999999999E-2</v>
      </c>
      <c r="AS77" s="6">
        <v>6.6213950999999993E-2</v>
      </c>
      <c r="AT77" s="6">
        <v>1.4688914000000001E-2</v>
      </c>
      <c r="AU77" s="6">
        <v>4.6749892000000001E-2</v>
      </c>
      <c r="AV77" s="6">
        <v>1.2789676999999999E-2</v>
      </c>
      <c r="AW77" s="6">
        <v>7.4095198000000001E-2</v>
      </c>
      <c r="AX77" s="6">
        <v>1.6061036000000001E-2</v>
      </c>
      <c r="AY77" s="6">
        <v>7.1586624140000001</v>
      </c>
      <c r="AZ77" s="6">
        <v>0.75365656299999995</v>
      </c>
      <c r="BA77" s="6">
        <v>-10.091290978</v>
      </c>
      <c r="BB77" s="6">
        <v>1.673373209</v>
      </c>
      <c r="BC77" s="6">
        <v>12.389154876999999</v>
      </c>
      <c r="BD77" s="6">
        <v>1.7196640700000001</v>
      </c>
    </row>
    <row r="78" spans="1:56" ht="29" x14ac:dyDescent="0.2">
      <c r="A78" s="4">
        <v>45842</v>
      </c>
      <c r="B78" s="4"/>
      <c r="C78" s="5" t="s">
        <v>52</v>
      </c>
      <c r="D78" s="5">
        <v>10</v>
      </c>
      <c r="E78" s="5" t="s">
        <v>2</v>
      </c>
      <c r="F78" s="5" t="s">
        <v>3</v>
      </c>
      <c r="G78" s="5">
        <v>1.25</v>
      </c>
      <c r="H78" s="5">
        <v>42.9</v>
      </c>
      <c r="I78" s="22">
        <v>1</v>
      </c>
      <c r="J78" s="22"/>
      <c r="K78" s="22"/>
      <c r="L78" s="22">
        <v>3</v>
      </c>
      <c r="M78" s="22"/>
      <c r="N78" s="22"/>
      <c r="O78" s="22"/>
      <c r="P78" s="22"/>
      <c r="Q78" s="22"/>
      <c r="R78" s="22"/>
      <c r="S78" s="22">
        <v>1</v>
      </c>
      <c r="T78" s="22"/>
      <c r="U78" s="22"/>
      <c r="V78" s="22">
        <v>1</v>
      </c>
      <c r="W78" s="22"/>
      <c r="X78" s="22"/>
      <c r="Y78" s="22"/>
      <c r="Z78" s="22"/>
      <c r="AA78" s="22"/>
      <c r="AB78" s="22"/>
      <c r="AC78" s="22"/>
      <c r="AD78" s="22"/>
      <c r="AE78" s="22"/>
      <c r="AF78" s="22">
        <v>2</v>
      </c>
      <c r="AG78" s="42" t="s">
        <v>643</v>
      </c>
      <c r="AH78" s="6">
        <v>8.3881311E-2</v>
      </c>
      <c r="AI78" s="6">
        <v>1.1510851000000001E-2</v>
      </c>
      <c r="AJ78" s="6">
        <v>2062</v>
      </c>
      <c r="AK78" s="6">
        <v>1.278883E-3</v>
      </c>
      <c r="AL78" s="6">
        <v>5.6568542449999999</v>
      </c>
      <c r="AM78" s="6">
        <v>0.11188295700000001</v>
      </c>
      <c r="AN78" s="6">
        <v>1.1430542E-2</v>
      </c>
      <c r="AO78" s="6">
        <v>6.3502999999999997E-4</v>
      </c>
      <c r="AP78" s="6">
        <v>4.1728000000000002E-4</v>
      </c>
      <c r="AQ78" s="6">
        <v>0.128493845</v>
      </c>
      <c r="AR78" s="6">
        <v>1.9663692999999999E-2</v>
      </c>
      <c r="AS78" s="6">
        <v>7.3306199000000002E-2</v>
      </c>
      <c r="AT78" s="6">
        <v>1.0332928E-2</v>
      </c>
      <c r="AU78" s="6">
        <v>5.0945879999999999E-2</v>
      </c>
      <c r="AV78" s="6">
        <v>9.6729199999999998E-3</v>
      </c>
      <c r="AW78" s="6">
        <v>8.3881311E-2</v>
      </c>
      <c r="AX78" s="6">
        <v>1.1510851000000001E-2</v>
      </c>
      <c r="AY78" s="6">
        <v>7.912298539</v>
      </c>
      <c r="AZ78" s="6">
        <v>1.382904951</v>
      </c>
      <c r="BA78" s="6">
        <v>-10.651601819</v>
      </c>
      <c r="BB78" s="6">
        <v>2.3655089189999998</v>
      </c>
      <c r="BC78" s="6">
        <v>13.274309038</v>
      </c>
      <c r="BD78" s="6">
        <v>2.7132632399999999</v>
      </c>
    </row>
    <row r="79" spans="1:56" ht="16" x14ac:dyDescent="0.2">
      <c r="A79" s="4">
        <v>45842</v>
      </c>
      <c r="B79" s="4"/>
      <c r="C79" s="5" t="s">
        <v>52</v>
      </c>
      <c r="D79" s="5">
        <v>11</v>
      </c>
      <c r="E79" s="5" t="s">
        <v>2</v>
      </c>
      <c r="F79" s="5" t="s">
        <v>3</v>
      </c>
      <c r="G79" s="5">
        <v>1.3</v>
      </c>
      <c r="H79" s="5">
        <v>41.3</v>
      </c>
      <c r="I79" s="22">
        <v>1</v>
      </c>
      <c r="J79" s="22"/>
      <c r="K79" s="22">
        <v>1</v>
      </c>
      <c r="L79" s="22">
        <v>2</v>
      </c>
      <c r="M79" s="22"/>
      <c r="N79" s="22"/>
      <c r="O79" s="22"/>
      <c r="P79" s="22"/>
      <c r="Q79" s="22"/>
      <c r="R79" s="22"/>
      <c r="S79" s="22">
        <v>3</v>
      </c>
      <c r="T79" s="22"/>
      <c r="U79" s="22"/>
      <c r="V79" s="22"/>
      <c r="W79" s="22"/>
      <c r="X79" s="22"/>
      <c r="Y79" s="22"/>
      <c r="Z79" s="22"/>
      <c r="AA79" s="22"/>
      <c r="AB79" s="22"/>
      <c r="AC79" s="22"/>
      <c r="AD79" s="22"/>
      <c r="AE79" s="22"/>
      <c r="AF79" s="22">
        <v>1</v>
      </c>
      <c r="AG79" s="6" t="s">
        <v>398</v>
      </c>
      <c r="AH79" s="6">
        <v>7.9875087999999997E-2</v>
      </c>
      <c r="AI79" s="6">
        <v>1.5717116E-2</v>
      </c>
      <c r="AJ79" s="6">
        <v>1982</v>
      </c>
      <c r="AK79" s="6">
        <v>1.6691049999999999E-3</v>
      </c>
      <c r="AL79" s="6">
        <v>5.6568542449999999</v>
      </c>
      <c r="AM79" s="6">
        <v>0.11255939600000001</v>
      </c>
      <c r="AN79" s="6">
        <v>1.4828664E-2</v>
      </c>
      <c r="AO79" s="6">
        <v>8.2381499999999999E-4</v>
      </c>
      <c r="AP79" s="6">
        <v>6.2340900000000001E-4</v>
      </c>
      <c r="AQ79" s="6">
        <v>0.11662177</v>
      </c>
      <c r="AR79" s="6">
        <v>2.7267969999999999E-2</v>
      </c>
      <c r="AS79" s="6">
        <v>7.1631377999999996E-2</v>
      </c>
      <c r="AT79" s="6">
        <v>1.2941329999999999E-2</v>
      </c>
      <c r="AU79" s="6">
        <v>5.2836631000000002E-2</v>
      </c>
      <c r="AV79" s="6">
        <v>9.1651200000000006E-3</v>
      </c>
      <c r="AW79" s="6">
        <v>7.9875087999999997E-2</v>
      </c>
      <c r="AX79" s="6">
        <v>1.5717116E-2</v>
      </c>
      <c r="AY79" s="6">
        <v>6.6340971670000002</v>
      </c>
      <c r="AZ79" s="6">
        <v>1.668431606</v>
      </c>
      <c r="BA79" s="6">
        <v>-8.7543877670000008</v>
      </c>
      <c r="BB79" s="6">
        <v>1.782368245</v>
      </c>
      <c r="BC79" s="6">
        <v>11.003022885</v>
      </c>
      <c r="BD79" s="6">
        <v>2.354639803</v>
      </c>
    </row>
    <row r="80" spans="1:56" ht="29" x14ac:dyDescent="0.2">
      <c r="A80" s="4">
        <v>45842</v>
      </c>
      <c r="B80" s="4"/>
      <c r="C80" s="5" t="s">
        <v>52</v>
      </c>
      <c r="D80" s="5">
        <v>12</v>
      </c>
      <c r="E80" s="5" t="s">
        <v>2</v>
      </c>
      <c r="F80" s="5" t="s">
        <v>3</v>
      </c>
      <c r="G80" s="5">
        <v>0.95</v>
      </c>
      <c r="H80" s="5">
        <v>36.9</v>
      </c>
      <c r="I80" s="22">
        <v>4</v>
      </c>
      <c r="J80" s="22"/>
      <c r="K80" s="22"/>
      <c r="L80" s="22">
        <v>1</v>
      </c>
      <c r="M80" s="22"/>
      <c r="N80" s="22">
        <v>2</v>
      </c>
      <c r="O80" s="22"/>
      <c r="P80" s="22"/>
      <c r="Q80" s="22">
        <v>1</v>
      </c>
      <c r="R80" s="22">
        <v>1</v>
      </c>
      <c r="S80" s="22">
        <v>2</v>
      </c>
      <c r="T80" s="22">
        <v>1</v>
      </c>
      <c r="U80" s="22"/>
      <c r="V80" s="22"/>
      <c r="W80" s="22"/>
      <c r="X80" s="22"/>
      <c r="Y80" s="22"/>
      <c r="Z80" s="22"/>
      <c r="AA80" s="22"/>
      <c r="AB80" s="22"/>
      <c r="AC80" s="22"/>
      <c r="AD80" s="22">
        <v>1</v>
      </c>
      <c r="AE80" s="22"/>
      <c r="AF80" s="22">
        <v>1</v>
      </c>
      <c r="AG80" s="42" t="s">
        <v>644</v>
      </c>
      <c r="AH80" s="6">
        <v>7.0599806000000001E-2</v>
      </c>
      <c r="AI80" s="6">
        <v>1.588912E-2</v>
      </c>
      <c r="AJ80" s="6">
        <v>1567</v>
      </c>
      <c r="AK80" s="6">
        <v>1.729888E-3</v>
      </c>
      <c r="AL80" s="6">
        <v>5.6568542449999999</v>
      </c>
      <c r="AM80" s="6">
        <v>0.116278144</v>
      </c>
      <c r="AN80" s="6">
        <v>1.4877154E-2</v>
      </c>
      <c r="AO80" s="6">
        <v>8.2650900000000001E-4</v>
      </c>
      <c r="AP80" s="6">
        <v>6.0970600000000001E-4</v>
      </c>
      <c r="AQ80" s="6">
        <v>0.114241519</v>
      </c>
      <c r="AR80" s="6">
        <v>2.5753564E-2</v>
      </c>
      <c r="AS80" s="6">
        <v>5.9298255000000001E-2</v>
      </c>
      <c r="AT80" s="6">
        <v>1.3544133E-2</v>
      </c>
      <c r="AU80" s="6">
        <v>4.1467842999999997E-2</v>
      </c>
      <c r="AV80" s="6">
        <v>1.0896972E-2</v>
      </c>
      <c r="AW80" s="6">
        <v>7.0599806000000001E-2</v>
      </c>
      <c r="AX80" s="6">
        <v>1.588912E-2</v>
      </c>
      <c r="AY80" s="6">
        <v>9.2542612630000001</v>
      </c>
      <c r="AZ80" s="6">
        <v>1.1929643169999999</v>
      </c>
      <c r="BA80" s="6">
        <v>-11.332029200999999</v>
      </c>
      <c r="BB80" s="6">
        <v>2.0472418019999998</v>
      </c>
      <c r="BC80" s="6">
        <v>14.637648236</v>
      </c>
      <c r="BD80" s="6">
        <v>2.3258812469999999</v>
      </c>
    </row>
    <row r="81" spans="1:56" ht="29" x14ac:dyDescent="0.2">
      <c r="A81" s="4">
        <v>45842</v>
      </c>
      <c r="B81" s="4"/>
      <c r="C81" s="5" t="s">
        <v>52</v>
      </c>
      <c r="D81" s="5">
        <v>13</v>
      </c>
      <c r="E81" s="5" t="s">
        <v>2</v>
      </c>
      <c r="F81" s="5" t="s">
        <v>5</v>
      </c>
      <c r="G81" s="5">
        <v>0.7</v>
      </c>
      <c r="H81" s="5">
        <v>36.9</v>
      </c>
      <c r="I81" s="22">
        <v>3</v>
      </c>
      <c r="J81" s="22"/>
      <c r="K81" s="22"/>
      <c r="L81" s="22"/>
      <c r="M81" s="22"/>
      <c r="N81" s="22"/>
      <c r="O81" s="22"/>
      <c r="P81" s="22"/>
      <c r="Q81" s="22"/>
      <c r="R81" s="22"/>
      <c r="S81" s="22">
        <v>2</v>
      </c>
      <c r="T81" s="22"/>
      <c r="U81" s="22"/>
      <c r="V81" s="22"/>
      <c r="W81" s="22"/>
      <c r="X81" s="22"/>
      <c r="Y81" s="22"/>
      <c r="Z81" s="22"/>
      <c r="AA81" s="22"/>
      <c r="AB81" s="22"/>
      <c r="AC81" s="22"/>
      <c r="AD81" s="22"/>
      <c r="AE81" s="22"/>
      <c r="AF81" s="22"/>
      <c r="AG81" s="42" t="s">
        <v>645</v>
      </c>
      <c r="AH81" s="6">
        <v>5.9756583000000002E-2</v>
      </c>
      <c r="AI81" s="6">
        <v>1.4031592000000001E-2</v>
      </c>
      <c r="AJ81" s="6">
        <v>1279</v>
      </c>
      <c r="AK81" s="6">
        <v>1.5468529999999999E-3</v>
      </c>
      <c r="AL81" s="6">
        <v>3.9999999979999998</v>
      </c>
      <c r="AM81" s="6">
        <v>0.119756605</v>
      </c>
      <c r="AN81" s="6">
        <v>1.2916642000000001E-2</v>
      </c>
      <c r="AO81" s="6">
        <v>7.1759099999999995E-4</v>
      </c>
      <c r="AP81" s="6">
        <v>5.3760600000000004E-4</v>
      </c>
      <c r="AQ81" s="6">
        <v>9.1565419999999995E-2</v>
      </c>
      <c r="AR81" s="6">
        <v>1.9492493E-2</v>
      </c>
      <c r="AS81" s="6">
        <v>5.1504277000000001E-2</v>
      </c>
      <c r="AT81" s="6">
        <v>1.3276596999999999E-2</v>
      </c>
      <c r="AU81" s="6">
        <v>3.9958462E-2</v>
      </c>
      <c r="AV81" s="6">
        <v>1.1360373E-2</v>
      </c>
      <c r="AW81" s="6">
        <v>5.9756583000000002E-2</v>
      </c>
      <c r="AX81" s="6">
        <v>1.4031592000000001E-2</v>
      </c>
      <c r="AY81" s="6">
        <v>8.2977358920000004</v>
      </c>
      <c r="AZ81" s="6">
        <v>1.817791895</v>
      </c>
      <c r="BA81" s="6">
        <v>-9.1081942439999999</v>
      </c>
      <c r="BB81" s="6">
        <v>2.0625886329999998</v>
      </c>
      <c r="BC81" s="6">
        <v>12.324948703</v>
      </c>
      <c r="BD81" s="6">
        <v>2.7323670099999999</v>
      </c>
    </row>
    <row r="82" spans="1:56" ht="16" x14ac:dyDescent="0.2">
      <c r="A82" s="4">
        <v>45842</v>
      </c>
      <c r="B82" s="4"/>
      <c r="C82" s="5" t="s">
        <v>52</v>
      </c>
      <c r="D82" s="5">
        <v>14</v>
      </c>
      <c r="E82" s="5" t="s">
        <v>2</v>
      </c>
      <c r="F82" s="5" t="s">
        <v>3</v>
      </c>
      <c r="G82" s="5">
        <v>0.8</v>
      </c>
      <c r="H82" s="5">
        <v>36.799999999999997</v>
      </c>
      <c r="I82" s="22">
        <v>2</v>
      </c>
      <c r="J82" s="22"/>
      <c r="K82" s="22"/>
      <c r="L82" s="22">
        <v>1</v>
      </c>
      <c r="M82" s="22"/>
      <c r="N82" s="22"/>
      <c r="O82" s="22"/>
      <c r="P82" s="22"/>
      <c r="Q82" s="22">
        <v>1</v>
      </c>
      <c r="R82" s="22"/>
      <c r="S82" s="22">
        <v>1</v>
      </c>
      <c r="T82" s="22">
        <v>1</v>
      </c>
      <c r="U82" s="22"/>
      <c r="V82" s="22"/>
      <c r="W82" s="22"/>
      <c r="X82" s="22"/>
      <c r="Y82" s="22"/>
      <c r="Z82" s="22"/>
      <c r="AA82" s="22"/>
      <c r="AB82" s="22"/>
      <c r="AC82" s="22"/>
      <c r="AD82" s="22">
        <v>1</v>
      </c>
      <c r="AE82" s="22"/>
      <c r="AF82" s="22"/>
      <c r="AG82" s="6" t="s">
        <v>399</v>
      </c>
      <c r="AH82" s="6">
        <v>8.0819155000000004E-2</v>
      </c>
      <c r="AI82" s="6">
        <v>1.6545477999999999E-2</v>
      </c>
      <c r="AJ82" s="6">
        <v>1330</v>
      </c>
      <c r="AK82" s="6">
        <v>1.9496439999999999E-3</v>
      </c>
      <c r="AL82" s="6">
        <v>5.6568542449999999</v>
      </c>
      <c r="AM82" s="6">
        <v>0.128948219</v>
      </c>
      <c r="AN82" s="6">
        <v>1.5119591999999999E-2</v>
      </c>
      <c r="AO82" s="6">
        <v>8.39977E-4</v>
      </c>
      <c r="AP82" s="6">
        <v>6.9422500000000003E-4</v>
      </c>
      <c r="AQ82" s="6">
        <v>0.127286922</v>
      </c>
      <c r="AR82" s="6">
        <v>3.3497820999999997E-2</v>
      </c>
      <c r="AS82" s="6">
        <v>6.8908176000000002E-2</v>
      </c>
      <c r="AT82" s="6">
        <v>1.1966371999999999E-2</v>
      </c>
      <c r="AU82" s="6">
        <v>4.9100023E-2</v>
      </c>
      <c r="AV82" s="6">
        <v>7.8925279999999993E-3</v>
      </c>
      <c r="AW82" s="6">
        <v>8.0819155000000004E-2</v>
      </c>
      <c r="AX82" s="6">
        <v>1.6545477999999999E-2</v>
      </c>
      <c r="AY82" s="6">
        <v>8.3787242230000007</v>
      </c>
      <c r="AZ82" s="6">
        <v>1.8476595570000001</v>
      </c>
      <c r="BA82" s="6">
        <v>-10.344007951</v>
      </c>
      <c r="BB82" s="6">
        <v>2.2004169770000002</v>
      </c>
      <c r="BC82" s="6">
        <v>13.316256299000001</v>
      </c>
      <c r="BD82" s="6">
        <v>2.8520917400000001</v>
      </c>
    </row>
    <row r="83" spans="1:56" ht="16" x14ac:dyDescent="0.2">
      <c r="A83" s="4">
        <v>45842</v>
      </c>
      <c r="B83" s="4"/>
      <c r="C83" s="5" t="s">
        <v>52</v>
      </c>
      <c r="D83" s="5">
        <v>16</v>
      </c>
      <c r="E83" s="5" t="s">
        <v>2</v>
      </c>
      <c r="F83" s="5" t="s">
        <v>3</v>
      </c>
      <c r="G83" s="5">
        <v>0.75</v>
      </c>
      <c r="H83" s="5">
        <v>33.549999999999997</v>
      </c>
      <c r="I83" s="22">
        <v>3</v>
      </c>
      <c r="J83" s="22"/>
      <c r="K83" s="22"/>
      <c r="L83" s="22"/>
      <c r="M83" s="22"/>
      <c r="N83" s="22">
        <v>1</v>
      </c>
      <c r="O83" s="22"/>
      <c r="P83" s="22"/>
      <c r="Q83" s="22"/>
      <c r="R83" s="22"/>
      <c r="S83" s="22">
        <v>1</v>
      </c>
      <c r="T83" s="22">
        <v>1</v>
      </c>
      <c r="U83" s="22"/>
      <c r="V83" s="22"/>
      <c r="W83" s="22">
        <v>1</v>
      </c>
      <c r="X83" s="22"/>
      <c r="Y83" s="22"/>
      <c r="Z83" s="22"/>
      <c r="AA83" s="22"/>
      <c r="AB83" s="22"/>
      <c r="AC83" s="22"/>
      <c r="AD83" s="22"/>
      <c r="AE83" s="22"/>
      <c r="AF83" s="22"/>
      <c r="AG83" s="9" t="s">
        <v>646</v>
      </c>
      <c r="AH83" s="6">
        <v>8.0673632999999995E-2</v>
      </c>
      <c r="AI83" s="6">
        <v>2.1020163000000001E-2</v>
      </c>
      <c r="AJ83" s="6">
        <v>1176</v>
      </c>
      <c r="AK83" s="6">
        <v>2.2918080000000002E-3</v>
      </c>
      <c r="AL83" s="6">
        <v>3.9999999979999998</v>
      </c>
      <c r="AM83" s="6">
        <v>0.116325416</v>
      </c>
      <c r="AN83" s="6">
        <v>1.9701697000000001E-2</v>
      </c>
      <c r="AO83" s="6">
        <v>1.0945390000000001E-3</v>
      </c>
      <c r="AP83" s="6">
        <v>7.9712900000000004E-4</v>
      </c>
      <c r="AQ83" s="6">
        <v>0.13360523899999999</v>
      </c>
      <c r="AR83" s="6">
        <v>3.2699337000000002E-2</v>
      </c>
      <c r="AS83" s="6">
        <v>6.6968235000000001E-2</v>
      </c>
      <c r="AT83" s="6">
        <v>1.8145640000000001E-2</v>
      </c>
      <c r="AU83" s="6">
        <v>4.2951656999999997E-2</v>
      </c>
      <c r="AV83" s="6">
        <v>1.341121E-2</v>
      </c>
      <c r="AW83" s="6">
        <v>8.0673632999999995E-2</v>
      </c>
      <c r="AX83" s="6">
        <v>2.1020163000000001E-2</v>
      </c>
      <c r="AY83" s="6">
        <v>9.8965077430000008</v>
      </c>
      <c r="AZ83" s="6">
        <v>1.0163129209999999</v>
      </c>
      <c r="BA83" s="6">
        <v>-13.245138862999999</v>
      </c>
      <c r="BB83" s="6">
        <v>1.8370501779999999</v>
      </c>
      <c r="BC83" s="6">
        <v>16.540262499000001</v>
      </c>
      <c r="BD83" s="6">
        <v>2.0498186810000001</v>
      </c>
    </row>
    <row r="84" spans="1:56" ht="16" x14ac:dyDescent="0.2">
      <c r="A84" s="4">
        <v>45842</v>
      </c>
      <c r="B84" s="4"/>
      <c r="C84" s="5" t="s">
        <v>52</v>
      </c>
      <c r="D84" s="5">
        <v>17</v>
      </c>
      <c r="E84" s="5" t="s">
        <v>2</v>
      </c>
      <c r="F84" s="5" t="s">
        <v>5</v>
      </c>
      <c r="G84" s="5">
        <v>0.65</v>
      </c>
      <c r="H84" s="5">
        <v>33</v>
      </c>
      <c r="I84" s="22">
        <v>1</v>
      </c>
      <c r="J84" s="22"/>
      <c r="K84" s="22"/>
      <c r="L84" s="22"/>
      <c r="M84" s="22"/>
      <c r="N84" s="22"/>
      <c r="O84" s="22"/>
      <c r="P84" s="22"/>
      <c r="Q84" s="22"/>
      <c r="R84" s="22"/>
      <c r="S84" s="22">
        <v>1</v>
      </c>
      <c r="T84" s="22"/>
      <c r="U84" s="22"/>
      <c r="V84" s="22"/>
      <c r="W84" s="22"/>
      <c r="X84" s="22"/>
      <c r="Y84" s="22"/>
      <c r="Z84" s="22"/>
      <c r="AA84" s="22"/>
      <c r="AB84" s="22"/>
      <c r="AC84" s="22"/>
      <c r="AD84" s="22"/>
      <c r="AE84" s="22"/>
      <c r="AF84" s="22"/>
      <c r="AG84" t="s">
        <v>647</v>
      </c>
      <c r="AH84" s="6">
        <v>6.1614901E-2</v>
      </c>
      <c r="AI84" s="6">
        <v>1.3048667999999999E-2</v>
      </c>
      <c r="AJ84" s="6">
        <v>1204</v>
      </c>
      <c r="AK84" s="6">
        <v>1.4572159999999999E-3</v>
      </c>
      <c r="AL84" s="6">
        <v>5.6568542449999999</v>
      </c>
      <c r="AM84" s="6">
        <v>0.11673989</v>
      </c>
      <c r="AN84" s="6">
        <v>1.2482586E-2</v>
      </c>
      <c r="AO84" s="6">
        <v>6.9347699999999996E-4</v>
      </c>
      <c r="AP84" s="6">
        <v>5.5521300000000004E-4</v>
      </c>
      <c r="AQ84" s="6">
        <v>9.4609956999999995E-2</v>
      </c>
      <c r="AR84" s="6">
        <v>2.3437309E-2</v>
      </c>
      <c r="AS84" s="6">
        <v>5.4007755999999997E-2</v>
      </c>
      <c r="AT84" s="6">
        <v>1.0621502999999999E-2</v>
      </c>
      <c r="AU84" s="6">
        <v>3.8011561999999999E-2</v>
      </c>
      <c r="AV84" s="6">
        <v>7.4647639999999996E-3</v>
      </c>
      <c r="AW84" s="6">
        <v>6.1614901E-2</v>
      </c>
      <c r="AX84" s="6">
        <v>1.3048667999999999E-2</v>
      </c>
      <c r="AY84" s="6">
        <v>7.5851648950000001</v>
      </c>
      <c r="AZ84" s="6">
        <v>2.1267874569999998</v>
      </c>
      <c r="BA84" s="6">
        <v>-10.059844440999999</v>
      </c>
      <c r="BB84" s="6">
        <v>2.4783306020000002</v>
      </c>
      <c r="BC84" s="6">
        <v>12.611380257</v>
      </c>
      <c r="BD84" s="6">
        <v>3.2176657820000001</v>
      </c>
    </row>
    <row r="85" spans="1:56" ht="16" x14ac:dyDescent="0.2">
      <c r="A85" s="4">
        <v>45842</v>
      </c>
      <c r="B85" s="4"/>
      <c r="C85" s="5" t="s">
        <v>52</v>
      </c>
      <c r="D85" s="5">
        <v>19</v>
      </c>
      <c r="E85" s="5" t="s">
        <v>2</v>
      </c>
      <c r="F85" s="5" t="s">
        <v>3</v>
      </c>
      <c r="G85" s="5">
        <v>0.95</v>
      </c>
      <c r="H85" s="5">
        <v>35.5</v>
      </c>
      <c r="I85" s="22">
        <v>4</v>
      </c>
      <c r="J85" s="22"/>
      <c r="K85" s="22"/>
      <c r="L85" s="22">
        <v>2</v>
      </c>
      <c r="M85" s="22">
        <v>2</v>
      </c>
      <c r="N85" s="22">
        <v>4</v>
      </c>
      <c r="O85" s="22"/>
      <c r="P85" s="22"/>
      <c r="Q85" s="22"/>
      <c r="R85" s="22">
        <v>16</v>
      </c>
      <c r="S85" s="22">
        <v>1</v>
      </c>
      <c r="T85" s="22"/>
      <c r="U85" s="22"/>
      <c r="V85" s="22"/>
      <c r="W85" s="22"/>
      <c r="X85" s="22"/>
      <c r="Y85" s="22"/>
      <c r="Z85" s="22"/>
      <c r="AA85" s="22"/>
      <c r="AB85" s="22"/>
      <c r="AC85" s="22"/>
      <c r="AD85" s="22"/>
      <c r="AE85" s="22"/>
      <c r="AF85" s="22">
        <v>15</v>
      </c>
      <c r="AG85" t="s">
        <v>649</v>
      </c>
      <c r="AH85" s="6">
        <v>9.3368594999999999E-2</v>
      </c>
      <c r="AI85" s="6">
        <v>1.2925938E-2</v>
      </c>
      <c r="AJ85" s="6">
        <v>1608</v>
      </c>
      <c r="AK85" s="6">
        <v>1.4829820000000001E-3</v>
      </c>
      <c r="AL85" s="6">
        <v>5.6568542449999999</v>
      </c>
      <c r="AM85" s="6">
        <v>0.123695729</v>
      </c>
      <c r="AN85" s="6">
        <v>1.1988947999999999E-2</v>
      </c>
      <c r="AO85" s="6">
        <v>6.66053E-4</v>
      </c>
      <c r="AP85" s="6">
        <v>5.2618999999999995E-4</v>
      </c>
      <c r="AQ85" s="6">
        <v>0.15919063899999999</v>
      </c>
      <c r="AR85" s="6">
        <v>1.9344073E-2</v>
      </c>
      <c r="AS85" s="6">
        <v>7.6122036000000004E-2</v>
      </c>
      <c r="AT85" s="6">
        <v>1.2383628000000001E-2</v>
      </c>
      <c r="AU85" s="6">
        <v>4.6718844000000002E-2</v>
      </c>
      <c r="AV85" s="6">
        <v>8.3838379999999994E-3</v>
      </c>
      <c r="AW85" s="6">
        <v>9.3368594999999999E-2</v>
      </c>
      <c r="AX85" s="6">
        <v>1.2925938E-2</v>
      </c>
      <c r="AY85" s="6">
        <v>10.527677904000001</v>
      </c>
      <c r="AZ85" s="6">
        <v>1.31188075</v>
      </c>
      <c r="BA85" s="6">
        <v>-14.106271277999999</v>
      </c>
      <c r="BB85" s="6">
        <v>1.1753449499999999</v>
      </c>
      <c r="BC85" s="6">
        <v>17.609396658000001</v>
      </c>
      <c r="BD85" s="6">
        <v>1.6823611430000001</v>
      </c>
    </row>
    <row r="86" spans="1:56" ht="16" x14ac:dyDescent="0.2">
      <c r="A86" s="33">
        <v>45842</v>
      </c>
      <c r="B86" s="33"/>
      <c r="C86" s="34" t="s">
        <v>52</v>
      </c>
      <c r="D86" s="34">
        <v>20</v>
      </c>
      <c r="E86" s="34" t="s">
        <v>2</v>
      </c>
      <c r="F86" s="34" t="s">
        <v>3</v>
      </c>
      <c r="G86" s="34">
        <v>0.45</v>
      </c>
      <c r="H86" s="34">
        <v>32.700000000000003</v>
      </c>
      <c r="I86" s="22">
        <v>1</v>
      </c>
      <c r="J86" s="22">
        <v>1</v>
      </c>
      <c r="K86" s="22"/>
      <c r="L86" s="22">
        <v>1</v>
      </c>
      <c r="M86" s="22"/>
      <c r="N86" s="22"/>
      <c r="O86" s="22"/>
      <c r="P86" s="22">
        <v>1</v>
      </c>
      <c r="Q86" s="22"/>
      <c r="R86" s="22"/>
      <c r="S86" s="22">
        <v>1</v>
      </c>
      <c r="T86" s="22"/>
      <c r="U86" s="22"/>
      <c r="V86" s="22"/>
      <c r="W86" s="22">
        <v>2</v>
      </c>
      <c r="X86" s="22"/>
      <c r="Y86" s="22"/>
      <c r="Z86" s="22"/>
      <c r="AA86" s="22"/>
      <c r="AB86" s="22"/>
      <c r="AC86" s="22"/>
      <c r="AD86" s="22"/>
      <c r="AE86" s="22"/>
      <c r="AF86" s="22"/>
      <c r="AG86" s="6" t="s">
        <v>400</v>
      </c>
      <c r="AH86" s="6">
        <v>6.2626757000000005E-2</v>
      </c>
      <c r="AI86" s="6">
        <v>1.950197E-2</v>
      </c>
      <c r="AJ86" s="6">
        <v>964</v>
      </c>
      <c r="AK86" s="6">
        <v>2.1342560000000002E-3</v>
      </c>
      <c r="AL86" s="6">
        <v>3.9999999979999998</v>
      </c>
      <c r="AM86" s="6">
        <v>0.12225098299999999</v>
      </c>
      <c r="AN86" s="6">
        <v>1.7457984999999999E-2</v>
      </c>
      <c r="AO86" s="6">
        <v>9.6988800000000002E-4</v>
      </c>
      <c r="AP86" s="6">
        <v>7.8331899999999999E-4</v>
      </c>
      <c r="AQ86" s="6">
        <v>0.10183078</v>
      </c>
      <c r="AR86" s="6">
        <v>3.2046768000000003E-2</v>
      </c>
      <c r="AS86" s="6">
        <v>5.1900064000000003E-2</v>
      </c>
      <c r="AT86" s="6">
        <v>1.6225989E-2</v>
      </c>
      <c r="AU86" s="6">
        <v>3.8328597999999998E-2</v>
      </c>
      <c r="AV86" s="6">
        <v>1.2011172000000001E-2</v>
      </c>
      <c r="AW86" s="6">
        <v>6.2626757000000005E-2</v>
      </c>
      <c r="AX86" s="6">
        <v>1.950197E-2</v>
      </c>
      <c r="AY86" s="6">
        <v>9.3367341509999999</v>
      </c>
      <c r="AZ86" s="6">
        <v>1.7634736</v>
      </c>
      <c r="BA86" s="6">
        <v>-10.309716062</v>
      </c>
      <c r="BB86" s="6">
        <v>1.3929092249999999</v>
      </c>
      <c r="BC86" s="6">
        <v>13.920527104</v>
      </c>
      <c r="BD86" s="6">
        <v>2.1756567229999999</v>
      </c>
    </row>
    <row r="87" spans="1:56" ht="16" x14ac:dyDescent="0.2">
      <c r="A87" s="33">
        <v>45845</v>
      </c>
      <c r="B87" s="33"/>
      <c r="C87" s="34" t="s">
        <v>35</v>
      </c>
      <c r="D87" s="34">
        <v>9</v>
      </c>
      <c r="E87" s="34" t="s">
        <v>2</v>
      </c>
      <c r="F87" s="34" t="s">
        <v>5</v>
      </c>
      <c r="G87" s="34">
        <v>1.2</v>
      </c>
      <c r="H87" s="34">
        <v>39</v>
      </c>
      <c r="I87" s="22"/>
      <c r="J87" s="22"/>
      <c r="K87" s="22"/>
      <c r="L87" s="22"/>
      <c r="M87" s="22"/>
      <c r="N87" s="22"/>
      <c r="O87" s="22"/>
      <c r="P87" s="22"/>
      <c r="Q87" s="22"/>
      <c r="R87" s="22"/>
      <c r="S87" s="22"/>
      <c r="T87" s="22"/>
      <c r="U87" s="22"/>
      <c r="V87" s="22"/>
      <c r="W87" s="22"/>
      <c r="X87" s="22"/>
      <c r="Y87" s="22"/>
      <c r="Z87" s="22"/>
      <c r="AA87" s="22"/>
      <c r="AB87" s="22"/>
      <c r="AC87" s="22"/>
      <c r="AD87" s="22"/>
      <c r="AE87" s="22"/>
      <c r="AF87" s="22">
        <v>2</v>
      </c>
      <c r="AG87" s="6" t="s">
        <v>401</v>
      </c>
      <c r="AH87" s="6">
        <v>0.10362231500000001</v>
      </c>
      <c r="AI87" s="6">
        <v>1.0475124000000001E-2</v>
      </c>
      <c r="AJ87" s="6">
        <v>1947</v>
      </c>
      <c r="AK87" s="6">
        <v>1.3055720000000001E-3</v>
      </c>
      <c r="AL87" s="6">
        <v>5.6568542449999999</v>
      </c>
      <c r="AM87" s="6">
        <v>0.12513412099999999</v>
      </c>
      <c r="AN87" s="6">
        <v>1.0433384E-2</v>
      </c>
      <c r="AO87" s="6">
        <v>5.7963199999999996E-4</v>
      </c>
      <c r="AP87" s="6">
        <v>4.62416E-4</v>
      </c>
      <c r="AQ87" s="6">
        <v>0.17001238299999999</v>
      </c>
      <c r="AR87" s="6">
        <v>2.4126620000000001E-2</v>
      </c>
      <c r="AS87" s="6">
        <v>8.6134850999999998E-2</v>
      </c>
      <c r="AT87" s="6">
        <v>6.8455319999999997E-3</v>
      </c>
      <c r="AU87" s="6">
        <v>5.7700224000000001E-2</v>
      </c>
      <c r="AV87" s="6">
        <v>4.5696060000000004E-3</v>
      </c>
      <c r="AW87" s="6">
        <v>0.10362231500000001</v>
      </c>
      <c r="AX87" s="6">
        <v>1.0475124000000001E-2</v>
      </c>
      <c r="AY87" s="6">
        <v>9.5223020619999996</v>
      </c>
      <c r="AZ87" s="6">
        <v>1.1730953690000001</v>
      </c>
      <c r="BA87" s="6">
        <v>-12.044173925999999</v>
      </c>
      <c r="BB87" s="6">
        <v>1.582946467</v>
      </c>
      <c r="BC87" s="6">
        <v>15.360550847000001</v>
      </c>
      <c r="BD87" s="6">
        <v>1.916143041</v>
      </c>
    </row>
    <row r="88" spans="1:56" ht="16" x14ac:dyDescent="0.2">
      <c r="A88" s="4">
        <v>45845</v>
      </c>
      <c r="B88" s="4"/>
      <c r="C88" s="5" t="s">
        <v>35</v>
      </c>
      <c r="D88" s="5">
        <v>10</v>
      </c>
      <c r="E88" s="5" t="s">
        <v>2</v>
      </c>
      <c r="F88" s="5" t="s">
        <v>5</v>
      </c>
      <c r="G88" s="5">
        <v>0.65</v>
      </c>
      <c r="H88" s="5">
        <v>31.8</v>
      </c>
      <c r="I88" s="22">
        <v>1</v>
      </c>
      <c r="J88" s="22"/>
      <c r="K88" s="22"/>
      <c r="L88" s="22">
        <v>2</v>
      </c>
      <c r="M88" s="22"/>
      <c r="N88" s="22"/>
      <c r="O88" s="22"/>
      <c r="P88" s="22"/>
      <c r="Q88" s="22"/>
      <c r="R88" s="22"/>
      <c r="S88" s="22"/>
      <c r="T88" s="22"/>
      <c r="U88" s="22"/>
      <c r="V88" s="22"/>
      <c r="W88" s="22"/>
      <c r="X88" s="22"/>
      <c r="Y88" s="22"/>
      <c r="Z88" s="22"/>
      <c r="AA88" s="22"/>
      <c r="AB88" s="22"/>
      <c r="AC88" s="22"/>
      <c r="AD88" s="22"/>
      <c r="AE88" s="22"/>
      <c r="AF88" s="22">
        <v>1</v>
      </c>
      <c r="AG88" t="s">
        <v>650</v>
      </c>
      <c r="AH88" s="6">
        <v>9.0473741999999996E-2</v>
      </c>
      <c r="AI88" s="6">
        <v>1.7968949000000001E-2</v>
      </c>
      <c r="AJ88" s="6">
        <v>1148</v>
      </c>
      <c r="AK88" s="6">
        <v>1.973247E-3</v>
      </c>
      <c r="AL88" s="6">
        <v>3.9999999979999998</v>
      </c>
      <c r="AM88" s="6">
        <v>0.11969299</v>
      </c>
      <c r="AN88" s="6">
        <v>1.6485903E-2</v>
      </c>
      <c r="AO88" s="6">
        <v>9.1588300000000004E-4</v>
      </c>
      <c r="AP88" s="6">
        <v>7.0565600000000003E-4</v>
      </c>
      <c r="AQ88" s="6">
        <v>0.142211591</v>
      </c>
      <c r="AR88" s="6">
        <v>3.1832352000000001E-2</v>
      </c>
      <c r="AS88" s="6">
        <v>7.8878436999999996E-2</v>
      </c>
      <c r="AT88" s="6">
        <v>1.4952708E-2</v>
      </c>
      <c r="AU88" s="6">
        <v>4.7625721000000003E-2</v>
      </c>
      <c r="AV88" s="6">
        <v>9.8408469999999998E-3</v>
      </c>
      <c r="AW88" s="6">
        <v>9.0473741999999996E-2</v>
      </c>
      <c r="AX88" s="6">
        <v>1.7968949000000001E-2</v>
      </c>
      <c r="AY88" s="6">
        <v>8.2213594000000008</v>
      </c>
      <c r="AZ88" s="6">
        <v>1.1990065679999999</v>
      </c>
      <c r="BA88" s="6">
        <v>-13.039587462</v>
      </c>
      <c r="BB88" s="6">
        <v>2.5385166749999999</v>
      </c>
      <c r="BC88" s="6">
        <v>15.423162445000001</v>
      </c>
      <c r="BD88" s="6">
        <v>2.7620853959999998</v>
      </c>
    </row>
    <row r="89" spans="1:56" ht="16" x14ac:dyDescent="0.2">
      <c r="A89" s="4">
        <v>45845</v>
      </c>
      <c r="B89" s="4"/>
      <c r="C89" s="5" t="s">
        <v>35</v>
      </c>
      <c r="D89" s="5">
        <v>11</v>
      </c>
      <c r="E89" s="5" t="s">
        <v>2</v>
      </c>
      <c r="F89" s="5" t="s">
        <v>3</v>
      </c>
      <c r="G89" s="5">
        <v>0.35</v>
      </c>
      <c r="H89" s="5">
        <v>32.6</v>
      </c>
      <c r="I89" s="22">
        <v>2</v>
      </c>
      <c r="J89" s="22"/>
      <c r="K89" s="22"/>
      <c r="L89" s="22">
        <v>1</v>
      </c>
      <c r="M89" s="22"/>
      <c r="N89" s="22"/>
      <c r="O89" s="22"/>
      <c r="P89" s="22"/>
      <c r="Q89" s="22"/>
      <c r="R89" s="22"/>
      <c r="S89" s="22">
        <v>1</v>
      </c>
      <c r="T89" s="22"/>
      <c r="U89" s="22"/>
      <c r="V89" s="22"/>
      <c r="W89" s="22"/>
      <c r="X89" s="22"/>
      <c r="Y89" s="22"/>
      <c r="Z89" s="22"/>
      <c r="AA89" s="22"/>
      <c r="AB89" s="22"/>
      <c r="AC89" s="22"/>
      <c r="AD89" s="22"/>
      <c r="AE89" s="22"/>
      <c r="AF89" s="22"/>
      <c r="AG89" t="s">
        <v>651</v>
      </c>
      <c r="AH89" s="6">
        <v>4.0185184999999998E-2</v>
      </c>
      <c r="AI89" s="6">
        <v>1.4774581E-2</v>
      </c>
      <c r="AJ89" s="6">
        <v>507</v>
      </c>
      <c r="AK89" s="6">
        <v>1.710458E-3</v>
      </c>
      <c r="AL89" s="6">
        <v>2.8284271240000001</v>
      </c>
      <c r="AM89" s="6">
        <v>0.13003527400000001</v>
      </c>
      <c r="AN89" s="6">
        <v>1.3153803E-2</v>
      </c>
      <c r="AO89" s="6">
        <v>7.3076700000000001E-4</v>
      </c>
      <c r="AP89" s="6">
        <v>5.7516200000000005E-4</v>
      </c>
      <c r="AQ89" s="6">
        <v>5.8694825999999999E-2</v>
      </c>
      <c r="AR89" s="6">
        <v>2.3407464999999999E-2</v>
      </c>
      <c r="AS89" s="6">
        <v>3.5901975000000003E-2</v>
      </c>
      <c r="AT89" s="6">
        <v>1.2759514E-2</v>
      </c>
      <c r="AU89" s="6">
        <v>2.7560210000000002E-2</v>
      </c>
      <c r="AV89" s="6">
        <v>9.3930130000000004E-3</v>
      </c>
      <c r="AW89" s="6">
        <v>4.0185184999999998E-2</v>
      </c>
      <c r="AX89" s="6">
        <v>1.4774581E-2</v>
      </c>
      <c r="AY89" s="6">
        <v>6.5884203680000004</v>
      </c>
      <c r="AZ89" s="6">
        <v>1.4074547150000001</v>
      </c>
      <c r="BA89" s="6">
        <v>-8.0475474279999997</v>
      </c>
      <c r="BB89" s="6">
        <v>2.2283411219999998</v>
      </c>
      <c r="BC89" s="6">
        <v>10.412944764000001</v>
      </c>
      <c r="BD89" s="6">
        <v>2.5858855159999998</v>
      </c>
    </row>
    <row r="90" spans="1:56" ht="16" x14ac:dyDescent="0.2">
      <c r="A90" s="4">
        <v>45845</v>
      </c>
      <c r="B90" s="4"/>
      <c r="C90" s="5" t="s">
        <v>35</v>
      </c>
      <c r="D90" s="5">
        <v>12</v>
      </c>
      <c r="E90" s="5" t="s">
        <v>2</v>
      </c>
      <c r="F90" s="5" t="s">
        <v>3</v>
      </c>
      <c r="G90" s="5">
        <v>1.7</v>
      </c>
      <c r="H90" s="5">
        <v>46.25</v>
      </c>
      <c r="I90" s="22">
        <v>1</v>
      </c>
      <c r="J90" s="22"/>
      <c r="K90" s="22"/>
      <c r="L90" s="22"/>
      <c r="M90" s="22"/>
      <c r="N90" s="22"/>
      <c r="O90" s="22"/>
      <c r="P90" s="22"/>
      <c r="Q90" s="22"/>
      <c r="R90" s="22"/>
      <c r="S90" s="22"/>
      <c r="T90" s="22"/>
      <c r="U90" s="22"/>
      <c r="V90" s="22"/>
      <c r="W90" s="22"/>
      <c r="X90" s="22"/>
      <c r="Y90" s="22"/>
      <c r="Z90" s="22"/>
      <c r="AA90" s="22"/>
      <c r="AB90" s="22"/>
      <c r="AC90" s="22"/>
      <c r="AD90" s="22"/>
      <c r="AE90" s="22"/>
      <c r="AF90" s="22"/>
      <c r="AG90" t="s">
        <v>652</v>
      </c>
      <c r="AH90" s="6">
        <v>5.6262495000000003E-2</v>
      </c>
      <c r="AI90" s="6">
        <v>3.5100579999999999E-3</v>
      </c>
      <c r="AJ90" s="6">
        <v>1735</v>
      </c>
      <c r="AK90" s="6">
        <v>4.6171299999999999E-4</v>
      </c>
      <c r="AL90" s="6">
        <v>5.6568542449999999</v>
      </c>
      <c r="AM90" s="6">
        <v>0.11849259299999999</v>
      </c>
      <c r="AN90" s="6">
        <v>3.8965580000000001E-3</v>
      </c>
      <c r="AO90" s="6">
        <v>2.1647499999999999E-4</v>
      </c>
      <c r="AP90" s="6">
        <v>1.65608E-4</v>
      </c>
      <c r="AQ90" s="6">
        <v>7.4072110999999996E-2</v>
      </c>
      <c r="AR90" s="6">
        <v>7.096382E-3</v>
      </c>
      <c r="AS90" s="6">
        <v>5.3337699000000002E-2</v>
      </c>
      <c r="AT90" s="6">
        <v>3.5669510000000001E-3</v>
      </c>
      <c r="AU90" s="6">
        <v>4.4716437999999997E-2</v>
      </c>
      <c r="AV90" s="6">
        <v>5.4918689999999999E-3</v>
      </c>
      <c r="AW90" s="6">
        <v>5.6262495000000003E-2</v>
      </c>
      <c r="AX90" s="6">
        <v>3.5100579999999999E-3</v>
      </c>
      <c r="AY90" s="6">
        <v>4.6116468169999996</v>
      </c>
      <c r="AZ90" s="6">
        <v>1.382805378</v>
      </c>
      <c r="BA90" s="6">
        <v>-5.6318559580000001</v>
      </c>
      <c r="BB90" s="6">
        <v>2.1069184879999998</v>
      </c>
      <c r="BC90" s="6">
        <v>7.2925400260000002</v>
      </c>
      <c r="BD90" s="6">
        <v>2.4809455929999999</v>
      </c>
    </row>
    <row r="91" spans="1:56" ht="16" x14ac:dyDescent="0.2">
      <c r="A91" s="4">
        <v>45845</v>
      </c>
      <c r="B91" s="4"/>
      <c r="C91" s="5" t="s">
        <v>35</v>
      </c>
      <c r="D91" s="5">
        <v>15</v>
      </c>
      <c r="E91" s="5" t="s">
        <v>2</v>
      </c>
      <c r="F91" s="5" t="s">
        <v>3</v>
      </c>
      <c r="G91" s="5">
        <v>0.95</v>
      </c>
      <c r="H91" s="5">
        <v>39.6</v>
      </c>
      <c r="I91" s="22">
        <v>1</v>
      </c>
      <c r="J91" s="22"/>
      <c r="K91" s="22"/>
      <c r="L91" s="22"/>
      <c r="M91" s="22"/>
      <c r="N91" s="22">
        <v>1</v>
      </c>
      <c r="O91" s="22"/>
      <c r="P91" s="22"/>
      <c r="Q91" s="22"/>
      <c r="R91" s="22"/>
      <c r="S91" s="22"/>
      <c r="T91" s="22"/>
      <c r="U91" s="22"/>
      <c r="V91" s="22"/>
      <c r="W91" s="22"/>
      <c r="X91" s="22"/>
      <c r="Y91" s="22"/>
      <c r="Z91" s="22"/>
      <c r="AA91" s="22"/>
      <c r="AB91" s="22"/>
      <c r="AC91" s="22"/>
      <c r="AD91" s="22"/>
      <c r="AE91" s="22"/>
      <c r="AF91" s="22"/>
      <c r="AG91" t="s">
        <v>653</v>
      </c>
      <c r="AH91" s="6">
        <v>6.5679233000000004E-2</v>
      </c>
      <c r="AI91" s="6">
        <v>2.1443436999999999E-2</v>
      </c>
      <c r="AJ91" s="6">
        <v>1580</v>
      </c>
      <c r="AK91" s="6">
        <v>2.2625089999999998E-3</v>
      </c>
      <c r="AL91" s="6">
        <v>5.6568542449999999</v>
      </c>
      <c r="AM91" s="6">
        <v>0.115768962</v>
      </c>
      <c r="AN91" s="6">
        <v>1.9543308999999998E-2</v>
      </c>
      <c r="AO91" s="6">
        <v>1.0857390000000001E-3</v>
      </c>
      <c r="AP91" s="6">
        <v>8.23554E-4</v>
      </c>
      <c r="AQ91" s="6">
        <v>9.7659997999999998E-2</v>
      </c>
      <c r="AR91" s="6">
        <v>3.1319583999999998E-2</v>
      </c>
      <c r="AS91" s="6">
        <v>5.7874618000000003E-2</v>
      </c>
      <c r="AT91" s="6">
        <v>1.91822E-2</v>
      </c>
      <c r="AU91" s="6">
        <v>4.4373917999999998E-2</v>
      </c>
      <c r="AV91" s="6">
        <v>1.5456322999999999E-2</v>
      </c>
      <c r="AW91" s="6">
        <v>6.5679233000000004E-2</v>
      </c>
      <c r="AX91" s="6">
        <v>2.1443436999999999E-2</v>
      </c>
      <c r="AY91" s="6">
        <v>7.4273079820000003</v>
      </c>
      <c r="AZ91" s="6">
        <v>1.4466729110000001</v>
      </c>
      <c r="BA91" s="6">
        <v>-8.7373292140000007</v>
      </c>
      <c r="BB91" s="6">
        <v>1.7013679669999999</v>
      </c>
      <c r="BC91" s="6">
        <v>11.472130688</v>
      </c>
      <c r="BD91" s="6">
        <v>2.2098626549999998</v>
      </c>
    </row>
    <row r="92" spans="1:56" ht="16" x14ac:dyDescent="0.2">
      <c r="A92" s="4">
        <v>45845</v>
      </c>
      <c r="B92" s="4"/>
      <c r="C92" s="5" t="s">
        <v>35</v>
      </c>
      <c r="D92" s="5">
        <v>16</v>
      </c>
      <c r="E92" s="5" t="s">
        <v>2</v>
      </c>
      <c r="F92" s="5" t="s">
        <v>3</v>
      </c>
      <c r="G92" s="5">
        <v>0.8</v>
      </c>
      <c r="H92" s="5">
        <v>35.65</v>
      </c>
      <c r="I92" s="22">
        <v>7</v>
      </c>
      <c r="J92" s="22"/>
      <c r="K92" s="22"/>
      <c r="L92" s="22">
        <v>3</v>
      </c>
      <c r="M92" s="22"/>
      <c r="N92" s="22">
        <v>1</v>
      </c>
      <c r="O92" s="22"/>
      <c r="P92" s="22"/>
      <c r="Q92" s="22"/>
      <c r="R92" s="22"/>
      <c r="S92" s="22"/>
      <c r="T92" s="22">
        <v>1</v>
      </c>
      <c r="U92" s="22"/>
      <c r="V92" s="22"/>
      <c r="W92" s="22"/>
      <c r="X92" s="22"/>
      <c r="Y92" s="22"/>
      <c r="Z92" s="22"/>
      <c r="AA92" s="22"/>
      <c r="AB92" s="22"/>
      <c r="AC92" s="22"/>
      <c r="AD92" s="22"/>
      <c r="AE92" s="22"/>
      <c r="AF92" s="22"/>
      <c r="AG92" t="s">
        <v>654</v>
      </c>
      <c r="AH92" s="6">
        <v>8.9768470000000003E-2</v>
      </c>
      <c r="AI92" s="6">
        <v>1.6929845999999998E-2</v>
      </c>
      <c r="AJ92" s="6">
        <v>1446</v>
      </c>
      <c r="AK92" s="6">
        <v>1.9897560000000001E-3</v>
      </c>
      <c r="AL92" s="6">
        <v>5.6568542449999999</v>
      </c>
      <c r="AM92" s="6">
        <v>0.12512609099999999</v>
      </c>
      <c r="AN92" s="6">
        <v>1.5902006E-2</v>
      </c>
      <c r="AO92" s="6">
        <v>8.8344499999999996E-4</v>
      </c>
      <c r="AP92" s="6">
        <v>7.2620400000000004E-4</v>
      </c>
      <c r="AQ92" s="6">
        <v>0.130931082</v>
      </c>
      <c r="AR92" s="6">
        <v>2.8915612E-2</v>
      </c>
      <c r="AS92" s="6">
        <v>8.1029946000000005E-2</v>
      </c>
      <c r="AT92" s="6">
        <v>1.4230668E-2</v>
      </c>
      <c r="AU92" s="6">
        <v>5.5706220000000001E-2</v>
      </c>
      <c r="AV92" s="6">
        <v>1.0219819E-2</v>
      </c>
      <c r="AW92" s="6">
        <v>8.9768470000000003E-2</v>
      </c>
      <c r="AX92" s="6">
        <v>1.6929845999999998E-2</v>
      </c>
      <c r="AY92" s="6">
        <v>6.6362165119999998</v>
      </c>
      <c r="AZ92" s="6">
        <v>1.231240302</v>
      </c>
      <c r="BA92" s="6">
        <v>-9.9515642129999993</v>
      </c>
      <c r="BB92" s="6">
        <v>1.9291310070000001</v>
      </c>
      <c r="BC92" s="6">
        <v>11.967567476999999</v>
      </c>
      <c r="BD92" s="6">
        <v>2.2555982499999998</v>
      </c>
    </row>
    <row r="93" spans="1:56" ht="16" x14ac:dyDescent="0.2">
      <c r="A93" s="4">
        <v>45845</v>
      </c>
      <c r="B93" s="4"/>
      <c r="C93" s="5" t="s">
        <v>35</v>
      </c>
      <c r="D93" s="5">
        <v>17</v>
      </c>
      <c r="E93" s="5" t="s">
        <v>2</v>
      </c>
      <c r="F93" s="5" t="s">
        <v>3</v>
      </c>
      <c r="G93" s="5">
        <v>0.65</v>
      </c>
      <c r="H93" s="5">
        <v>34.049999999999997</v>
      </c>
      <c r="I93" s="22"/>
      <c r="J93" s="22"/>
      <c r="K93" s="22"/>
      <c r="L93" s="22">
        <v>2</v>
      </c>
      <c r="M93" s="22">
        <v>1</v>
      </c>
      <c r="N93" s="22">
        <v>2</v>
      </c>
      <c r="O93" s="22"/>
      <c r="P93" s="22"/>
      <c r="Q93" s="22"/>
      <c r="R93" s="22"/>
      <c r="S93" s="22"/>
      <c r="T93" s="22"/>
      <c r="U93" s="22"/>
      <c r="V93" s="22"/>
      <c r="W93" s="22"/>
      <c r="X93" s="22"/>
      <c r="Y93" s="22"/>
      <c r="Z93" s="22"/>
      <c r="AA93" s="22"/>
      <c r="AB93" s="22"/>
      <c r="AC93" s="22"/>
      <c r="AD93" s="22"/>
      <c r="AE93" s="22"/>
      <c r="AF93" s="22">
        <v>3</v>
      </c>
      <c r="AG93" s="6" t="s">
        <v>402</v>
      </c>
      <c r="AH93" s="6">
        <v>7.5543252000000005E-2</v>
      </c>
      <c r="AI93" s="6">
        <v>2.8949900000000001E-2</v>
      </c>
      <c r="AJ93" s="6">
        <v>1000</v>
      </c>
      <c r="AK93" s="6">
        <v>2.9355119999999999E-3</v>
      </c>
      <c r="AL93" s="6">
        <v>3.9999999979999998</v>
      </c>
      <c r="AM93" s="6">
        <v>0.11302749600000001</v>
      </c>
      <c r="AN93" s="6">
        <v>2.5971666000000001E-2</v>
      </c>
      <c r="AO93" s="6">
        <v>1.44287E-3</v>
      </c>
      <c r="AP93" s="6">
        <v>1.1082069999999999E-3</v>
      </c>
      <c r="AQ93" s="6">
        <v>0.11712452700000001</v>
      </c>
      <c r="AR93" s="6">
        <v>4.4020031000000001E-2</v>
      </c>
      <c r="AS93" s="6">
        <v>6.5038867E-2</v>
      </c>
      <c r="AT93" s="6">
        <v>2.5211722999999998E-2</v>
      </c>
      <c r="AU93" s="6">
        <v>4.6077735000000002E-2</v>
      </c>
      <c r="AV93" s="6">
        <v>1.8561101E-2</v>
      </c>
      <c r="AW93" s="6">
        <v>7.5543252000000005E-2</v>
      </c>
      <c r="AX93" s="6">
        <v>2.8949900000000001E-2</v>
      </c>
      <c r="AY93" s="6">
        <v>8.4090557009999998</v>
      </c>
      <c r="AZ93" s="6">
        <v>0.58320799899999998</v>
      </c>
      <c r="BA93" s="6">
        <v>-10.648840115</v>
      </c>
      <c r="BB93" s="6">
        <v>0.94051521299999996</v>
      </c>
      <c r="BC93" s="6">
        <v>13.573196891</v>
      </c>
      <c r="BD93" s="6">
        <v>1.050199192</v>
      </c>
    </row>
    <row r="94" spans="1:56" ht="16" x14ac:dyDescent="0.2">
      <c r="A94" s="4">
        <v>45845</v>
      </c>
      <c r="B94" s="4"/>
      <c r="C94" s="5" t="s">
        <v>35</v>
      </c>
      <c r="D94" s="5">
        <v>18</v>
      </c>
      <c r="E94" s="5" t="s">
        <v>2</v>
      </c>
      <c r="F94" s="5" t="s">
        <v>3</v>
      </c>
      <c r="G94" s="5">
        <v>0.65</v>
      </c>
      <c r="H94" s="5">
        <v>32.6</v>
      </c>
      <c r="I94" s="22">
        <v>3</v>
      </c>
      <c r="J94" s="22"/>
      <c r="K94" s="22"/>
      <c r="L94" s="22"/>
      <c r="M94" s="22"/>
      <c r="N94" s="22">
        <v>1</v>
      </c>
      <c r="O94" s="22"/>
      <c r="P94" s="22"/>
      <c r="Q94" s="22"/>
      <c r="R94" s="22"/>
      <c r="S94" s="22">
        <v>1</v>
      </c>
      <c r="T94" s="22"/>
      <c r="U94" s="22"/>
      <c r="V94" s="22"/>
      <c r="W94" s="22"/>
      <c r="X94" s="22"/>
      <c r="Y94" s="22"/>
      <c r="Z94" s="22"/>
      <c r="AA94" s="22"/>
      <c r="AB94" s="22"/>
      <c r="AC94" s="22"/>
      <c r="AD94" s="22"/>
      <c r="AE94" s="22"/>
      <c r="AF94" s="22"/>
      <c r="AG94" t="s">
        <v>655</v>
      </c>
      <c r="AH94" s="6">
        <v>8.9763687999999994E-2</v>
      </c>
      <c r="AI94" s="6">
        <v>1.3450011E-2</v>
      </c>
      <c r="AJ94" s="6">
        <v>1394</v>
      </c>
      <c r="AK94" s="6">
        <v>1.4427870000000001E-3</v>
      </c>
      <c r="AL94" s="6">
        <v>5.6568542449999999</v>
      </c>
      <c r="AM94" s="6">
        <v>0.11670267500000001</v>
      </c>
      <c r="AN94" s="6">
        <v>1.2362934000000001E-2</v>
      </c>
      <c r="AO94" s="6">
        <v>6.8683000000000004E-4</v>
      </c>
      <c r="AP94" s="6">
        <v>5.20767E-4</v>
      </c>
      <c r="AQ94" s="6">
        <v>0.13859307500000001</v>
      </c>
      <c r="AR94" s="6">
        <v>1.8643877999999999E-2</v>
      </c>
      <c r="AS94" s="6">
        <v>7.8140978999999999E-2</v>
      </c>
      <c r="AT94" s="6">
        <v>1.2644188000000001E-2</v>
      </c>
      <c r="AU94" s="6">
        <v>5.2899542000000001E-2</v>
      </c>
      <c r="AV94" s="6">
        <v>1.1287471E-2</v>
      </c>
      <c r="AW94" s="6">
        <v>8.9763687999999994E-2</v>
      </c>
      <c r="AX94" s="6">
        <v>1.3450011E-2</v>
      </c>
      <c r="AY94" s="6">
        <v>8.1570109990000006</v>
      </c>
      <c r="AZ94" s="6">
        <v>1.075408717</v>
      </c>
      <c r="BA94" s="6">
        <v>-11.271692675000001</v>
      </c>
      <c r="BB94" s="6">
        <v>1.7418636569999999</v>
      </c>
      <c r="BC94" s="6">
        <v>13.920477193</v>
      </c>
      <c r="BD94" s="6">
        <v>1.9996634639999999</v>
      </c>
    </row>
    <row r="95" spans="1:56" ht="16" x14ac:dyDescent="0.2">
      <c r="A95" s="4">
        <v>45845</v>
      </c>
      <c r="B95" s="4"/>
      <c r="C95" s="5" t="s">
        <v>35</v>
      </c>
      <c r="D95" s="5">
        <v>20</v>
      </c>
      <c r="E95" s="5" t="s">
        <v>2</v>
      </c>
      <c r="F95" s="5" t="s">
        <v>3</v>
      </c>
      <c r="G95" s="5">
        <v>0.65</v>
      </c>
      <c r="H95" s="5">
        <v>32.6</v>
      </c>
      <c r="I95" s="22">
        <v>3</v>
      </c>
      <c r="J95" s="22"/>
      <c r="K95" s="22"/>
      <c r="L95" s="22">
        <v>3</v>
      </c>
      <c r="M95" s="22"/>
      <c r="N95" s="22">
        <v>1</v>
      </c>
      <c r="O95" s="22"/>
      <c r="P95" s="22"/>
      <c r="Q95" s="22">
        <v>1</v>
      </c>
      <c r="R95" s="22"/>
      <c r="S95" s="22"/>
      <c r="T95" s="22"/>
      <c r="U95" s="22"/>
      <c r="V95" s="22"/>
      <c r="W95" s="22"/>
      <c r="X95" s="22"/>
      <c r="Y95" s="22"/>
      <c r="Z95" s="22"/>
      <c r="AA95" s="22"/>
      <c r="AB95" s="22"/>
      <c r="AC95" s="22"/>
      <c r="AD95" s="22"/>
      <c r="AE95" s="22"/>
      <c r="AF95" s="22"/>
      <c r="AG95" t="s">
        <v>656</v>
      </c>
      <c r="AH95" s="6">
        <v>7.3545199000000006E-2</v>
      </c>
      <c r="AI95" s="6">
        <v>1.6882095E-2</v>
      </c>
      <c r="AJ95" s="6">
        <v>1274</v>
      </c>
      <c r="AK95" s="6">
        <v>1.8510180000000001E-3</v>
      </c>
      <c r="AL95" s="6">
        <v>3.9999999979999998</v>
      </c>
      <c r="AM95" s="6">
        <v>0.11892683699999999</v>
      </c>
      <c r="AN95" s="6">
        <v>1.5564344000000001E-2</v>
      </c>
      <c r="AO95" s="6">
        <v>8.6468600000000004E-4</v>
      </c>
      <c r="AP95" s="6">
        <v>5.9715300000000001E-4</v>
      </c>
      <c r="AQ95" s="6">
        <v>0.11285254</v>
      </c>
      <c r="AR95" s="6">
        <v>2.5523042999999999E-2</v>
      </c>
      <c r="AS95" s="6">
        <v>6.3589587000000003E-2</v>
      </c>
      <c r="AT95" s="6">
        <v>1.5152252E-2</v>
      </c>
      <c r="AU95" s="6">
        <v>4.6781927000000001E-2</v>
      </c>
      <c r="AV95" s="6">
        <v>1.3434718E-2</v>
      </c>
      <c r="AW95" s="6">
        <v>7.3545199000000006E-2</v>
      </c>
      <c r="AX95" s="6">
        <v>1.6882095E-2</v>
      </c>
      <c r="AY95" s="6">
        <v>8.1422064089999999</v>
      </c>
      <c r="AZ95" s="6">
        <v>1.4870490169999999</v>
      </c>
      <c r="BA95" s="6">
        <v>-9.9879624309999997</v>
      </c>
      <c r="BB95" s="6">
        <v>2.361965401</v>
      </c>
      <c r="BC95" s="6">
        <v>12.894894616</v>
      </c>
      <c r="BD95" s="6">
        <v>2.7507510869999998</v>
      </c>
    </row>
    <row r="96" spans="1:56" ht="16" x14ac:dyDescent="0.2">
      <c r="A96" s="4">
        <v>45845</v>
      </c>
      <c r="B96" s="4"/>
      <c r="C96" s="5" t="s">
        <v>35</v>
      </c>
      <c r="D96" s="5">
        <v>21</v>
      </c>
      <c r="E96" s="5" t="s">
        <v>2</v>
      </c>
      <c r="F96" s="5" t="s">
        <v>3</v>
      </c>
      <c r="G96" s="5">
        <v>0.7</v>
      </c>
      <c r="H96" s="5">
        <v>35.5</v>
      </c>
      <c r="I96" s="22">
        <v>3</v>
      </c>
      <c r="J96" s="22"/>
      <c r="K96" s="22"/>
      <c r="L96" s="22"/>
      <c r="M96" s="22"/>
      <c r="N96" s="22"/>
      <c r="O96" s="22"/>
      <c r="P96" s="22"/>
      <c r="Q96" s="22">
        <v>1</v>
      </c>
      <c r="R96" s="22"/>
      <c r="S96" s="22"/>
      <c r="T96" s="22"/>
      <c r="U96" s="22"/>
      <c r="V96" s="22"/>
      <c r="W96" s="22"/>
      <c r="X96" s="22"/>
      <c r="Y96" s="22"/>
      <c r="Z96" s="22"/>
      <c r="AA96" s="22"/>
      <c r="AB96" s="22"/>
      <c r="AC96" s="22"/>
      <c r="AD96" s="22"/>
      <c r="AE96" s="22"/>
      <c r="AF96" s="22">
        <v>1</v>
      </c>
      <c r="AG96" t="s">
        <v>657</v>
      </c>
      <c r="AH96" s="6">
        <v>9.9478016000000002E-2</v>
      </c>
      <c r="AI96" s="6">
        <v>1.8995929000000002E-2</v>
      </c>
      <c r="AJ96" s="6">
        <v>1338</v>
      </c>
      <c r="AK96" s="6">
        <v>2.126836E-3</v>
      </c>
      <c r="AL96" s="6">
        <v>7.9999999920000002</v>
      </c>
      <c r="AM96" s="6">
        <v>0.115666924</v>
      </c>
      <c r="AN96" s="6">
        <v>1.8387588999999999E-2</v>
      </c>
      <c r="AO96" s="6">
        <v>1.021533E-3</v>
      </c>
      <c r="AP96" s="6">
        <v>7.9610200000000003E-4</v>
      </c>
      <c r="AQ96" s="6">
        <v>0.15241413400000001</v>
      </c>
      <c r="AR96" s="6">
        <v>2.740244E-2</v>
      </c>
      <c r="AS96" s="6">
        <v>8.7221986000000001E-2</v>
      </c>
      <c r="AT96" s="6">
        <v>1.7530387000000001E-2</v>
      </c>
      <c r="AU96" s="6">
        <v>5.7218047000000001E-2</v>
      </c>
      <c r="AV96" s="6">
        <v>1.3009692E-2</v>
      </c>
      <c r="AW96" s="6">
        <v>9.9478016000000002E-2</v>
      </c>
      <c r="AX96" s="6">
        <v>1.8995929000000002E-2</v>
      </c>
      <c r="AY96" s="6">
        <v>7.9464129019999996</v>
      </c>
      <c r="AZ96" s="6">
        <v>0.96400160400000001</v>
      </c>
      <c r="BA96" s="6">
        <v>-11.592822016</v>
      </c>
      <c r="BB96" s="6">
        <v>1.4119092799999999</v>
      </c>
      <c r="BC96" s="6">
        <v>14.059185992</v>
      </c>
      <c r="BD96" s="6">
        <v>1.6736145090000001</v>
      </c>
    </row>
    <row r="97" spans="1:56" ht="16" x14ac:dyDescent="0.2">
      <c r="A97" s="4">
        <v>45845</v>
      </c>
      <c r="B97" s="4"/>
      <c r="C97" s="5" t="s">
        <v>35</v>
      </c>
      <c r="D97" s="5">
        <v>22</v>
      </c>
      <c r="E97" s="5" t="s">
        <v>2</v>
      </c>
      <c r="F97" s="5" t="s">
        <v>3</v>
      </c>
      <c r="G97" s="5">
        <v>1.1499999999999999</v>
      </c>
      <c r="H97" s="5">
        <v>36.799999999999997</v>
      </c>
      <c r="I97" s="22"/>
      <c r="J97" s="22"/>
      <c r="K97" s="22"/>
      <c r="L97" s="22"/>
      <c r="M97" s="22"/>
      <c r="N97" s="22"/>
      <c r="O97" s="22"/>
      <c r="P97" s="22">
        <v>1</v>
      </c>
      <c r="Q97" s="22"/>
      <c r="R97" s="22"/>
      <c r="S97" s="22"/>
      <c r="T97" s="22"/>
      <c r="U97" s="22"/>
      <c r="V97" s="22"/>
      <c r="W97" s="22"/>
      <c r="X97" s="22"/>
      <c r="Y97" s="22"/>
      <c r="Z97" s="22"/>
      <c r="AA97" s="22"/>
      <c r="AB97" s="22"/>
      <c r="AC97" s="22"/>
      <c r="AD97" s="22"/>
      <c r="AE97" s="22"/>
      <c r="AF97" s="22"/>
      <c r="AG97" t="s">
        <v>658</v>
      </c>
      <c r="AH97" s="6">
        <v>8.7918777000000004E-2</v>
      </c>
      <c r="AI97" s="6">
        <v>2.6861063000000001E-2</v>
      </c>
      <c r="AJ97" s="6">
        <v>1554</v>
      </c>
      <c r="AK97" s="6">
        <v>3.070662E-3</v>
      </c>
      <c r="AL97" s="6">
        <v>3.9999999979999998</v>
      </c>
      <c r="AM97" s="6">
        <v>0.136122253</v>
      </c>
      <c r="AN97" s="6">
        <v>2.2558121E-2</v>
      </c>
      <c r="AO97" s="6">
        <v>1.253229E-3</v>
      </c>
      <c r="AP97" s="6">
        <v>1.12298E-3</v>
      </c>
      <c r="AQ97" s="6">
        <v>0.127884781</v>
      </c>
      <c r="AR97" s="6">
        <v>3.9463619999999998E-2</v>
      </c>
      <c r="AS97" s="6">
        <v>7.9663299000000007E-2</v>
      </c>
      <c r="AT97" s="6">
        <v>2.4382869000000001E-2</v>
      </c>
      <c r="AU97" s="6">
        <v>5.4314203999999998E-2</v>
      </c>
      <c r="AV97" s="6">
        <v>1.7314698999999999E-2</v>
      </c>
      <c r="AW97" s="6">
        <v>8.7918777000000004E-2</v>
      </c>
      <c r="AX97" s="6">
        <v>2.6861063000000001E-2</v>
      </c>
      <c r="AY97" s="6">
        <v>6.7498966749999996</v>
      </c>
      <c r="AZ97" s="6">
        <v>0.90095923700000002</v>
      </c>
      <c r="BA97" s="6">
        <v>-10.302404533000001</v>
      </c>
      <c r="BB97" s="6">
        <v>1.9121933069999999</v>
      </c>
      <c r="BC97" s="6">
        <v>12.323385053000001</v>
      </c>
      <c r="BD97" s="6">
        <v>2.0743504100000001</v>
      </c>
    </row>
    <row r="98" spans="1:56" ht="16" x14ac:dyDescent="0.2">
      <c r="A98" s="4">
        <v>45845</v>
      </c>
      <c r="B98" s="4"/>
      <c r="C98" s="5" t="s">
        <v>35</v>
      </c>
      <c r="D98" s="5">
        <v>23</v>
      </c>
      <c r="E98" s="5" t="s">
        <v>2</v>
      </c>
      <c r="F98" s="5" t="s">
        <v>3</v>
      </c>
      <c r="G98" s="5">
        <v>0.65</v>
      </c>
      <c r="H98" s="5">
        <v>31.8</v>
      </c>
      <c r="I98" s="22"/>
      <c r="J98" s="22"/>
      <c r="K98" s="22"/>
      <c r="L98" s="22"/>
      <c r="M98" s="22"/>
      <c r="N98" s="22">
        <v>2</v>
      </c>
      <c r="O98" s="22"/>
      <c r="P98" s="22"/>
      <c r="Q98" s="22"/>
      <c r="R98" s="22"/>
      <c r="S98" s="22"/>
      <c r="T98" s="22"/>
      <c r="U98" s="22"/>
      <c r="V98" s="22"/>
      <c r="W98" s="22"/>
      <c r="X98" s="22"/>
      <c r="Y98" s="22"/>
      <c r="Z98" s="22"/>
      <c r="AA98" s="22"/>
      <c r="AB98" s="22"/>
      <c r="AC98" s="22"/>
      <c r="AD98" s="22"/>
      <c r="AE98" s="22"/>
      <c r="AF98" s="22"/>
      <c r="AG98" t="s">
        <v>659</v>
      </c>
      <c r="AH98" s="6">
        <v>7.1406569000000003E-2</v>
      </c>
      <c r="AI98" s="6">
        <v>2.1053262999999999E-2</v>
      </c>
      <c r="AJ98" s="6">
        <v>1112</v>
      </c>
      <c r="AK98" s="6">
        <v>2.2442550000000001E-3</v>
      </c>
      <c r="AL98" s="6">
        <v>3.9999999979999998</v>
      </c>
      <c r="AM98" s="6">
        <v>0.10902827399999999</v>
      </c>
      <c r="AN98" s="6">
        <v>2.0584159000000001E-2</v>
      </c>
      <c r="AO98" s="6">
        <v>1.1435639999999999E-3</v>
      </c>
      <c r="AP98" s="6">
        <v>6.7770500000000002E-4</v>
      </c>
      <c r="AQ98" s="6">
        <v>0.110116704</v>
      </c>
      <c r="AR98" s="6">
        <v>3.0892820000000001E-2</v>
      </c>
      <c r="AS98" s="6">
        <v>6.1986963999999999E-2</v>
      </c>
      <c r="AT98" s="6">
        <v>1.9115954000000001E-2</v>
      </c>
      <c r="AU98" s="6">
        <v>4.2810648999999999E-2</v>
      </c>
      <c r="AV98" s="6">
        <v>1.4342548E-2</v>
      </c>
      <c r="AW98" s="6">
        <v>7.1406569000000003E-2</v>
      </c>
      <c r="AX98" s="6">
        <v>2.1053262999999999E-2</v>
      </c>
      <c r="AY98" s="6">
        <v>8.2133555119999997</v>
      </c>
      <c r="AZ98" s="6">
        <v>1.3269919050000001</v>
      </c>
      <c r="BA98" s="6">
        <v>-10.933289273</v>
      </c>
      <c r="BB98" s="6">
        <v>1.697973089</v>
      </c>
      <c r="BC98" s="6">
        <v>13.676604297000001</v>
      </c>
      <c r="BD98" s="6">
        <v>2.142542706</v>
      </c>
    </row>
    <row r="99" spans="1:56" ht="16" x14ac:dyDescent="0.2">
      <c r="A99" s="4">
        <v>45846</v>
      </c>
      <c r="B99" s="4"/>
      <c r="C99" s="5" t="s">
        <v>240</v>
      </c>
      <c r="D99" s="5">
        <v>1</v>
      </c>
      <c r="E99" s="5" t="s">
        <v>2</v>
      </c>
      <c r="F99" s="5" t="s">
        <v>3</v>
      </c>
      <c r="G99" s="5">
        <v>0.95</v>
      </c>
      <c r="H99" s="5">
        <v>35.6</v>
      </c>
      <c r="I99" s="22"/>
      <c r="J99" s="22"/>
      <c r="K99" s="22"/>
      <c r="L99" s="22">
        <v>2</v>
      </c>
      <c r="M99" s="22">
        <v>2</v>
      </c>
      <c r="N99" s="22">
        <v>1</v>
      </c>
      <c r="O99" s="22"/>
      <c r="P99" s="22"/>
      <c r="Q99" s="22"/>
      <c r="R99" s="22"/>
      <c r="S99" s="22"/>
      <c r="T99" s="22"/>
      <c r="U99" s="22"/>
      <c r="V99" s="22"/>
      <c r="W99" s="22"/>
      <c r="X99" s="22"/>
      <c r="Y99" s="22"/>
      <c r="Z99" s="22"/>
      <c r="AA99" s="22"/>
      <c r="AB99" s="22"/>
      <c r="AC99" s="22"/>
      <c r="AD99" s="22"/>
      <c r="AE99" s="22"/>
      <c r="AF99" s="22"/>
      <c r="AG99" t="s">
        <v>660</v>
      </c>
      <c r="AH99" s="6">
        <v>7.9884337E-2</v>
      </c>
      <c r="AI99" s="6">
        <v>1.4114507E-2</v>
      </c>
      <c r="AJ99" s="6">
        <v>1268</v>
      </c>
      <c r="AK99" s="6">
        <v>1.51895E-3</v>
      </c>
      <c r="AL99" s="6">
        <v>3.9999999979999998</v>
      </c>
      <c r="AM99" s="6">
        <v>0.12522482700000001</v>
      </c>
      <c r="AN99" s="6">
        <v>1.2129783999999999E-2</v>
      </c>
      <c r="AO99" s="6">
        <v>6.7387700000000003E-4</v>
      </c>
      <c r="AP99" s="6">
        <v>5.5593999999999999E-4</v>
      </c>
      <c r="AQ99" s="6">
        <v>0.12682601399999999</v>
      </c>
      <c r="AR99" s="6">
        <v>2.5261895999999999E-2</v>
      </c>
      <c r="AS99" s="6">
        <v>6.8616502999999995E-2</v>
      </c>
      <c r="AT99" s="6">
        <v>1.1614739000000001E-2</v>
      </c>
      <c r="AU99" s="6">
        <v>4.4591655000000001E-2</v>
      </c>
      <c r="AV99" s="6">
        <v>7.430295E-3</v>
      </c>
      <c r="AW99" s="6">
        <v>7.9884337E-2</v>
      </c>
      <c r="AX99" s="6">
        <v>1.4114507E-2</v>
      </c>
      <c r="AY99" s="6">
        <v>8.5834169629999995</v>
      </c>
      <c r="AZ99" s="6">
        <v>1.226961202</v>
      </c>
      <c r="BA99" s="6">
        <v>-11.967036421</v>
      </c>
      <c r="BB99" s="6">
        <v>1.4279326510000001</v>
      </c>
      <c r="BC99" s="6">
        <v>14.730059318</v>
      </c>
      <c r="BD99" s="6">
        <v>1.8586862500000001</v>
      </c>
    </row>
    <row r="100" spans="1:56" ht="16" x14ac:dyDescent="0.2">
      <c r="A100" s="4">
        <v>45846</v>
      </c>
      <c r="B100" s="4"/>
      <c r="C100" s="5" t="s">
        <v>240</v>
      </c>
      <c r="D100" s="5">
        <v>2</v>
      </c>
      <c r="E100" s="5" t="s">
        <v>2</v>
      </c>
      <c r="F100" s="5" t="s">
        <v>3</v>
      </c>
      <c r="G100" s="5">
        <v>0.8</v>
      </c>
      <c r="H100" s="5">
        <v>33.299999999999997</v>
      </c>
      <c r="I100" s="22">
        <v>18</v>
      </c>
      <c r="J100" s="22"/>
      <c r="K100" s="22"/>
      <c r="L100" s="22"/>
      <c r="M100" s="22"/>
      <c r="N100" s="22"/>
      <c r="O100" s="22"/>
      <c r="P100" s="22"/>
      <c r="Q100" s="22"/>
      <c r="R100" s="22"/>
      <c r="S100" s="22">
        <v>1</v>
      </c>
      <c r="T100" s="22">
        <v>1</v>
      </c>
      <c r="U100" s="22"/>
      <c r="V100" s="22"/>
      <c r="W100" s="22"/>
      <c r="X100" s="22"/>
      <c r="Y100" s="22"/>
      <c r="Z100" s="22"/>
      <c r="AA100" s="22"/>
      <c r="AB100" s="22"/>
      <c r="AC100" s="22"/>
      <c r="AD100" s="22"/>
      <c r="AE100" s="22"/>
      <c r="AF100" s="22"/>
      <c r="AG100" t="s">
        <v>661</v>
      </c>
      <c r="AH100" s="6">
        <v>7.3430057000000007E-2</v>
      </c>
      <c r="AI100" s="6">
        <v>1.5525269E-2</v>
      </c>
      <c r="AJ100" s="6">
        <v>1224</v>
      </c>
      <c r="AK100" s="6">
        <v>1.731102E-3</v>
      </c>
      <c r="AL100" s="6">
        <v>3.9999999979999998</v>
      </c>
      <c r="AM100" s="6">
        <v>0.112161043</v>
      </c>
      <c r="AN100" s="6">
        <v>1.5434076999999999E-2</v>
      </c>
      <c r="AO100" s="6">
        <v>8.5744900000000004E-4</v>
      </c>
      <c r="AP100" s="6">
        <v>5.7316300000000001E-4</v>
      </c>
      <c r="AQ100" s="6">
        <v>0.11408902</v>
      </c>
      <c r="AR100" s="6">
        <v>2.5579758000000001E-2</v>
      </c>
      <c r="AS100" s="6">
        <v>6.2972824999999996E-2</v>
      </c>
      <c r="AT100" s="6">
        <v>1.2783975E-2</v>
      </c>
      <c r="AU100" s="6">
        <v>4.6191708999999997E-2</v>
      </c>
      <c r="AV100" s="6">
        <v>1.0041866999999999E-2</v>
      </c>
      <c r="AW100" s="6">
        <v>7.3430057000000007E-2</v>
      </c>
      <c r="AX100" s="6">
        <v>1.5525269E-2</v>
      </c>
      <c r="AY100" s="6">
        <v>8.3022334959999995</v>
      </c>
      <c r="AZ100" s="6">
        <v>0.91821761099999999</v>
      </c>
      <c r="BA100" s="6">
        <v>-9.9167825199999999</v>
      </c>
      <c r="BB100" s="6">
        <v>0.74082132899999997</v>
      </c>
      <c r="BC100" s="6">
        <v>12.943900097</v>
      </c>
      <c r="BD100" s="6">
        <v>1.056797998</v>
      </c>
    </row>
    <row r="101" spans="1:56" ht="16" x14ac:dyDescent="0.2">
      <c r="A101" s="33">
        <v>45846</v>
      </c>
      <c r="B101" s="33"/>
      <c r="C101" s="34" t="s">
        <v>240</v>
      </c>
      <c r="D101" s="34">
        <v>3</v>
      </c>
      <c r="E101" s="34" t="s">
        <v>2</v>
      </c>
      <c r="F101" s="34" t="s">
        <v>5</v>
      </c>
      <c r="G101" s="34">
        <v>0.65</v>
      </c>
      <c r="H101" s="34">
        <v>34.799999999999997</v>
      </c>
      <c r="I101" s="22"/>
      <c r="J101" s="22"/>
      <c r="K101" s="22"/>
      <c r="L101" s="22">
        <v>2</v>
      </c>
      <c r="M101" s="22"/>
      <c r="N101" s="22">
        <v>1</v>
      </c>
      <c r="O101" s="22"/>
      <c r="P101" s="22"/>
      <c r="Q101" s="22"/>
      <c r="R101" s="22"/>
      <c r="S101" s="22">
        <v>1</v>
      </c>
      <c r="T101" s="22"/>
      <c r="U101" s="22"/>
      <c r="V101" s="22"/>
      <c r="W101" s="22"/>
      <c r="X101" s="22"/>
      <c r="Y101" s="22"/>
      <c r="Z101" s="22"/>
      <c r="AA101" s="22"/>
      <c r="AB101" s="22"/>
      <c r="AC101" s="22"/>
      <c r="AD101" s="22">
        <v>1</v>
      </c>
      <c r="AE101" s="22"/>
      <c r="AF101" s="22"/>
      <c r="AG101" s="6" t="s">
        <v>403</v>
      </c>
      <c r="AH101" s="6">
        <v>8.9999838999999998E-2</v>
      </c>
      <c r="AI101" s="6">
        <v>1.477555E-2</v>
      </c>
      <c r="AJ101" s="6">
        <v>1200</v>
      </c>
      <c r="AK101" s="6">
        <v>1.6524790000000001E-3</v>
      </c>
      <c r="AL101" s="6">
        <v>3.9999999979999998</v>
      </c>
      <c r="AM101" s="6">
        <v>0.105632929</v>
      </c>
      <c r="AN101" s="6">
        <v>1.5643601E-2</v>
      </c>
      <c r="AO101" s="6">
        <v>8.6908899999999997E-4</v>
      </c>
      <c r="AP101" s="6">
        <v>5.19831E-4</v>
      </c>
      <c r="AQ101" s="6">
        <v>0.141282939</v>
      </c>
      <c r="AR101" s="6">
        <v>2.1696948000000001E-2</v>
      </c>
      <c r="AS101" s="6">
        <v>7.6942108999999995E-2</v>
      </c>
      <c r="AT101" s="6">
        <v>1.3657582E-2</v>
      </c>
      <c r="AU101" s="6">
        <v>5.3639851000000002E-2</v>
      </c>
      <c r="AV101" s="6">
        <v>1.0933352E-2</v>
      </c>
      <c r="AW101" s="6">
        <v>8.9999838999999998E-2</v>
      </c>
      <c r="AX101" s="6">
        <v>1.477555E-2</v>
      </c>
      <c r="AY101" s="6">
        <v>8.6525514989999994</v>
      </c>
      <c r="AZ101" s="6">
        <v>1.2272212570000001</v>
      </c>
      <c r="BA101" s="6">
        <v>-10.997410180999999</v>
      </c>
      <c r="BB101" s="6">
        <v>1.2919723590000001</v>
      </c>
      <c r="BC101" s="6">
        <v>14.000522337</v>
      </c>
      <c r="BD101" s="6">
        <v>1.723411225</v>
      </c>
    </row>
    <row r="102" spans="1:56" ht="16" x14ac:dyDescent="0.2">
      <c r="A102" s="4">
        <v>45846</v>
      </c>
      <c r="B102" s="4"/>
      <c r="C102" s="5" t="s">
        <v>240</v>
      </c>
      <c r="D102" s="5">
        <v>4</v>
      </c>
      <c r="E102" s="5" t="s">
        <v>2</v>
      </c>
      <c r="F102" s="5" t="s">
        <v>3</v>
      </c>
      <c r="G102" s="5">
        <v>0.7</v>
      </c>
      <c r="H102" s="5">
        <v>35.799999999999997</v>
      </c>
      <c r="I102" s="22">
        <v>8</v>
      </c>
      <c r="J102" s="22"/>
      <c r="K102" s="22"/>
      <c r="L102" s="22">
        <v>5</v>
      </c>
      <c r="M102" s="22"/>
      <c r="N102" s="22"/>
      <c r="O102" s="22"/>
      <c r="P102" s="22">
        <v>1</v>
      </c>
      <c r="Q102" s="22"/>
      <c r="R102" s="22"/>
      <c r="S102" s="22"/>
      <c r="T102" s="22"/>
      <c r="U102" s="22"/>
      <c r="V102" s="22"/>
      <c r="W102" s="22"/>
      <c r="X102" s="22"/>
      <c r="Y102" s="22"/>
      <c r="Z102" s="22"/>
      <c r="AA102" s="22"/>
      <c r="AB102" s="22"/>
      <c r="AC102" s="22"/>
      <c r="AD102" s="22">
        <v>2</v>
      </c>
      <c r="AE102" s="22"/>
      <c r="AF102" s="22">
        <v>1</v>
      </c>
      <c r="AG102" t="s">
        <v>662</v>
      </c>
      <c r="AH102" s="6">
        <v>7.4981808999999996E-2</v>
      </c>
      <c r="AI102" s="6">
        <v>1.0905254E-2</v>
      </c>
      <c r="AJ102" s="6">
        <v>1105</v>
      </c>
      <c r="AK102" s="6">
        <v>1.033735E-3</v>
      </c>
      <c r="AL102" s="6">
        <v>3.9999999979999998</v>
      </c>
      <c r="AM102" s="6">
        <v>9.6401401999999997E-2</v>
      </c>
      <c r="AN102" s="6">
        <v>1.0723233E-2</v>
      </c>
      <c r="AO102" s="6">
        <v>5.9573500000000001E-4</v>
      </c>
      <c r="AP102" s="6">
        <v>3.9373899999999999E-4</v>
      </c>
      <c r="AQ102" s="6">
        <v>0.114102013</v>
      </c>
      <c r="AR102" s="6">
        <v>1.7424816999999999E-2</v>
      </c>
      <c r="AS102" s="6">
        <v>6.5261712999999999E-2</v>
      </c>
      <c r="AT102" s="6">
        <v>9.3460399999999999E-3</v>
      </c>
      <c r="AU102" s="6">
        <v>4.9192083999999997E-2</v>
      </c>
      <c r="AV102" s="6">
        <v>8.3791019999999994E-3</v>
      </c>
      <c r="AW102" s="6">
        <v>7.4981808999999996E-2</v>
      </c>
      <c r="AX102" s="6">
        <v>1.0905254E-2</v>
      </c>
      <c r="AY102" s="6">
        <v>7.8668701680000002</v>
      </c>
      <c r="AZ102" s="6">
        <v>0.78918142899999999</v>
      </c>
      <c r="BA102" s="6">
        <v>-9.2339270419999995</v>
      </c>
      <c r="BB102" s="6">
        <v>1.6360163720000001</v>
      </c>
      <c r="BC102" s="6">
        <v>12.142251565</v>
      </c>
      <c r="BD102" s="6">
        <v>1.7372058109999999</v>
      </c>
    </row>
    <row r="103" spans="1:56" ht="16" x14ac:dyDescent="0.2">
      <c r="A103" s="4">
        <v>45846</v>
      </c>
      <c r="B103" s="4"/>
      <c r="C103" s="5" t="s">
        <v>240</v>
      </c>
      <c r="D103" s="5">
        <v>5</v>
      </c>
      <c r="E103" s="5" t="s">
        <v>2</v>
      </c>
      <c r="F103" s="5" t="s">
        <v>3</v>
      </c>
      <c r="G103" s="5">
        <v>0.7</v>
      </c>
      <c r="H103" s="5">
        <v>32.5</v>
      </c>
      <c r="I103" s="22">
        <v>7</v>
      </c>
      <c r="J103" s="22"/>
      <c r="K103" s="22"/>
      <c r="L103" s="22"/>
      <c r="M103" s="22"/>
      <c r="N103" s="22"/>
      <c r="O103" s="22"/>
      <c r="P103" s="22"/>
      <c r="Q103" s="22"/>
      <c r="R103" s="22"/>
      <c r="S103" s="22"/>
      <c r="T103" s="22">
        <v>1</v>
      </c>
      <c r="U103" s="22"/>
      <c r="V103" s="22"/>
      <c r="W103" s="22"/>
      <c r="X103" s="22">
        <v>1</v>
      </c>
      <c r="Y103" s="22"/>
      <c r="Z103" s="22"/>
      <c r="AA103" s="22"/>
      <c r="AB103" s="22"/>
      <c r="AC103" s="22"/>
      <c r="AD103" s="22"/>
      <c r="AE103" s="22"/>
      <c r="AF103" s="22">
        <v>7</v>
      </c>
      <c r="AG103" t="s">
        <v>663</v>
      </c>
      <c r="AH103" s="6">
        <v>7.7254209000000004E-2</v>
      </c>
      <c r="AI103" s="6">
        <v>1.6201461E-2</v>
      </c>
      <c r="AJ103" s="6">
        <v>1281</v>
      </c>
      <c r="AK103" s="6">
        <v>1.8281250000000001E-3</v>
      </c>
      <c r="AL103" s="6">
        <v>3.9999999979999998</v>
      </c>
      <c r="AM103" s="6">
        <v>0.124160771</v>
      </c>
      <c r="AN103" s="6">
        <v>1.4723854999999999E-2</v>
      </c>
      <c r="AO103" s="6">
        <v>8.1799200000000002E-4</v>
      </c>
      <c r="AP103" s="6">
        <v>6.3170499999999998E-4</v>
      </c>
      <c r="AQ103" s="6">
        <v>0.11930982499999999</v>
      </c>
      <c r="AR103" s="6">
        <v>2.7202039000000001E-2</v>
      </c>
      <c r="AS103" s="6">
        <v>6.6762859999999993E-2</v>
      </c>
      <c r="AT103" s="6">
        <v>1.3588031E-2</v>
      </c>
      <c r="AU103" s="6">
        <v>4.8096043999999998E-2</v>
      </c>
      <c r="AV103" s="6">
        <v>1.0215236000000001E-2</v>
      </c>
      <c r="AW103" s="6">
        <v>7.7254209000000004E-2</v>
      </c>
      <c r="AX103" s="6">
        <v>1.6201461E-2</v>
      </c>
      <c r="AY103" s="6">
        <v>8.1082800249999991</v>
      </c>
      <c r="AZ103" s="6">
        <v>1.0559363820000001</v>
      </c>
      <c r="BA103" s="6">
        <v>-10.045683197000001</v>
      </c>
      <c r="BB103" s="6">
        <v>1.8357689989999999</v>
      </c>
      <c r="BC103" s="6">
        <v>12.918115755000001</v>
      </c>
      <c r="BD103" s="6">
        <v>2.0657008050000001</v>
      </c>
    </row>
    <row r="104" spans="1:56" ht="16" x14ac:dyDescent="0.2">
      <c r="A104" s="4">
        <v>45846</v>
      </c>
      <c r="B104" s="4"/>
      <c r="C104" s="5" t="s">
        <v>240</v>
      </c>
      <c r="D104" s="5">
        <v>9</v>
      </c>
      <c r="E104" s="5" t="s">
        <v>2</v>
      </c>
      <c r="F104" s="5" t="s">
        <v>3</v>
      </c>
      <c r="G104" s="5">
        <v>1.1000000000000001</v>
      </c>
      <c r="H104" s="5">
        <v>36.700000000000003</v>
      </c>
      <c r="I104" s="22">
        <v>3</v>
      </c>
      <c r="J104" s="22">
        <v>1</v>
      </c>
      <c r="K104" s="22"/>
      <c r="L104" s="22"/>
      <c r="M104" s="22">
        <v>1</v>
      </c>
      <c r="N104" s="22">
        <v>2</v>
      </c>
      <c r="O104" s="22"/>
      <c r="P104" s="22"/>
      <c r="Q104" s="22"/>
      <c r="R104" s="22"/>
      <c r="S104" s="22"/>
      <c r="T104" s="22"/>
      <c r="U104" s="22"/>
      <c r="V104" s="22"/>
      <c r="W104" s="22"/>
      <c r="X104" s="22"/>
      <c r="Y104" s="22"/>
      <c r="Z104" s="22"/>
      <c r="AA104" s="22"/>
      <c r="AB104" s="22"/>
      <c r="AC104" s="22"/>
      <c r="AD104" s="22"/>
      <c r="AE104" s="22"/>
      <c r="AF104" s="22"/>
      <c r="AG104" s="6" t="s">
        <v>404</v>
      </c>
      <c r="AH104" s="6">
        <v>6.7394697000000003E-2</v>
      </c>
      <c r="AI104" s="6">
        <v>9.1179020000000006E-3</v>
      </c>
      <c r="AJ104" s="6">
        <v>1967</v>
      </c>
      <c r="AK104" s="6">
        <v>1.0616130000000001E-3</v>
      </c>
      <c r="AL104" s="6">
        <v>7.9999999920000002</v>
      </c>
      <c r="AM104" s="6">
        <v>0.117772317</v>
      </c>
      <c r="AN104" s="6">
        <v>9.0141170000000003E-3</v>
      </c>
      <c r="AO104" s="6">
        <v>5.0078399999999999E-4</v>
      </c>
      <c r="AP104" s="6">
        <v>3.7693900000000002E-4</v>
      </c>
      <c r="AQ104" s="6">
        <v>0.104141634</v>
      </c>
      <c r="AR104" s="6">
        <v>1.9911207E-2</v>
      </c>
      <c r="AS104" s="6">
        <v>5.9668150000000003E-2</v>
      </c>
      <c r="AT104" s="6">
        <v>6.0758510000000002E-3</v>
      </c>
      <c r="AU104" s="6">
        <v>3.8936076999999999E-2</v>
      </c>
      <c r="AV104" s="6">
        <v>2.4089269999999999E-3</v>
      </c>
      <c r="AW104" s="6">
        <v>6.7394697000000003E-2</v>
      </c>
      <c r="AX104" s="6">
        <v>9.1179020000000006E-3</v>
      </c>
      <c r="AY104" s="6">
        <v>7.7039366170000001</v>
      </c>
      <c r="AZ104" s="6">
        <v>1.3555671469999999</v>
      </c>
      <c r="BA104" s="6">
        <v>-11.366451766000001</v>
      </c>
      <c r="BB104" s="6">
        <v>1.7905951149999999</v>
      </c>
      <c r="BC104" s="6">
        <v>13.735573769</v>
      </c>
      <c r="BD104" s="6">
        <v>2.219146426</v>
      </c>
    </row>
    <row r="105" spans="1:56" ht="16" x14ac:dyDescent="0.2">
      <c r="A105" s="4">
        <v>45846</v>
      </c>
      <c r="B105" s="4"/>
      <c r="C105" s="5" t="s">
        <v>240</v>
      </c>
      <c r="D105" s="5">
        <v>10</v>
      </c>
      <c r="E105" s="5" t="s">
        <v>2</v>
      </c>
      <c r="F105" s="5" t="s">
        <v>3</v>
      </c>
      <c r="G105" s="5">
        <v>1</v>
      </c>
      <c r="H105" s="5">
        <v>36.1</v>
      </c>
      <c r="I105" s="22">
        <v>6</v>
      </c>
      <c r="J105" s="22"/>
      <c r="K105" s="22"/>
      <c r="L105" s="22">
        <f>11+5+14+7+1+1+2+4</f>
        <v>45</v>
      </c>
      <c r="M105" s="22"/>
      <c r="N105" s="22"/>
      <c r="O105" s="22"/>
      <c r="P105" s="22"/>
      <c r="Q105" s="22"/>
      <c r="R105" s="22"/>
      <c r="S105" s="22">
        <v>1</v>
      </c>
      <c r="T105" s="22"/>
      <c r="U105" s="22"/>
      <c r="V105" s="22"/>
      <c r="W105" s="22"/>
      <c r="X105" s="22">
        <v>3</v>
      </c>
      <c r="Y105" s="22"/>
      <c r="Z105" s="22"/>
      <c r="AA105" s="22"/>
      <c r="AB105" s="22"/>
      <c r="AC105" s="22"/>
      <c r="AD105" s="22"/>
      <c r="AE105" s="22"/>
      <c r="AF105" s="22">
        <v>2</v>
      </c>
      <c r="AG105" t="s">
        <v>664</v>
      </c>
      <c r="AH105" s="6">
        <v>7.4824881999999995E-2</v>
      </c>
      <c r="AI105" s="6">
        <v>1.6788554000000001E-2</v>
      </c>
      <c r="AJ105" s="6">
        <v>1628</v>
      </c>
      <c r="AK105" s="6">
        <v>1.7587429999999999E-3</v>
      </c>
      <c r="AL105" s="6">
        <v>5.6568542449999999</v>
      </c>
      <c r="AM105" s="6">
        <v>0.10524916300000001</v>
      </c>
      <c r="AN105" s="6">
        <v>1.6710280000000001E-2</v>
      </c>
      <c r="AO105" s="6">
        <v>9.2834899999999997E-4</v>
      </c>
      <c r="AP105" s="6">
        <v>5.2862500000000002E-4</v>
      </c>
      <c r="AQ105" s="6">
        <v>0.112948539</v>
      </c>
      <c r="AR105" s="6">
        <v>2.6713239999999999E-2</v>
      </c>
      <c r="AS105" s="6">
        <v>6.5860835000000006E-2</v>
      </c>
      <c r="AT105" s="6">
        <v>1.4432462E-2</v>
      </c>
      <c r="AU105" s="6">
        <v>4.6933968999999999E-2</v>
      </c>
      <c r="AV105" s="6">
        <v>1.2608688999999999E-2</v>
      </c>
      <c r="AW105" s="6">
        <v>7.4824881999999995E-2</v>
      </c>
      <c r="AX105" s="6">
        <v>1.6788554000000001E-2</v>
      </c>
      <c r="AY105" s="6">
        <v>7.5259552579999998</v>
      </c>
      <c r="AZ105" s="6">
        <v>1.3321255519999999</v>
      </c>
      <c r="BA105" s="6">
        <v>-10.064264532999999</v>
      </c>
      <c r="BB105" s="6">
        <v>2.3285727459999999</v>
      </c>
      <c r="BC105" s="6">
        <v>12.579996006</v>
      </c>
      <c r="BD105" s="6">
        <v>2.62101747</v>
      </c>
    </row>
    <row r="106" spans="1:56" ht="16" x14ac:dyDescent="0.2">
      <c r="A106" s="4">
        <v>45847</v>
      </c>
      <c r="B106" s="4"/>
      <c r="C106" s="5" t="s">
        <v>242</v>
      </c>
      <c r="D106" s="5">
        <v>4</v>
      </c>
      <c r="E106" s="5" t="s">
        <v>2</v>
      </c>
      <c r="F106" s="5" t="s">
        <v>3</v>
      </c>
      <c r="G106" s="5">
        <v>1.05</v>
      </c>
      <c r="H106" s="5">
        <v>37.4</v>
      </c>
      <c r="I106" s="22">
        <v>6</v>
      </c>
      <c r="J106" s="22"/>
      <c r="K106" s="22"/>
      <c r="L106" s="22">
        <v>2</v>
      </c>
      <c r="M106" s="22"/>
      <c r="N106" s="22"/>
      <c r="O106" s="22"/>
      <c r="P106" s="22"/>
      <c r="Q106" s="22"/>
      <c r="R106" s="22"/>
      <c r="S106" s="22"/>
      <c r="T106" s="22"/>
      <c r="U106" s="22"/>
      <c r="V106" s="22"/>
      <c r="W106" s="22"/>
      <c r="X106" s="22">
        <v>13</v>
      </c>
      <c r="Y106" s="22"/>
      <c r="Z106" s="22"/>
      <c r="AA106" s="22"/>
      <c r="AB106" s="22"/>
      <c r="AC106" s="22"/>
      <c r="AD106" s="22"/>
      <c r="AE106" s="22"/>
      <c r="AF106" s="22">
        <v>1</v>
      </c>
      <c r="AG106" t="s">
        <v>665</v>
      </c>
      <c r="AH106" s="6">
        <v>8.6701106E-2</v>
      </c>
      <c r="AI106" s="6">
        <v>1.8467319999999999E-2</v>
      </c>
      <c r="AJ106" s="6">
        <v>1637</v>
      </c>
      <c r="AK106" s="6">
        <v>2.1448420000000001E-3</v>
      </c>
      <c r="AL106" s="6">
        <v>3.9999999979999998</v>
      </c>
      <c r="AM106" s="6">
        <v>0.13298684</v>
      </c>
      <c r="AN106" s="6">
        <v>1.6128225999999999E-2</v>
      </c>
      <c r="AO106" s="6">
        <v>8.9601299999999997E-4</v>
      </c>
      <c r="AP106" s="6">
        <v>7.8616500000000002E-4</v>
      </c>
      <c r="AQ106" s="6">
        <v>0.129906206</v>
      </c>
      <c r="AR106" s="6">
        <v>3.0260128000000001E-2</v>
      </c>
      <c r="AS106" s="6">
        <v>7.6231312999999995E-2</v>
      </c>
      <c r="AT106" s="6">
        <v>1.5761358E-2</v>
      </c>
      <c r="AU106" s="6">
        <v>5.5440825999999999E-2</v>
      </c>
      <c r="AV106" s="6">
        <v>1.1360268E-2</v>
      </c>
      <c r="AW106" s="6">
        <v>8.6701106E-2</v>
      </c>
      <c r="AX106" s="6">
        <v>1.8467319999999999E-2</v>
      </c>
      <c r="AY106" s="6">
        <v>7.3885718799999998</v>
      </c>
      <c r="AZ106" s="6">
        <v>1.224810985</v>
      </c>
      <c r="BA106" s="6">
        <v>-9.4159729090000006</v>
      </c>
      <c r="BB106" s="6">
        <v>1.5874401849999999</v>
      </c>
      <c r="BC106" s="6">
        <v>11.973492015</v>
      </c>
      <c r="BD106" s="6">
        <v>1.976635605</v>
      </c>
    </row>
    <row r="107" spans="1:56" ht="16" x14ac:dyDescent="0.2">
      <c r="A107" s="33">
        <v>45847</v>
      </c>
      <c r="B107" s="33"/>
      <c r="C107" s="34" t="s">
        <v>242</v>
      </c>
      <c r="D107" s="34">
        <v>7</v>
      </c>
      <c r="E107" s="34" t="s">
        <v>2</v>
      </c>
      <c r="F107" s="34" t="s">
        <v>3</v>
      </c>
      <c r="G107" s="34">
        <v>0.75</v>
      </c>
      <c r="H107" s="34">
        <v>36.25</v>
      </c>
      <c r="I107" s="22">
        <v>2</v>
      </c>
      <c r="J107" s="22"/>
      <c r="K107" s="22"/>
      <c r="L107" s="22">
        <v>1</v>
      </c>
      <c r="M107" s="22"/>
      <c r="N107" s="22"/>
      <c r="O107" s="22"/>
      <c r="P107" s="22"/>
      <c r="Q107" s="22"/>
      <c r="R107" s="22"/>
      <c r="S107" s="22">
        <v>1</v>
      </c>
      <c r="T107" s="22"/>
      <c r="U107" s="22"/>
      <c r="V107" s="22"/>
      <c r="W107" s="22"/>
      <c r="X107" s="22">
        <v>10</v>
      </c>
      <c r="Y107" s="22"/>
      <c r="Z107" s="22"/>
      <c r="AA107" s="22"/>
      <c r="AB107" s="22"/>
      <c r="AC107" s="22"/>
      <c r="AD107" s="22"/>
      <c r="AE107" s="22"/>
      <c r="AF107" s="22"/>
      <c r="AG107" s="6" t="s">
        <v>405</v>
      </c>
      <c r="AH107" s="6">
        <v>8.1892794000000005E-2</v>
      </c>
      <c r="AI107" s="6">
        <v>1.5920711000000001E-2</v>
      </c>
      <c r="AJ107" s="6">
        <v>1627</v>
      </c>
      <c r="AK107" s="6">
        <v>1.56234E-3</v>
      </c>
      <c r="AL107" s="6">
        <v>5.6568542449999999</v>
      </c>
      <c r="AM107" s="6">
        <v>9.6850171999999998E-2</v>
      </c>
      <c r="AN107" s="6">
        <v>1.6131511000000001E-2</v>
      </c>
      <c r="AO107" s="6">
        <v>8.9619500000000002E-4</v>
      </c>
      <c r="AP107" s="6">
        <v>4.9674599999999995E-4</v>
      </c>
      <c r="AQ107" s="6">
        <v>0.113321806</v>
      </c>
      <c r="AR107" s="6">
        <v>2.4560727000000001E-2</v>
      </c>
      <c r="AS107" s="6">
        <v>7.5647671E-2</v>
      </c>
      <c r="AT107" s="6">
        <v>1.4229119E-2</v>
      </c>
      <c r="AU107" s="6">
        <v>5.6570308999999999E-2</v>
      </c>
      <c r="AV107" s="6">
        <v>1.1103704000000001E-2</v>
      </c>
      <c r="AW107" s="6">
        <v>8.1892794000000005E-2</v>
      </c>
      <c r="AX107" s="6">
        <v>1.5920711000000001E-2</v>
      </c>
      <c r="AY107" s="6">
        <v>5.5978773720000001</v>
      </c>
      <c r="AZ107" s="6">
        <v>1.2919264690000001</v>
      </c>
      <c r="BA107" s="6">
        <v>-7.9813189109999998</v>
      </c>
      <c r="BB107" s="6">
        <v>1.668485089</v>
      </c>
      <c r="BC107" s="6">
        <v>9.7550162660000002</v>
      </c>
      <c r="BD107" s="6">
        <v>2.0809088280000001</v>
      </c>
    </row>
    <row r="108" spans="1:56" ht="16" x14ac:dyDescent="0.2">
      <c r="A108" s="4">
        <v>45847</v>
      </c>
      <c r="B108" s="4"/>
      <c r="C108" s="5" t="s">
        <v>242</v>
      </c>
      <c r="D108" s="5">
        <v>8</v>
      </c>
      <c r="E108" s="5" t="s">
        <v>2</v>
      </c>
      <c r="F108" s="5" t="s">
        <v>3</v>
      </c>
      <c r="G108" s="5">
        <v>0.7</v>
      </c>
      <c r="H108" s="5">
        <v>34.5</v>
      </c>
      <c r="I108" s="22">
        <v>6</v>
      </c>
      <c r="J108" s="22"/>
      <c r="K108" s="22"/>
      <c r="L108" s="22"/>
      <c r="M108" s="22"/>
      <c r="N108" s="22">
        <v>1</v>
      </c>
      <c r="O108" s="22"/>
      <c r="P108" s="22"/>
      <c r="Q108" s="22">
        <v>2</v>
      </c>
      <c r="R108" s="22"/>
      <c r="S108" s="22"/>
      <c r="T108" s="22"/>
      <c r="U108" s="22"/>
      <c r="V108" s="22"/>
      <c r="W108" s="22">
        <v>1</v>
      </c>
      <c r="X108" s="22">
        <v>1</v>
      </c>
      <c r="Y108" s="22"/>
      <c r="Z108" s="22"/>
      <c r="AA108" s="22"/>
      <c r="AB108" s="22"/>
      <c r="AC108" s="22"/>
      <c r="AD108" s="22">
        <v>1</v>
      </c>
      <c r="AE108" s="22"/>
      <c r="AF108" s="22">
        <v>1</v>
      </c>
      <c r="AG108" s="6" t="s">
        <v>406</v>
      </c>
      <c r="AH108" s="6">
        <v>9.4662363999999999E-2</v>
      </c>
      <c r="AI108" s="6">
        <v>1.4852413E-2</v>
      </c>
      <c r="AJ108" s="6">
        <v>1423</v>
      </c>
      <c r="AK108" s="6">
        <v>1.6344840000000001E-3</v>
      </c>
      <c r="AL108" s="6">
        <v>3.9999999979999998</v>
      </c>
      <c r="AM108" s="6">
        <v>0.11679807</v>
      </c>
      <c r="AN108" s="6">
        <v>1.3994104E-2</v>
      </c>
      <c r="AO108" s="6">
        <v>7.7744999999999995E-4</v>
      </c>
      <c r="AP108" s="6">
        <v>6.3064700000000002E-4</v>
      </c>
      <c r="AQ108" s="6">
        <v>0.13822991500000001</v>
      </c>
      <c r="AR108" s="6">
        <v>2.3186109E-2</v>
      </c>
      <c r="AS108" s="6">
        <v>8.5939460999999995E-2</v>
      </c>
      <c r="AT108" s="6">
        <v>1.3267729000000001E-2</v>
      </c>
      <c r="AU108" s="6">
        <v>5.6657949999999999E-2</v>
      </c>
      <c r="AV108" s="6">
        <v>1.0582809E-2</v>
      </c>
      <c r="AW108" s="6">
        <v>9.4662363999999999E-2</v>
      </c>
      <c r="AX108" s="6">
        <v>1.4852413E-2</v>
      </c>
      <c r="AY108" s="6">
        <v>6.6700271180000001</v>
      </c>
      <c r="AZ108" s="6">
        <v>0.82822291599999998</v>
      </c>
      <c r="BA108" s="6">
        <v>-10.722008000000001</v>
      </c>
      <c r="BB108" s="6">
        <v>2.1316248400000002</v>
      </c>
      <c r="BC108" s="6">
        <v>12.641842599</v>
      </c>
      <c r="BD108" s="6">
        <v>2.2054600519999998</v>
      </c>
    </row>
    <row r="109" spans="1:56" ht="16" x14ac:dyDescent="0.2">
      <c r="A109" s="33">
        <v>45847</v>
      </c>
      <c r="B109" s="33"/>
      <c r="C109" s="34" t="s">
        <v>242</v>
      </c>
      <c r="D109" s="34">
        <v>10</v>
      </c>
      <c r="E109" s="34" t="s">
        <v>2</v>
      </c>
      <c r="F109" s="34" t="s">
        <v>5</v>
      </c>
      <c r="G109" s="34">
        <v>1.05</v>
      </c>
      <c r="H109" s="34">
        <v>34.9</v>
      </c>
      <c r="I109" s="22">
        <v>3</v>
      </c>
      <c r="J109" s="22">
        <v>1</v>
      </c>
      <c r="K109" s="22"/>
      <c r="L109" s="22">
        <v>3</v>
      </c>
      <c r="M109" s="22"/>
      <c r="N109" s="22"/>
      <c r="O109" s="22"/>
      <c r="P109" s="22">
        <v>1</v>
      </c>
      <c r="Q109" s="22"/>
      <c r="R109" s="22"/>
      <c r="S109" s="22"/>
      <c r="T109" s="22">
        <v>2</v>
      </c>
      <c r="U109" s="22"/>
      <c r="V109" s="22"/>
      <c r="W109" s="22">
        <v>1</v>
      </c>
      <c r="X109" s="22">
        <v>2</v>
      </c>
      <c r="Y109" s="22"/>
      <c r="Z109" s="22"/>
      <c r="AA109" s="22"/>
      <c r="AB109" s="22"/>
      <c r="AC109" s="22"/>
      <c r="AD109" s="22">
        <v>1</v>
      </c>
      <c r="AE109" s="22"/>
      <c r="AF109" s="22"/>
      <c r="AG109" s="6" t="s">
        <v>407</v>
      </c>
      <c r="AH109" s="6">
        <v>7.6711244999999997E-2</v>
      </c>
      <c r="AI109" s="6">
        <v>9.4983989999999994E-3</v>
      </c>
      <c r="AJ109" s="6">
        <v>1578</v>
      </c>
      <c r="AK109" s="6">
        <v>1.193878E-3</v>
      </c>
      <c r="AL109" s="6">
        <v>5.6568542449999999</v>
      </c>
      <c r="AM109" s="6">
        <v>0.130200329</v>
      </c>
      <c r="AN109" s="6">
        <v>9.1695500000000003E-3</v>
      </c>
      <c r="AO109" s="6">
        <v>5.09419E-4</v>
      </c>
      <c r="AP109" s="6">
        <v>4.4726199999999997E-4</v>
      </c>
      <c r="AQ109" s="6">
        <v>0.121110732</v>
      </c>
      <c r="AR109" s="6">
        <v>2.0552725000000001E-2</v>
      </c>
      <c r="AS109" s="6">
        <v>6.6529353999999999E-2</v>
      </c>
      <c r="AT109" s="6">
        <v>7.4017850000000001E-3</v>
      </c>
      <c r="AU109" s="6">
        <v>4.2563140999999999E-2</v>
      </c>
      <c r="AV109" s="6">
        <v>4.7251309999999996E-3</v>
      </c>
      <c r="AW109" s="6">
        <v>7.6711244999999997E-2</v>
      </c>
      <c r="AX109" s="6">
        <v>9.4983989999999994E-3</v>
      </c>
      <c r="AY109" s="6">
        <v>8.3602075849999995</v>
      </c>
      <c r="AZ109" s="6">
        <v>1.605838535</v>
      </c>
      <c r="BA109" s="6">
        <v>-12.110515179</v>
      </c>
      <c r="BB109" s="6">
        <v>1.9028817419999999</v>
      </c>
      <c r="BC109" s="6">
        <v>14.724469282999999</v>
      </c>
      <c r="BD109" s="6">
        <v>2.4386818259999998</v>
      </c>
    </row>
    <row r="110" spans="1:56" ht="16" x14ac:dyDescent="0.2">
      <c r="A110" s="4">
        <v>45847</v>
      </c>
      <c r="B110" s="4"/>
      <c r="C110" s="5" t="s">
        <v>242</v>
      </c>
      <c r="D110" s="5">
        <v>11</v>
      </c>
      <c r="E110" s="5" t="s">
        <v>2</v>
      </c>
      <c r="F110" s="5" t="s">
        <v>5</v>
      </c>
      <c r="G110" s="5">
        <v>1.05</v>
      </c>
      <c r="H110" s="5">
        <v>37.75</v>
      </c>
      <c r="I110" s="22"/>
      <c r="J110" s="22"/>
      <c r="K110" s="22"/>
      <c r="L110" s="22"/>
      <c r="M110" s="22"/>
      <c r="N110" s="22"/>
      <c r="O110" s="22"/>
      <c r="P110" s="22"/>
      <c r="Q110" s="22"/>
      <c r="R110" s="22"/>
      <c r="S110" s="22"/>
      <c r="T110" s="22">
        <v>2</v>
      </c>
      <c r="U110" s="22"/>
      <c r="V110" s="22"/>
      <c r="W110" s="22"/>
      <c r="X110" s="22">
        <v>2</v>
      </c>
      <c r="Y110" s="22"/>
      <c r="Z110" s="22"/>
      <c r="AA110" s="22"/>
      <c r="AB110" s="22"/>
      <c r="AC110" s="22"/>
      <c r="AD110" s="22"/>
      <c r="AE110" s="22"/>
      <c r="AF110" s="22">
        <v>1</v>
      </c>
      <c r="AG110" t="s">
        <v>666</v>
      </c>
      <c r="AH110" s="6">
        <v>6.6173350000000006E-2</v>
      </c>
      <c r="AI110" s="6">
        <v>8.3791249999999994E-3</v>
      </c>
      <c r="AJ110" s="6">
        <v>1866</v>
      </c>
      <c r="AK110" s="6">
        <v>1.0015320000000001E-3</v>
      </c>
      <c r="AL110" s="6">
        <v>5.6568542449999999</v>
      </c>
      <c r="AM110" s="6">
        <v>0.124457915</v>
      </c>
      <c r="AN110" s="6">
        <v>8.0471550000000003E-3</v>
      </c>
      <c r="AO110" s="6">
        <v>4.47064E-4</v>
      </c>
      <c r="AP110" s="6">
        <v>3.6587099999999998E-4</v>
      </c>
      <c r="AQ110" s="6">
        <v>9.5053926999999996E-2</v>
      </c>
      <c r="AR110" s="6">
        <v>1.669387E-2</v>
      </c>
      <c r="AS110" s="6">
        <v>5.9858301000000003E-2</v>
      </c>
      <c r="AT110" s="6">
        <v>6.4186390000000003E-3</v>
      </c>
      <c r="AU110" s="6">
        <v>4.6313069999999998E-2</v>
      </c>
      <c r="AV110" s="6">
        <v>4.7767249999999999E-3</v>
      </c>
      <c r="AW110" s="6">
        <v>6.6173350000000006E-2</v>
      </c>
      <c r="AX110" s="6">
        <v>8.3791249999999994E-3</v>
      </c>
      <c r="AY110" s="6">
        <v>6.4068399979999997</v>
      </c>
      <c r="AZ110" s="6">
        <v>1.270792817</v>
      </c>
      <c r="BA110" s="6">
        <v>-7.8805381719999996</v>
      </c>
      <c r="BB110" s="6">
        <v>1.8870748989999999</v>
      </c>
      <c r="BC110" s="6">
        <v>10.162628979999999</v>
      </c>
      <c r="BD110" s="6">
        <v>2.2466308150000001</v>
      </c>
    </row>
    <row r="111" spans="1:56" ht="16" x14ac:dyDescent="0.2">
      <c r="A111" s="4">
        <v>45847</v>
      </c>
      <c r="B111" s="4"/>
      <c r="C111" s="5" t="s">
        <v>242</v>
      </c>
      <c r="D111" s="5">
        <v>15</v>
      </c>
      <c r="E111" s="5" t="s">
        <v>2</v>
      </c>
      <c r="F111" s="5" t="s">
        <v>3</v>
      </c>
      <c r="G111" s="5">
        <v>0.7</v>
      </c>
      <c r="H111" s="5">
        <v>32.9</v>
      </c>
      <c r="I111" s="22">
        <v>5</v>
      </c>
      <c r="J111" s="22"/>
      <c r="K111" s="22"/>
      <c r="L111" s="22">
        <v>1</v>
      </c>
      <c r="M111" s="22"/>
      <c r="N111" s="22"/>
      <c r="O111" s="22"/>
      <c r="P111" s="22"/>
      <c r="Q111" s="22">
        <v>1</v>
      </c>
      <c r="R111" s="22"/>
      <c r="S111" s="22"/>
      <c r="T111" s="22"/>
      <c r="U111" s="22"/>
      <c r="V111" s="22"/>
      <c r="W111" s="22"/>
      <c r="X111" s="22">
        <v>8</v>
      </c>
      <c r="Y111" s="22"/>
      <c r="Z111" s="22"/>
      <c r="AA111" s="22"/>
      <c r="AB111" s="22"/>
      <c r="AC111" s="22"/>
      <c r="AD111" s="22"/>
      <c r="AE111" s="22"/>
      <c r="AF111" s="22">
        <v>3</v>
      </c>
      <c r="AG111" t="s">
        <v>668</v>
      </c>
      <c r="AH111" s="6">
        <v>9.7759349999999995E-2</v>
      </c>
      <c r="AI111" s="6">
        <v>1.5020380999999999E-2</v>
      </c>
      <c r="AJ111" s="6">
        <v>1487</v>
      </c>
      <c r="AK111" s="6">
        <v>1.514072E-3</v>
      </c>
      <c r="AL111" s="6">
        <v>7.9999999920000002</v>
      </c>
      <c r="AM111" s="6">
        <v>0.105234339</v>
      </c>
      <c r="AN111" s="6">
        <v>1.4387621E-2</v>
      </c>
      <c r="AO111" s="6">
        <v>7.9931200000000005E-4</v>
      </c>
      <c r="AP111" s="6">
        <v>5.9686799999999996E-4</v>
      </c>
      <c r="AQ111" s="6">
        <v>0.15432541399999999</v>
      </c>
      <c r="AR111" s="6">
        <v>2.4505847000000001E-2</v>
      </c>
      <c r="AS111" s="6">
        <v>8.4544375000000005E-2</v>
      </c>
      <c r="AT111" s="6">
        <v>1.3251259E-2</v>
      </c>
      <c r="AU111" s="6">
        <v>5.2496095E-2</v>
      </c>
      <c r="AV111" s="6">
        <v>9.7816589999999998E-3</v>
      </c>
      <c r="AW111" s="6">
        <v>9.7759349999999995E-2</v>
      </c>
      <c r="AX111" s="6">
        <v>1.5020380999999999E-2</v>
      </c>
      <c r="AY111" s="6">
        <v>8.4850298090000003</v>
      </c>
      <c r="AZ111" s="6">
        <v>1.150898786</v>
      </c>
      <c r="BA111" s="6">
        <v>-12.766112955000001</v>
      </c>
      <c r="BB111" s="6">
        <v>1.5987059539999999</v>
      </c>
      <c r="BC111" s="6">
        <v>15.333661811000001</v>
      </c>
      <c r="BD111" s="6">
        <v>1.930935869</v>
      </c>
    </row>
    <row r="112" spans="1:56" ht="16" x14ac:dyDescent="0.2">
      <c r="A112" s="4">
        <v>45847</v>
      </c>
      <c r="B112" s="4"/>
      <c r="C112" s="5" t="s">
        <v>242</v>
      </c>
      <c r="D112" s="5">
        <v>18</v>
      </c>
      <c r="E112" s="5" t="s">
        <v>2</v>
      </c>
      <c r="F112" s="5" t="s">
        <v>5</v>
      </c>
      <c r="G112" s="5">
        <v>1.45</v>
      </c>
      <c r="H112" s="5">
        <v>45.6</v>
      </c>
      <c r="I112" s="22">
        <v>4</v>
      </c>
      <c r="J112" s="22"/>
      <c r="K112" s="22"/>
      <c r="L112" s="22">
        <v>1</v>
      </c>
      <c r="M112" s="22"/>
      <c r="N112" s="22"/>
      <c r="O112" s="22"/>
      <c r="P112" s="22"/>
      <c r="Q112" s="22"/>
      <c r="R112" s="22"/>
      <c r="S112" s="22"/>
      <c r="T112" s="22"/>
      <c r="U112" s="22"/>
      <c r="V112" s="22"/>
      <c r="W112" s="22"/>
      <c r="X112" s="22">
        <v>1</v>
      </c>
      <c r="Y112" s="22"/>
      <c r="Z112" s="22"/>
      <c r="AA112" s="22"/>
      <c r="AB112" s="22"/>
      <c r="AC112" s="22"/>
      <c r="AD112" s="22"/>
      <c r="AE112" s="22"/>
      <c r="AF112" s="22">
        <v>1</v>
      </c>
      <c r="AG112" t="s">
        <v>670</v>
      </c>
      <c r="AH112" s="6">
        <v>7.3877851999999994E-2</v>
      </c>
      <c r="AI112" s="6">
        <v>9.9394860000000008E-3</v>
      </c>
      <c r="AJ112" s="6">
        <v>2251</v>
      </c>
      <c r="AK112" s="6">
        <v>1.0922359999999999E-3</v>
      </c>
      <c r="AL112" s="6">
        <v>5.6568542449999999</v>
      </c>
      <c r="AM112" s="6">
        <v>0.115348256</v>
      </c>
      <c r="AN112" s="6">
        <v>9.4690280000000009E-3</v>
      </c>
      <c r="AO112" s="6">
        <v>5.2605700000000002E-4</v>
      </c>
      <c r="AP112" s="6">
        <v>4.2676699999999999E-4</v>
      </c>
      <c r="AQ112" s="6">
        <v>0.11086056599999999</v>
      </c>
      <c r="AR112" s="6">
        <v>2.3096169999999999E-2</v>
      </c>
      <c r="AS112" s="6">
        <v>6.5486547000000006E-2</v>
      </c>
      <c r="AT112" s="6">
        <v>8.8315140000000004E-3</v>
      </c>
      <c r="AU112" s="6">
        <v>4.7056419000000002E-2</v>
      </c>
      <c r="AV112" s="6">
        <v>1.0051149000000001E-2</v>
      </c>
      <c r="AW112" s="6">
        <v>7.3877851999999994E-2</v>
      </c>
      <c r="AX112" s="6">
        <v>9.9394860000000008E-3</v>
      </c>
      <c r="AY112" s="6">
        <v>7.323075588</v>
      </c>
      <c r="AZ112" s="6">
        <v>2.6748818089999999</v>
      </c>
      <c r="BA112" s="6">
        <v>-9.9020462780000003</v>
      </c>
      <c r="BB112" s="6">
        <v>3.7548897050000001</v>
      </c>
      <c r="BC112" s="6">
        <v>12.321052643</v>
      </c>
      <c r="BD112" s="6">
        <v>4.5960580670000004</v>
      </c>
    </row>
    <row r="113" spans="1:56" ht="16" x14ac:dyDescent="0.2">
      <c r="A113" s="4">
        <v>45847</v>
      </c>
      <c r="B113" s="4"/>
      <c r="C113" s="5" t="s">
        <v>242</v>
      </c>
      <c r="D113" s="5">
        <v>19</v>
      </c>
      <c r="E113" s="5" t="s">
        <v>2</v>
      </c>
      <c r="F113" s="5" t="s">
        <v>5</v>
      </c>
      <c r="G113" s="5">
        <v>0.85</v>
      </c>
      <c r="H113" s="5">
        <v>36.6</v>
      </c>
      <c r="I113" s="22">
        <v>7</v>
      </c>
      <c r="J113" s="22"/>
      <c r="K113" s="22"/>
      <c r="L113" s="22"/>
      <c r="M113" s="22"/>
      <c r="N113" s="22">
        <v>1</v>
      </c>
      <c r="O113" s="22"/>
      <c r="P113" s="22"/>
      <c r="Q113" s="22"/>
      <c r="R113" s="22"/>
      <c r="S113" s="22"/>
      <c r="T113" s="22">
        <v>2</v>
      </c>
      <c r="U113" s="22"/>
      <c r="V113" s="22"/>
      <c r="W113" s="22">
        <v>1</v>
      </c>
      <c r="X113" s="22">
        <v>2</v>
      </c>
      <c r="Y113" s="22"/>
      <c r="Z113" s="22"/>
      <c r="AA113" s="22"/>
      <c r="AB113" s="22"/>
      <c r="AC113" s="22"/>
      <c r="AD113" s="22"/>
      <c r="AE113" s="22"/>
      <c r="AF113" s="22"/>
      <c r="AG113" t="s">
        <v>671</v>
      </c>
      <c r="AH113" s="6">
        <v>8.7490324999999994E-2</v>
      </c>
      <c r="AI113" s="6">
        <v>8.3472100000000007E-3</v>
      </c>
      <c r="AJ113" s="6">
        <v>1765</v>
      </c>
      <c r="AK113" s="6">
        <v>1.019762E-3</v>
      </c>
      <c r="AL113" s="6">
        <v>5.6568542449999999</v>
      </c>
      <c r="AM113" s="6">
        <v>0.12685995999999999</v>
      </c>
      <c r="AN113" s="6">
        <v>8.0384859999999992E-3</v>
      </c>
      <c r="AO113" s="6">
        <v>4.4658300000000002E-4</v>
      </c>
      <c r="AP113" s="6">
        <v>3.7019499999999998E-4</v>
      </c>
      <c r="AQ113" s="6">
        <v>0.14226538599999999</v>
      </c>
      <c r="AR113" s="6">
        <v>1.5800761999999999E-2</v>
      </c>
      <c r="AS113" s="6">
        <v>7.4160907999999998E-2</v>
      </c>
      <c r="AT113" s="6">
        <v>7.0746020000000001E-3</v>
      </c>
      <c r="AU113" s="6">
        <v>4.6799875999999997E-2</v>
      </c>
      <c r="AV113" s="6">
        <v>4.8809700000000001E-3</v>
      </c>
      <c r="AW113" s="6">
        <v>8.7490324999999994E-2</v>
      </c>
      <c r="AX113" s="6">
        <v>8.3472100000000007E-3</v>
      </c>
      <c r="AY113" s="6">
        <v>9.188219965</v>
      </c>
      <c r="AZ113" s="6">
        <v>1.0530306469999999</v>
      </c>
      <c r="BA113" s="6">
        <v>-12.835807709999999</v>
      </c>
      <c r="BB113" s="6">
        <v>1.1328371500000001</v>
      </c>
      <c r="BC113" s="6">
        <v>15.788146354</v>
      </c>
      <c r="BD113" s="6">
        <v>1.5191858</v>
      </c>
    </row>
    <row r="114" spans="1:56" ht="16" x14ac:dyDescent="0.2">
      <c r="A114" s="4">
        <v>45848</v>
      </c>
      <c r="B114" s="4"/>
      <c r="C114" s="5" t="s">
        <v>38</v>
      </c>
      <c r="D114" s="5">
        <v>3</v>
      </c>
      <c r="E114" s="5" t="s">
        <v>2</v>
      </c>
      <c r="F114" s="5" t="s">
        <v>3</v>
      </c>
      <c r="G114" s="5">
        <v>0.85</v>
      </c>
      <c r="H114" s="5">
        <v>33.6</v>
      </c>
      <c r="I114" s="22"/>
      <c r="J114" s="22"/>
      <c r="K114" s="22"/>
      <c r="L114" s="22">
        <v>1</v>
      </c>
      <c r="M114" s="22"/>
      <c r="N114" s="22">
        <v>1</v>
      </c>
      <c r="O114" s="22"/>
      <c r="P114" s="22"/>
      <c r="Q114" s="22"/>
      <c r="R114" s="22"/>
      <c r="S114" s="22"/>
      <c r="T114" s="22"/>
      <c r="U114" s="22"/>
      <c r="V114" s="22"/>
      <c r="W114" s="22"/>
      <c r="X114" s="22"/>
      <c r="Y114" s="22"/>
      <c r="Z114" s="22"/>
      <c r="AA114" s="22"/>
      <c r="AB114" s="22"/>
      <c r="AC114" s="22"/>
      <c r="AD114" s="22"/>
      <c r="AE114" s="22"/>
      <c r="AF114" s="22">
        <v>1</v>
      </c>
      <c r="AG114" t="s">
        <v>672</v>
      </c>
      <c r="AH114" s="6">
        <v>8.7411900000000001E-2</v>
      </c>
      <c r="AI114" s="6">
        <v>1.9463332999999999E-2</v>
      </c>
      <c r="AJ114" s="6">
        <v>1134</v>
      </c>
      <c r="AK114" s="6">
        <v>2.1400479999999999E-3</v>
      </c>
      <c r="AL114" s="6">
        <v>3.9999999979999998</v>
      </c>
      <c r="AM114" s="6">
        <v>0.130988836</v>
      </c>
      <c r="AN114" s="6">
        <v>1.6337639000000001E-2</v>
      </c>
      <c r="AO114" s="6">
        <v>9.0764700000000003E-4</v>
      </c>
      <c r="AP114" s="6">
        <v>7.8256899999999999E-4</v>
      </c>
      <c r="AQ114" s="6">
        <v>0.138563837</v>
      </c>
      <c r="AR114" s="6">
        <v>2.8975621E-2</v>
      </c>
      <c r="AS114" s="6">
        <v>7.4351715999999998E-2</v>
      </c>
      <c r="AT114" s="6">
        <v>1.7369618999999999E-2</v>
      </c>
      <c r="AU114" s="6">
        <v>5.1160183999999997E-2</v>
      </c>
      <c r="AV114" s="6">
        <v>1.3434834999999999E-2</v>
      </c>
      <c r="AW114" s="6">
        <v>8.7411900000000001E-2</v>
      </c>
      <c r="AX114" s="6">
        <v>1.9463332999999999E-2</v>
      </c>
      <c r="AY114" s="6">
        <v>8.890048921</v>
      </c>
      <c r="AZ114" s="6">
        <v>0.98538344899999997</v>
      </c>
      <c r="BA114" s="6">
        <v>-11.411484744999999</v>
      </c>
      <c r="BB114" s="6">
        <v>1.6176872659999999</v>
      </c>
      <c r="BC114" s="6">
        <v>14.469524610000001</v>
      </c>
      <c r="BD114" s="6">
        <v>1.8642975310000001</v>
      </c>
    </row>
    <row r="115" spans="1:56" ht="16" x14ac:dyDescent="0.2">
      <c r="A115" s="4">
        <v>45848</v>
      </c>
      <c r="B115" s="4"/>
      <c r="C115" s="5" t="s">
        <v>38</v>
      </c>
      <c r="D115" s="5">
        <v>5</v>
      </c>
      <c r="E115" s="5" t="s">
        <v>2</v>
      </c>
      <c r="F115" s="5" t="s">
        <v>5</v>
      </c>
      <c r="G115" s="5">
        <v>1</v>
      </c>
      <c r="H115" s="5">
        <v>36.65</v>
      </c>
      <c r="I115" s="22"/>
      <c r="J115" s="22"/>
      <c r="K115" s="22"/>
      <c r="L115" s="22">
        <v>1</v>
      </c>
      <c r="M115" s="22"/>
      <c r="N115" s="22">
        <v>2</v>
      </c>
      <c r="O115" s="22"/>
      <c r="P115" s="22"/>
      <c r="Q115" s="22"/>
      <c r="R115" s="22"/>
      <c r="S115" s="22">
        <v>2</v>
      </c>
      <c r="T115" s="22">
        <v>2</v>
      </c>
      <c r="U115" s="22"/>
      <c r="V115" s="22"/>
      <c r="W115" s="22"/>
      <c r="X115" s="22"/>
      <c r="Y115" s="22"/>
      <c r="Z115" s="22"/>
      <c r="AA115" s="22"/>
      <c r="AB115" s="22"/>
      <c r="AC115" s="22"/>
      <c r="AD115" s="22"/>
      <c r="AE115" s="22"/>
      <c r="AF115" s="22"/>
      <c r="AG115" t="s">
        <v>673</v>
      </c>
      <c r="AH115" s="6">
        <v>0.100747447</v>
      </c>
      <c r="AI115" s="6">
        <v>1.1574351E-2</v>
      </c>
      <c r="AJ115" s="6">
        <v>1780</v>
      </c>
      <c r="AK115" s="6">
        <v>1.2983339999999999E-3</v>
      </c>
      <c r="AL115" s="6">
        <v>5.6568542449999999</v>
      </c>
      <c r="AM115" s="6">
        <v>0.120944367</v>
      </c>
      <c r="AN115" s="6">
        <v>1.0734966E-2</v>
      </c>
      <c r="AO115" s="6">
        <v>5.9638699999999998E-4</v>
      </c>
      <c r="AP115" s="6">
        <v>4.7078199999999999E-4</v>
      </c>
      <c r="AQ115" s="6">
        <v>0.150882982</v>
      </c>
      <c r="AR115" s="6">
        <v>1.9688926999999998E-2</v>
      </c>
      <c r="AS115" s="6">
        <v>8.8694869999999995E-2</v>
      </c>
      <c r="AT115" s="6">
        <v>9.7570969999999993E-3</v>
      </c>
      <c r="AU115" s="6">
        <v>6.3697922000000004E-2</v>
      </c>
      <c r="AV115" s="6">
        <v>8.0519110000000001E-3</v>
      </c>
      <c r="AW115" s="6">
        <v>0.100747447</v>
      </c>
      <c r="AX115" s="6">
        <v>1.1574351E-2</v>
      </c>
      <c r="AY115" s="6">
        <v>7.4742687170000002</v>
      </c>
      <c r="AZ115" s="6">
        <v>0.94746432000000003</v>
      </c>
      <c r="BA115" s="6">
        <v>-9.7555376860000003</v>
      </c>
      <c r="BB115" s="6">
        <v>0.97460054799999996</v>
      </c>
      <c r="BC115" s="6">
        <v>12.29439283</v>
      </c>
      <c r="BD115" s="6">
        <v>1.315516001</v>
      </c>
    </row>
    <row r="116" spans="1:56" ht="16" x14ac:dyDescent="0.2">
      <c r="A116" s="4">
        <v>45848</v>
      </c>
      <c r="B116" s="4"/>
      <c r="C116" s="5" t="s">
        <v>38</v>
      </c>
      <c r="D116" s="5">
        <v>8</v>
      </c>
      <c r="E116" s="5" t="s">
        <v>2</v>
      </c>
      <c r="F116" s="5" t="s">
        <v>5</v>
      </c>
      <c r="G116" s="5">
        <v>0.7</v>
      </c>
      <c r="H116" s="5">
        <v>35.85</v>
      </c>
      <c r="I116" s="22"/>
      <c r="J116" s="22"/>
      <c r="K116" s="22"/>
      <c r="L116" s="22"/>
      <c r="M116" s="22"/>
      <c r="N116" s="22"/>
      <c r="O116" s="22"/>
      <c r="P116" s="22"/>
      <c r="Q116" s="22"/>
      <c r="R116" s="22"/>
      <c r="S116" s="22">
        <v>1</v>
      </c>
      <c r="T116" s="22"/>
      <c r="U116" s="22"/>
      <c r="V116" s="22"/>
      <c r="W116" s="22"/>
      <c r="X116" s="22"/>
      <c r="Y116" s="22"/>
      <c r="Z116" s="22"/>
      <c r="AA116" s="22"/>
      <c r="AB116" s="22"/>
      <c r="AC116" s="22"/>
      <c r="AD116" s="22"/>
      <c r="AE116" s="22"/>
      <c r="AF116" s="22"/>
      <c r="AG116" t="s">
        <v>674</v>
      </c>
      <c r="AH116" s="6">
        <v>4.4634800000000002E-2</v>
      </c>
      <c r="AI116" s="6">
        <v>1.4058671E-2</v>
      </c>
      <c r="AJ116" s="6">
        <v>1233</v>
      </c>
      <c r="AK116" s="6">
        <v>1.554782E-3</v>
      </c>
      <c r="AL116" s="6">
        <v>3.9999999979999998</v>
      </c>
      <c r="AM116" s="6">
        <v>0.12658994900000001</v>
      </c>
      <c r="AN116" s="6">
        <v>1.2282036E-2</v>
      </c>
      <c r="AO116" s="6">
        <v>6.8233499999999995E-4</v>
      </c>
      <c r="AP116" s="6">
        <v>5.6794699999999996E-4</v>
      </c>
      <c r="AQ116" s="6">
        <v>6.5429413000000006E-2</v>
      </c>
      <c r="AR116" s="6">
        <v>2.2097967999999999E-2</v>
      </c>
      <c r="AS116" s="6">
        <v>4.0009191999999999E-2</v>
      </c>
      <c r="AT116" s="6">
        <v>1.2489989999999999E-2</v>
      </c>
      <c r="AU116" s="6">
        <v>3.1648411000000001E-2</v>
      </c>
      <c r="AV116" s="6">
        <v>9.6712159999999998E-3</v>
      </c>
      <c r="AW116" s="6">
        <v>4.4634800000000002E-2</v>
      </c>
      <c r="AX116" s="6">
        <v>1.4058671E-2</v>
      </c>
      <c r="AY116" s="6">
        <v>6.8611959479999998</v>
      </c>
      <c r="AZ116" s="6">
        <v>1.4995533130000001</v>
      </c>
      <c r="BA116" s="6">
        <v>-7.7277646329999996</v>
      </c>
      <c r="BB116" s="6">
        <v>2.1498453139999998</v>
      </c>
      <c r="BC116" s="6">
        <v>10.349127660000001</v>
      </c>
      <c r="BD116" s="6">
        <v>2.5612801759999999</v>
      </c>
    </row>
    <row r="117" spans="1:56" ht="16" x14ac:dyDescent="0.2">
      <c r="A117" s="33">
        <v>45848</v>
      </c>
      <c r="B117" s="33"/>
      <c r="C117" s="34" t="s">
        <v>38</v>
      </c>
      <c r="D117" s="34">
        <v>9</v>
      </c>
      <c r="E117" s="34" t="s">
        <v>2</v>
      </c>
      <c r="F117" s="34" t="s">
        <v>3</v>
      </c>
      <c r="G117" s="34">
        <v>0.85</v>
      </c>
      <c r="H117" s="34">
        <v>38.700000000000003</v>
      </c>
      <c r="I117" s="22">
        <v>3</v>
      </c>
      <c r="J117" s="22"/>
      <c r="K117" s="22"/>
      <c r="L117" s="22">
        <v>2</v>
      </c>
      <c r="M117" s="22">
        <v>2</v>
      </c>
      <c r="N117" s="22">
        <v>1</v>
      </c>
      <c r="O117" s="22"/>
      <c r="P117" s="22">
        <v>1</v>
      </c>
      <c r="Q117" s="22"/>
      <c r="R117" s="22"/>
      <c r="S117" s="22"/>
      <c r="T117" s="22"/>
      <c r="U117" s="22"/>
      <c r="V117" s="22"/>
      <c r="W117" s="22"/>
      <c r="X117" s="22"/>
      <c r="Y117" s="22"/>
      <c r="Z117" s="22"/>
      <c r="AA117" s="22"/>
      <c r="AB117" s="22"/>
      <c r="AC117" s="22"/>
      <c r="AD117" s="22"/>
      <c r="AE117" s="22"/>
      <c r="AF117" s="22"/>
      <c r="AG117" s="6" t="s">
        <v>454</v>
      </c>
      <c r="AH117" s="6">
        <v>0.10482678300000001</v>
      </c>
      <c r="AI117" s="6">
        <v>1.4260146E-2</v>
      </c>
      <c r="AJ117" s="6">
        <v>1524</v>
      </c>
      <c r="AK117" s="6">
        <v>1.652892E-3</v>
      </c>
      <c r="AL117" s="6">
        <v>5.6568542449999999</v>
      </c>
      <c r="AM117" s="6">
        <v>0.12341561600000001</v>
      </c>
      <c r="AN117" s="6">
        <v>1.3392892999999999E-2</v>
      </c>
      <c r="AO117" s="6">
        <v>7.4405000000000001E-4</v>
      </c>
      <c r="AP117" s="6">
        <v>6.3138699999999996E-4</v>
      </c>
      <c r="AQ117" s="6">
        <v>0.163600616</v>
      </c>
      <c r="AR117" s="6">
        <v>2.3105443E-2</v>
      </c>
      <c r="AS117" s="6">
        <v>9.1443117000000004E-2</v>
      </c>
      <c r="AT117" s="6">
        <v>1.2419223E-2</v>
      </c>
      <c r="AU117" s="6">
        <v>5.6955801E-2</v>
      </c>
      <c r="AV117" s="6">
        <v>8.6718939999999994E-3</v>
      </c>
      <c r="AW117" s="6">
        <v>0.10482678300000001</v>
      </c>
      <c r="AX117" s="6">
        <v>1.4260146E-2</v>
      </c>
      <c r="AY117" s="6">
        <v>8.1991302909999995</v>
      </c>
      <c r="AZ117" s="6">
        <v>0.78703379500000004</v>
      </c>
      <c r="BA117" s="6">
        <v>-12.495274213</v>
      </c>
      <c r="BB117" s="6">
        <v>1.26543194</v>
      </c>
      <c r="BC117" s="6">
        <v>14.947610765</v>
      </c>
      <c r="BD117" s="6">
        <v>1.4653461830000001</v>
      </c>
    </row>
    <row r="118" spans="1:56" ht="16" x14ac:dyDescent="0.2">
      <c r="A118" s="4">
        <v>45848</v>
      </c>
      <c r="B118" s="4"/>
      <c r="C118" s="5" t="s">
        <v>38</v>
      </c>
      <c r="D118" s="5">
        <v>10</v>
      </c>
      <c r="E118" s="5" t="s">
        <v>2</v>
      </c>
      <c r="F118" s="5" t="s">
        <v>3</v>
      </c>
      <c r="G118" s="5">
        <v>1.3</v>
      </c>
      <c r="H118" s="5">
        <v>37.950000000000003</v>
      </c>
      <c r="I118" s="22"/>
      <c r="J118" s="22"/>
      <c r="K118" s="22"/>
      <c r="L118" s="22"/>
      <c r="M118" s="22">
        <v>1</v>
      </c>
      <c r="N118" s="22">
        <v>3</v>
      </c>
      <c r="O118" s="22"/>
      <c r="P118" s="22"/>
      <c r="Q118" s="22"/>
      <c r="R118" s="22"/>
      <c r="S118" s="22"/>
      <c r="T118" s="22">
        <v>2</v>
      </c>
      <c r="U118" s="22"/>
      <c r="V118" s="22"/>
      <c r="W118" s="22"/>
      <c r="X118" s="22"/>
      <c r="Y118" s="22"/>
      <c r="Z118" s="22"/>
      <c r="AA118" s="22"/>
      <c r="AB118" s="22"/>
      <c r="AC118" s="22"/>
      <c r="AD118" s="22"/>
      <c r="AE118" s="22"/>
      <c r="AF118" s="36">
        <v>2</v>
      </c>
      <c r="AG118" s="6" t="s">
        <v>408</v>
      </c>
      <c r="AH118" s="6">
        <v>8.4877109000000006E-2</v>
      </c>
      <c r="AI118" s="6">
        <v>1.9394523E-2</v>
      </c>
      <c r="AJ118" s="6">
        <v>1143</v>
      </c>
      <c r="AK118" s="6">
        <v>1.894876E-3</v>
      </c>
      <c r="AL118" s="6">
        <v>5.6568542449999999</v>
      </c>
      <c r="AM118" s="6">
        <v>9.6868618000000004E-2</v>
      </c>
      <c r="AN118" s="6">
        <v>1.95613E-2</v>
      </c>
      <c r="AO118" s="6">
        <v>1.086739E-3</v>
      </c>
      <c r="AP118" s="6">
        <v>5.8962900000000004E-4</v>
      </c>
      <c r="AQ118" s="6">
        <v>0.126635992</v>
      </c>
      <c r="AR118" s="6">
        <v>2.7111052E-2</v>
      </c>
      <c r="AS118" s="6">
        <v>7.4616295999999999E-2</v>
      </c>
      <c r="AT118" s="6">
        <v>1.7625261999999999E-2</v>
      </c>
      <c r="AU118" s="6">
        <v>5.5207075000000001E-2</v>
      </c>
      <c r="AV118" s="6">
        <v>1.4215514E-2</v>
      </c>
      <c r="AW118" s="6">
        <v>8.4877109000000006E-2</v>
      </c>
      <c r="AX118" s="6">
        <v>1.9394523E-2</v>
      </c>
      <c r="AY118" s="6">
        <v>7.5641304500000004</v>
      </c>
      <c r="AZ118" s="6">
        <v>0.73791802900000003</v>
      </c>
      <c r="BA118" s="6">
        <v>-9.4122163919999995</v>
      </c>
      <c r="BB118" s="6">
        <v>0.92641205599999998</v>
      </c>
      <c r="BC118" s="6">
        <v>12.078642562000001</v>
      </c>
      <c r="BD118" s="6">
        <v>1.146719933</v>
      </c>
    </row>
    <row r="119" spans="1:56" ht="16" x14ac:dyDescent="0.2">
      <c r="A119" s="4">
        <v>45848</v>
      </c>
      <c r="B119" s="4"/>
      <c r="C119" s="5" t="s">
        <v>38</v>
      </c>
      <c r="D119" s="5">
        <v>12</v>
      </c>
      <c r="E119" s="5" t="s">
        <v>2</v>
      </c>
      <c r="F119" s="5" t="s">
        <v>3</v>
      </c>
      <c r="G119" s="5">
        <v>0.5</v>
      </c>
      <c r="H119" s="5">
        <v>32.75</v>
      </c>
      <c r="I119" s="22"/>
      <c r="J119" s="22"/>
      <c r="K119" s="22"/>
      <c r="L119" s="22"/>
      <c r="M119" s="22">
        <v>1</v>
      </c>
      <c r="N119" s="22"/>
      <c r="O119" s="22"/>
      <c r="P119" s="22"/>
      <c r="Q119" s="22"/>
      <c r="R119" s="22"/>
      <c r="S119" s="22"/>
      <c r="T119" s="22"/>
      <c r="U119" s="22"/>
      <c r="V119" s="22"/>
      <c r="W119" s="22"/>
      <c r="X119" s="22"/>
      <c r="Y119" s="22"/>
      <c r="Z119" s="22"/>
      <c r="AA119" s="22"/>
      <c r="AB119" s="22"/>
      <c r="AC119" s="22"/>
      <c r="AD119" s="22"/>
      <c r="AE119" s="22"/>
      <c r="AF119" s="22"/>
      <c r="AG119" t="s">
        <v>675</v>
      </c>
      <c r="AH119" s="6">
        <v>7.3859505000000006E-2</v>
      </c>
      <c r="AI119" s="6">
        <v>2.2172177000000001E-2</v>
      </c>
      <c r="AJ119" s="6">
        <v>1202</v>
      </c>
      <c r="AK119" s="6">
        <v>2.4252940000000001E-3</v>
      </c>
      <c r="AL119" s="6">
        <v>5.6568542449999999</v>
      </c>
      <c r="AM119" s="6">
        <v>0.118408939</v>
      </c>
      <c r="AN119" s="6">
        <v>2.0482357E-2</v>
      </c>
      <c r="AO119" s="6">
        <v>1.1379090000000001E-3</v>
      </c>
      <c r="AP119" s="6">
        <v>8.7406099999999998E-4</v>
      </c>
      <c r="AQ119" s="6">
        <v>0.12354523100000001</v>
      </c>
      <c r="AR119" s="6">
        <v>3.6747625999999999E-2</v>
      </c>
      <c r="AS119" s="6">
        <v>6.0385955999999998E-2</v>
      </c>
      <c r="AT119" s="6">
        <v>1.8257124E-2</v>
      </c>
      <c r="AU119" s="6">
        <v>4.1178952999999997E-2</v>
      </c>
      <c r="AV119" s="6">
        <v>1.2633937E-2</v>
      </c>
      <c r="AW119" s="6">
        <v>7.3859505000000006E-2</v>
      </c>
      <c r="AX119" s="6">
        <v>2.2172177000000001E-2</v>
      </c>
      <c r="AY119" s="6">
        <v>10.12995656</v>
      </c>
      <c r="AZ119" s="6">
        <v>0.5723068</v>
      </c>
      <c r="BA119" s="6">
        <v>-12.083132507</v>
      </c>
      <c r="BB119" s="6">
        <v>1.0448660000000001</v>
      </c>
      <c r="BC119" s="6">
        <v>15.773798758</v>
      </c>
      <c r="BD119" s="6">
        <v>1.1065721559999999</v>
      </c>
    </row>
    <row r="120" spans="1:56" ht="16" x14ac:dyDescent="0.2">
      <c r="A120" s="4">
        <v>45848</v>
      </c>
      <c r="B120" s="4"/>
      <c r="C120" s="5" t="s">
        <v>38</v>
      </c>
      <c r="D120" s="5">
        <v>15</v>
      </c>
      <c r="E120" s="5" t="s">
        <v>2</v>
      </c>
      <c r="F120" s="5" t="s">
        <v>3</v>
      </c>
      <c r="G120" s="5">
        <v>0.65</v>
      </c>
      <c r="H120" s="5">
        <v>32.1</v>
      </c>
      <c r="I120" s="22">
        <v>2</v>
      </c>
      <c r="J120" s="22"/>
      <c r="K120" s="22"/>
      <c r="L120" s="22">
        <v>1</v>
      </c>
      <c r="M120" s="22"/>
      <c r="N120" s="22"/>
      <c r="O120" s="22"/>
      <c r="P120" s="22"/>
      <c r="Q120" s="22"/>
      <c r="R120" s="22"/>
      <c r="S120" s="22">
        <v>2</v>
      </c>
      <c r="T120" s="22"/>
      <c r="U120" s="22"/>
      <c r="V120" s="22"/>
      <c r="W120" s="22">
        <v>1</v>
      </c>
      <c r="X120" s="22"/>
      <c r="Y120" s="22"/>
      <c r="Z120" s="22"/>
      <c r="AA120" s="22"/>
      <c r="AB120" s="22"/>
      <c r="AC120" s="22"/>
      <c r="AD120" s="22"/>
      <c r="AE120" s="22"/>
      <c r="AF120" s="36">
        <v>1</v>
      </c>
      <c r="AG120" t="s">
        <v>676</v>
      </c>
      <c r="AH120" s="6">
        <v>7.4370455000000002E-2</v>
      </c>
      <c r="AI120" s="6">
        <v>2.4805418999999999E-2</v>
      </c>
      <c r="AJ120" s="6">
        <v>1193</v>
      </c>
      <c r="AK120" s="6">
        <v>2.589554E-3</v>
      </c>
      <c r="AL120" s="6">
        <v>5.6568542449999999</v>
      </c>
      <c r="AM120" s="6">
        <v>0.11342679</v>
      </c>
      <c r="AN120" s="6">
        <v>2.2830181000000001E-2</v>
      </c>
      <c r="AO120" s="6">
        <v>1.2683429999999999E-3</v>
      </c>
      <c r="AP120" s="6">
        <v>9.7454900000000001E-4</v>
      </c>
      <c r="AQ120" s="6">
        <v>0.11609175300000001</v>
      </c>
      <c r="AR120" s="6">
        <v>3.8782275999999997E-2</v>
      </c>
      <c r="AS120" s="6">
        <v>6.4370058999999993E-2</v>
      </c>
      <c r="AT120" s="6">
        <v>2.1538147000000001E-2</v>
      </c>
      <c r="AU120" s="6">
        <v>4.3151780000000001E-2</v>
      </c>
      <c r="AV120" s="6">
        <v>1.5345704E-2</v>
      </c>
      <c r="AW120" s="6">
        <v>7.4370455000000002E-2</v>
      </c>
      <c r="AX120" s="6">
        <v>2.4805418999999999E-2</v>
      </c>
      <c r="AY120" s="6">
        <v>8.2650012519999994</v>
      </c>
      <c r="AZ120" s="6">
        <v>1.173097149</v>
      </c>
      <c r="BA120" s="6">
        <v>-11.417294243000001</v>
      </c>
      <c r="BB120" s="6">
        <v>1.7885832960000001</v>
      </c>
      <c r="BC120" s="6">
        <v>14.098014241</v>
      </c>
      <c r="BD120" s="6">
        <v>2.118008771</v>
      </c>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TOC</vt:lpstr>
      <vt:lpstr>Metadata</vt:lpstr>
      <vt:lpstr>Salamander Data Sample 1+3</vt:lpstr>
      <vt:lpstr>Environmental Data Sample 1+3</vt:lpstr>
      <vt:lpstr>Salamander Data Sample 2</vt:lpstr>
      <vt:lpstr>Environmental Data Sample 2</vt:lpstr>
      <vt:lpstr>SalColor</vt:lpstr>
      <vt:lpstr>Back_SalPattern</vt:lpstr>
      <vt:lpstr>Diet</vt:lpstr>
      <vt:lpstr>Color_Diet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Sophia Zaslow</cp:lastModifiedBy>
  <dcterms:created xsi:type="dcterms:W3CDTF">2025-08-13T18:56:50Z</dcterms:created>
  <dcterms:modified xsi:type="dcterms:W3CDTF">2026-04-09T17:11:25Z</dcterms:modified>
</cp:coreProperties>
</file>